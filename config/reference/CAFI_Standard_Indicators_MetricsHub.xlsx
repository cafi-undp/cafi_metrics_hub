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9.xml" ContentType="application/vnd.openxmlformats-officedocument.spreadsheetml.table+xml"/>
  <Override PartName="/xl/tables/table8.xml" ContentType="application/vnd.openxmlformats-officedocument.spreadsheetml.table+xml"/>
  <Override PartName="/xl/tables/table3.xml" ContentType="application/vnd.openxmlformats-officedocument.spreadsheetml.table+xml"/>
  <Override PartName="/xl/tables/table10.xml" ContentType="application/vnd.openxmlformats-officedocument.spreadsheetml.table+xml"/>
  <Override PartName="/xl/tables/table2.xml" ContentType="application/vnd.openxmlformats-officedocument.spreadsheetml.table+xml"/>
  <Override PartName="/xl/tables/table4.xml" ContentType="application/vnd.openxmlformats-officedocument.spreadsheetml.table+xml"/>
  <Override PartName="/xl/tables/table11.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ReadMe" sheetId="1" state="visible" r:id="rId3"/>
    <sheet name="01_Categories" sheetId="2" state="visible" r:id="rId4"/>
    <sheet name="02_Subcategories" sheetId="3" state="visible" r:id="rId5"/>
    <sheet name="03_Indicators" sheetId="4" state="visible" r:id="rId6"/>
    <sheet name="04_IndicatorDisaggregations" sheetId="5" state="visible" r:id="rId7"/>
    <sheet name="05_Dimensions" sheetId="6" state="visible" r:id="rId8"/>
    <sheet name="06_Tags" sheetId="7" state="visible" r:id="rId9"/>
    <sheet name="07_IndicatorTags" sheetId="8" state="visible" r:id="rId10"/>
    <sheet name="08_UnitGroups" sheetId="9" state="visible" r:id="rId11"/>
    <sheet name="09_Map_Framework" sheetId="10" state="visible" r:id="rId12"/>
    <sheet name="10_Map_HubIndicators" sheetId="11" state="visible" r:id="rId13"/>
    <sheet name="11_Map_DraftList"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<sst xmlns="http://schemas.openxmlformats.org/spreadsheetml/2006/main" count="3714" uniqueCount="1287">
  <si>
    <t xml:space="preserve">CAFI Metrics Hub – Standard indicator reference tables (proposal, Oct 2026)</t>
  </si>
  <si>
    <t xml:space="preserve">Purpose</t>
  </si>
  <si>
    <t xml:space="preserve">Reference (dimension) tables for the CAFI standard indicators, ready to load into the Metrics Hub Power BI model next to the existing tables (01_Outcomes … 09_CarbonFactors). Same layout as the Metrics Hub companion tables: title in row 1, headers in row 3, one Excel table per tab.</t>
  </si>
  <si>
    <t xml:space="preserve">Design</t>
  </si>
  <si>
    <t xml:space="preserve">Each indicator has ONE category (= Metrics Hub outcome) and ONE sub-category, a tier, an applicability flag per project type and any number of tags. PES is a delivery mechanism, handled by the "Delivery mechanism" disaggregation and the PES tag – not a category.</t>
  </si>
  <si>
    <t xml:space="preserve">Tabs</t>
  </si>
  <si>
    <t xml:space="preserve">  01_Categories</t>
  </si>
  <si>
    <t xml:space="preserve">9 categories = Metrics Hub outcomes. Key: CategoryCode. 8 match existing outcomes; "People &amp; Livelihoods" is new (see Status).</t>
  </si>
  <si>
    <t xml:space="preserve">  02_Subcategories</t>
  </si>
  <si>
    <t xml:space="preserve">32 sub-categories. Key: SubcategoryCode. Joins to 01 on CategoryCode.</t>
  </si>
  <si>
    <t xml:space="preserve">  03_Indicators</t>
  </si>
  <si>
    <t xml:space="preserve">67 standard indicators (main table). Key: IndicatorCode. Short names (EN/FR) for dashboards, full definition in Description.</t>
  </si>
  <si>
    <t xml:space="preserve">  04_IndicatorDisaggregations</t>
  </si>
  <si>
    <t xml:space="preserve">Bridge: which disaggregations each indicator must be reported with. Joins 03 ↔ 05.</t>
  </si>
  <si>
    <t xml:space="preserve">  05_Dimensions</t>
  </si>
  <si>
    <t xml:space="preserve">38 disaggregation dimensions with their standard values.</t>
  </si>
  <si>
    <t xml:space="preserve">  06_Tags / 07_IndicatorTags</t>
  </si>
  <si>
    <t xml:space="preserve">8 tags (PES, Carbon input, Gender, …) and the bridge indicator ↔ tag – use as Power BI slicers.</t>
  </si>
  <si>
    <t xml:space="preserve">  08_UnitGroups</t>
  </si>
  <si>
    <t xml:space="preserve">Metrics Hub unit groups + 3 new ones (Length, Volume, Ratio).</t>
  </si>
  <si>
    <t xml:space="preserve">  09_Map_Framework</t>
  </si>
  <si>
    <t xml:space="preserve">Each code of the Metrics Hub standard framework (08_Framework: G.1 … IMP.2) → new indicator code.</t>
  </si>
  <si>
    <t xml:space="preserve">  10_Map_HubIndicators</t>
  </si>
  <si>
    <t xml:space="preserve">Each harmonised indicator label in 05_Results → suggested new code, with the number of existing result rows – to migrate the 1,517 existing rows.</t>
  </si>
  <si>
    <t xml:space="preserve">  11_Map_DraftList</t>
  </si>
  <si>
    <t xml:space="preserve">Each of the 94 indicators of the CAFI Connect draft → new code.</t>
  </si>
  <si>
    <t xml:space="preserve">Column glossary (03_Indicators)</t>
  </si>
  <si>
    <t xml:space="preserve">  Tier</t>
  </si>
  <si>
    <t xml:space="preserve">T1 = universal core (every project) · T2 = thematic headline (mandatory when the activity is carried out; aggregated) · T3 = supplementary (project-level detail).</t>
  </si>
  <si>
    <t xml:space="preserve">  ResultLevel / ResultType</t>
  </si>
  <si>
    <t xml:space="preserve">Impact, Outcome or Output; ResultType uses the Metrics Hub values (Output / Deliverable; Field Result / Outcome Proxy).</t>
  </si>
  <si>
    <t xml:space="preserve">  MeasurementType</t>
  </si>
  <si>
    <t xml:space="preserve">Metrics Hub values: Cumulative / Stock (value at reporting date) or Annual / Flow (value for the year).</t>
  </si>
  <si>
    <t xml:space="preserve">  AggregationRule</t>
  </si>
  <si>
    <t xml:space="preserve">How values may be combined across projects. "Not summed" = report average / per project. "Subset of …" = never add to the parent.</t>
  </si>
  <si>
    <t xml:space="preserve">  Applies_*</t>
  </si>
  <si>
    <t xml:space="preserve">M = mandatory for that project type · C = conditional (report if the project carries out the activity) · blank = not applicable. Project types: Enabling, AFOLU / integrated, PES, Private sector.</t>
  </si>
  <si>
    <t xml:space="preserve">  Tags</t>
  </si>
  <si>
    <t xml:space="preserve">Semicolon list; the same information in long format is in 07_IndicatorTags.</t>
  </si>
  <si>
    <t xml:space="preserve">  LegacyFrameworkCodes</t>
  </si>
  <si>
    <t xml:space="preserve">Codes of the Metrics Hub 08_Framework (CAFI standard results framework for territorial projects) covered by the indicator.</t>
  </si>
  <si>
    <t xml:space="preserve">  DraftNo</t>
  </si>
  <si>
    <t xml:space="preserve">Number in the CAFI Connect draft list (Enabling / AFOLU / PES / Private sector sheets); "+" lists draft indicators merged into it.</t>
  </si>
  <si>
    <t xml:space="preserve">Open points</t>
  </si>
  <si>
    <t xml:space="preserve">(1) Approve "People &amp; Livelihoods" as outcome 9 (Cross-cutting kept as a legacy bucket). (2) Approve the 3 new unit groups. (3) Write the methodological note: FTE definition, training minimum duration, plantation survival threshold, alert dataset and confidence level. (4) Validate French short names.</t>
  </si>
  <si>
    <t xml:space="preserve">Categories – one per indicator; aligned with the Metrics Hub outcomes (01_Outcomes)</t>
  </si>
  <si>
    <t xml:space="preserve">CategoryCode</t>
  </si>
  <si>
    <t xml:space="preserve">Category</t>
  </si>
  <si>
    <t xml:space="preserve">CategoryShort</t>
  </si>
  <si>
    <t xml:space="preserve">OutcomeNo</t>
  </si>
  <si>
    <t xml:space="preserve">Scope</t>
  </si>
  <si>
    <t xml:space="preserve">BoundaryRule</t>
  </si>
  <si>
    <t xml:space="preserve">ThemeColor</t>
  </si>
  <si>
    <t xml:space="preserve">Status</t>
  </si>
  <si>
    <t xml:space="preserve">IndicatorCount</t>
  </si>
  <si>
    <t xml:space="preserve">T1</t>
  </si>
  <si>
    <t xml:space="preserve">T2</t>
  </si>
  <si>
    <t xml:space="preserve">T3</t>
  </si>
  <si>
    <t xml:space="preserve">GOV</t>
  </si>
  <si>
    <t xml:space="preserve">Governance, Policy &amp; Institutional Capacity</t>
  </si>
  <si>
    <t xml:space="preserve">Governance &amp; Policy</t>
  </si>
  <si>
    <t xml:space="preserve">National policy, laws and regulations, institutions and coordination, local governance structures, capacity building, civil society oversight.</t>
  </si>
  <si>
    <t xml:space="preserve">Provincial land edicts are a type of regulatory measure (GOV-02); land-use plans themselves are LUT.</t>
  </si>
  <si>
    <t xml:space="preserve">#068290</t>
  </si>
  <si>
    <t xml:space="preserve">Existing outcome</t>
  </si>
  <si>
    <t xml:space="preserve">FOR</t>
  </si>
  <si>
    <t xml:space="preserve">Forests, Biodiversity &amp; Ecosystem Services</t>
  </si>
  <si>
    <t xml:space="preserve">Forests &amp; Biodiversity</t>
  </si>
  <si>
    <t xml:space="preserve">Sustainable forest management, certification, conservation, natural regeneration and plantations (incl. wood energy), fire and human–wildlife conflict, forest monitoring, control and legality.</t>
  </si>
  <si>
    <t xml:space="preserve">Every hectare of forest or tree cover is counted once, in FOR or AGR (never ENR), whatever the delivery mechanism. Hectares under PES contracts appear through the "Delivery mechanism" disaggregation.</t>
  </si>
  <si>
    <t xml:space="preserve">#04BFBF</t>
  </si>
  <si>
    <t xml:space="preserve">FIN</t>
  </si>
  <si>
    <t xml:space="preserve">Sustainable Finance, PES &amp; Private Investment</t>
  </si>
  <si>
    <t xml:space="preserve">Sustainable Finance &amp; PES</t>
  </si>
  <si>
    <t xml:space="preserve">Co-financing, private finance and leverage, enterprises supported, deforestation-free supply chains, finance for forest-friendly extractives, and the steps specific to results-based payment instruments (PES eligibility, verified compliance, payments).</t>
  </si>
  <si>
    <t xml:space="preserve">Private finance (FIN-02) is a subset of co-financing (FIN-01) – never add them. PES is a delivery mechanism: PES hectares stay in FOR/AGR and contracted providers in PPL-01.</t>
  </si>
  <si>
    <t xml:space="preserve">#0D6ABF</t>
  </si>
  <si>
    <t xml:space="preserve">LUT</t>
  </si>
  <si>
    <t xml:space="preserve">Land-use Planning &amp; Tenure</t>
  </si>
  <si>
    <t xml:space="preserve">Land-use and natural-resource-management plans, compliance with plans, land tenure security, land and resource conflict resolution.</t>
  </si>
  <si>
    <t xml:space="preserve">Infrastructure built under plans is PPL; forest management plans are FOR. Areas under plans overlap with FOR/AGR areas – never add them.</t>
  </si>
  <si>
    <t xml:space="preserve">#054442</t>
  </si>
  <si>
    <t xml:space="preserve">AGR</t>
  </si>
  <si>
    <t xml:space="preserve">Sustainable Agriculture &amp; Value Chains</t>
  </si>
  <si>
    <t xml:space="preserve">Sustainable Agriculture</t>
  </si>
  <si>
    <t xml:space="preserve">Food crops and seed systems, deforestation-free perennial crops, agroforestry, yields, production and market access.</t>
  </si>
  <si>
    <t xml:space="preserve">Smallholders integrated into private supply chains are FIN-10 (private-sector projects). PES agriculture and agroforestry hectares are counted here.</t>
  </si>
  <si>
    <t xml:space="preserve">#7FB069</t>
  </si>
  <si>
    <t xml:space="preserve">ENR</t>
  </si>
  <si>
    <t xml:space="preserve">Energy Transition &amp; Clean Cooking</t>
  </si>
  <si>
    <t xml:space="preserve">Energy &amp; Clean Cooking</t>
  </si>
  <si>
    <t xml:space="preserve">Demand-side energy: clean cooking solutions, adoption, fuel savings, sales.</t>
  </si>
  <si>
    <t xml:space="preserve">Wood-energy plantation areas are FOR-02 (end use = wood energy). Training in improved carbonisation is GOV-01.</t>
  </si>
  <si>
    <t xml:space="preserve">#E1A100</t>
  </si>
  <si>
    <t xml:space="preserve">CLM</t>
  </si>
  <si>
    <t xml:space="preserve">Climate, Carbon &amp; MRV</t>
  </si>
  <si>
    <t xml:space="preserve">Emission reductions and removals, deforestation and degradation in project areas, national forest monitoring / MRV systems.</t>
  </si>
  <si>
    <t xml:space="preserve">Projects report activity data; tCO2e and deforestation are calculated by the Secretariat. Responses to alerts are FOR (monitoring &amp; control).</t>
  </si>
  <si>
    <t xml:space="preserve">#36003E</t>
  </si>
  <si>
    <t xml:space="preserve">INC</t>
  </si>
  <si>
    <t xml:space="preserve">Demography, Health &amp; Social Inclusion</t>
  </si>
  <si>
    <t xml:space="preserve">Demography &amp; Inclusion</t>
  </si>
  <si>
    <t xml:space="preserve">Family planning and demography, outreach to indigenous peoples and vulnerable groups.</t>
  </si>
  <si>
    <t xml:space="preserve">Gender / indigenous-peoples disaggregations of other indicators stay with those indicators.</t>
  </si>
  <si>
    <t xml:space="preserve">#C2185B</t>
  </si>
  <si>
    <t xml:space="preserve">PPL</t>
  </si>
  <si>
    <t xml:space="preserve">People &amp; Livelihoods</t>
  </si>
  <si>
    <t xml:space="preserve">Beneficiaries, jobs, household income and rural infrastructure serving communities.</t>
  </si>
  <si>
    <t xml:space="preserve">Crop yields and production are AGR; training is GOV.</t>
  </si>
  <si>
    <t xml:space="preserve">#F28C28</t>
  </si>
  <si>
    <t xml:space="preserve">NEW outcome – proposed to replace "Cross-cutting / Other Results" as outcome 9 for standard indicators (Cross-cutting kept as 10 for legacy rows not yet mapped)</t>
  </si>
  <si>
    <t xml:space="preserve">Sub-categories</t>
  </si>
  <si>
    <t xml:space="preserve">SubcategoryCode</t>
  </si>
  <si>
    <t xml:space="preserve">Subcategory</t>
  </si>
  <si>
    <t xml:space="preserve">Description</t>
  </si>
  <si>
    <t xml:space="preserve">GOV.POL</t>
  </si>
  <si>
    <t xml:space="preserve">Policy &amp; regulation</t>
  </si>
  <si>
    <t xml:space="preserve">Policies, strategies, laws, regulations and provincial edicts.</t>
  </si>
  <si>
    <t xml:space="preserve">GOV.INS</t>
  </si>
  <si>
    <t xml:space="preserve">Institutions &amp; coordination</t>
  </si>
  <si>
    <t xml:space="preserve">National and provincial institutions, interministerial coordination.</t>
  </si>
  <si>
    <t xml:space="preserve">GOV.LOC</t>
  </si>
  <si>
    <t xml:space="preserve">Local governance</t>
  </si>
  <si>
    <t xml:space="preserve">Local decision-making structures and the services they deliver.</t>
  </si>
  <si>
    <t xml:space="preserve">GOV.CAP</t>
  </si>
  <si>
    <t xml:space="preserve">Capacity building</t>
  </si>
  <si>
    <t xml:space="preserve">Training of people and equipment of technical services and organisations.</t>
  </si>
  <si>
    <t xml:space="preserve">GOV.CSO</t>
  </si>
  <si>
    <t xml:space="preserve">Civil society</t>
  </si>
  <si>
    <t xml:space="preserve">Independent monitoring and oversight by civil society.</t>
  </si>
  <si>
    <t xml:space="preserve">FOR.SFM</t>
  </si>
  <si>
    <t xml:space="preserve">Sustainable forest management &amp; certification</t>
  </si>
  <si>
    <t xml:space="preserve">Chain designated (management plan) → effectively managed → certified.</t>
  </si>
  <si>
    <t xml:space="preserve">FOR.CNS</t>
  </si>
  <si>
    <t xml:space="preserve">Conservation</t>
  </si>
  <si>
    <t xml:space="preserve">Forest under conservation status.</t>
  </si>
  <si>
    <t xml:space="preserve">FOR.RST</t>
  </si>
  <si>
    <t xml:space="preserve">Restoration &amp; plantations</t>
  </si>
  <si>
    <t xml:space="preserve">Natural regeneration and tree plantations.</t>
  </si>
  <si>
    <t xml:space="preserve">FOR.PRT</t>
  </si>
  <si>
    <t xml:space="preserve">Fire &amp; wildlife protection</t>
  </si>
  <si>
    <t xml:space="preserve">Fire prevention and human–wildlife conflict mitigation.</t>
  </si>
  <si>
    <t xml:space="preserve">FOR.MCL</t>
  </si>
  <si>
    <t xml:space="preserve">Monitoring, control &amp; legality</t>
  </si>
  <si>
    <t xml:space="preserve">Forest monitoring, deforestation alerts, timber legality.</t>
  </si>
  <si>
    <t xml:space="preserve">FIN.COF</t>
  </si>
  <si>
    <t xml:space="preserve">Co-financing</t>
  </si>
  <si>
    <t xml:space="preserve">All co-financing mobilised.</t>
  </si>
  <si>
    <t xml:space="preserve">FIN.PRV</t>
  </si>
  <si>
    <t xml:space="preserve">Private investment</t>
  </si>
  <si>
    <t xml:space="preserve">Private finance, leverage, enterprises supported.</t>
  </si>
  <si>
    <t xml:space="preserve">FIN.SCH</t>
  </si>
  <si>
    <t xml:space="preserve">Supply chains</t>
  </si>
  <si>
    <t xml:space="preserve">Deforestation-free commodity supply chains.</t>
  </si>
  <si>
    <t xml:space="preserve">FIN.EXT</t>
  </si>
  <si>
    <t xml:space="preserve">Extractives</t>
  </si>
  <si>
    <t xml:space="preserve">Finance for forest-friendly mining and hydrocarbons.</t>
  </si>
  <si>
    <t xml:space="preserve">FIN.RBP</t>
  </si>
  <si>
    <t xml:space="preserve">Results-based payments (PES)</t>
  </si>
  <si>
    <t xml:space="preserve">Steps specific to the PES instrument: eligibility, verified compliance, payments.</t>
  </si>
  <si>
    <t xml:space="preserve">LUT.PLN</t>
  </si>
  <si>
    <t xml:space="preserve">Land-use planning</t>
  </si>
  <si>
    <t xml:space="preserve">Land-use and NRM plans and their coverage.</t>
  </si>
  <si>
    <t xml:space="preserve">LUT.CMP</t>
  </si>
  <si>
    <t xml:space="preserve">Plan compliance</t>
  </si>
  <si>
    <t xml:space="preserve">Violations of land-use plans.</t>
  </si>
  <si>
    <t xml:space="preserve">LUT.TEN</t>
  </si>
  <si>
    <t xml:space="preserve">Tenure security</t>
  </si>
  <si>
    <t xml:space="preserve">Secured land rights, registries, land arrangements.</t>
  </si>
  <si>
    <t xml:space="preserve">LUT.CON</t>
  </si>
  <si>
    <t xml:space="preserve">Conflict resolution</t>
  </si>
  <si>
    <t xml:space="preserve">Arbitration of land and resource-use conflicts.</t>
  </si>
  <si>
    <t xml:space="preserve">AGR.FCS</t>
  </si>
  <si>
    <t xml:space="preserve">Food crops &amp; seed</t>
  </si>
  <si>
    <t xml:space="preserve">Improved food-crop varieties and seed multiplication.</t>
  </si>
  <si>
    <t xml:space="preserve">AGR.PER</t>
  </si>
  <si>
    <t xml:space="preserve">Perennial crops &amp; agroforestry</t>
  </si>
  <si>
    <t xml:space="preserve">Deforestation-free perennial crops and agroforestry.</t>
  </si>
  <si>
    <t xml:space="preserve">AGR.PRD</t>
  </si>
  <si>
    <t xml:space="preserve">Productivity</t>
  </si>
  <si>
    <t xml:space="preserve">Production volumes and yields.</t>
  </si>
  <si>
    <t xml:space="preserve">AGR.MKT</t>
  </si>
  <si>
    <t xml:space="preserve">Market access</t>
  </si>
  <si>
    <t xml:space="preserve">Sales and share of production marketed.</t>
  </si>
  <si>
    <t xml:space="preserve">ENR.CCK</t>
  </si>
  <si>
    <t xml:space="preserve">Clean cooking</t>
  </si>
  <si>
    <t xml:space="preserve">Distribution, adoption, fuel savings and sales of clean cooking solutions.</t>
  </si>
  <si>
    <t xml:space="preserve">CLM.EMI</t>
  </si>
  <si>
    <t xml:space="preserve">Emissions &amp; removals</t>
  </si>
  <si>
    <t xml:space="preserve">GHG emission reductions and removals.</t>
  </si>
  <si>
    <t xml:space="preserve">CLM.FCC</t>
  </si>
  <si>
    <t xml:space="preserve">Forest cover change</t>
  </si>
  <si>
    <t xml:space="preserve">Deforestation and degradation in project areas.</t>
  </si>
  <si>
    <t xml:space="preserve">CLM.MRV</t>
  </si>
  <si>
    <t xml:space="preserve">MRV systems</t>
  </si>
  <si>
    <t xml:space="preserve">National forest monitoring and MRV systems.</t>
  </si>
  <si>
    <t xml:space="preserve">INC.DEM</t>
  </si>
  <si>
    <t xml:space="preserve">Demography</t>
  </si>
  <si>
    <t xml:space="preserve">Family planning.</t>
  </si>
  <si>
    <t xml:space="preserve">INC.OUT</t>
  </si>
  <si>
    <t xml:space="preserve">Inclusion &amp; outreach</t>
  </si>
  <si>
    <t xml:space="preserve">Awareness campaigns and outreach to vulnerable groups.</t>
  </si>
  <si>
    <t xml:space="preserve">PPL.BEN</t>
  </si>
  <si>
    <t xml:space="preserve">Beneficiaries</t>
  </si>
  <si>
    <t xml:space="preserve">Direct and indirect beneficiaries.</t>
  </si>
  <si>
    <t xml:space="preserve">PPL.JOB</t>
  </si>
  <si>
    <t xml:space="preserve">Jobs &amp; income</t>
  </si>
  <si>
    <t xml:space="preserve">Jobs created and income change.</t>
  </si>
  <si>
    <t xml:space="preserve">PPL.INF</t>
  </si>
  <si>
    <t xml:space="preserve">Rural infrastructure</t>
  </si>
  <si>
    <t xml:space="preserve">Community infrastructure and rural roads.</t>
  </si>
  <si>
    <t xml:space="preserve">Standard indicators – main reference table (67 indicators)</t>
  </si>
  <si>
    <t xml:space="preserve">Short names for dashboards in columns B–C; full definition in D. Applies_*: M = mandatory, C = if the activity is carried out.</t>
  </si>
  <si>
    <t xml:space="preserve">IndicatorCode</t>
  </si>
  <si>
    <t xml:space="preserve">IndicatorName</t>
  </si>
  <si>
    <t xml:space="preserve">IndicatorNameFR</t>
  </si>
  <si>
    <t xml:space="preserve">SortOrder</t>
  </si>
  <si>
    <t xml:space="preserve">Tier</t>
  </si>
  <si>
    <t xml:space="preserve">ResultLevel</t>
  </si>
  <si>
    <t xml:space="preserve">ResultType</t>
  </si>
  <si>
    <t xml:space="preserve">Unit</t>
  </si>
  <si>
    <t xml:space="preserve">UnitGroup</t>
  </si>
  <si>
    <t xml:space="preserve">MeasurementType</t>
  </si>
  <si>
    <t xml:space="preserve">AggregationRule</t>
  </si>
  <si>
    <t xml:space="preserve">RelatedIndicator</t>
  </si>
  <si>
    <t xml:space="preserve">Disaggregations</t>
  </si>
  <si>
    <t xml:space="preserve">Applies_Enabling</t>
  </si>
  <si>
    <t xml:space="preserve">Applies_AFOLU</t>
  </si>
  <si>
    <t xml:space="preserve">Applies_PES</t>
  </si>
  <si>
    <t xml:space="preserve">Applies_PrivateSector</t>
  </si>
  <si>
    <t xml:space="preserve">Tags</t>
  </si>
  <si>
    <t xml:space="preserve">DataSource</t>
  </si>
  <si>
    <t xml:space="preserve">Frequency</t>
  </si>
  <si>
    <t xml:space="preserve">LegacyFrameworkCodes</t>
  </si>
  <si>
    <t xml:space="preserve">DraftNo</t>
  </si>
  <si>
    <t xml:space="preserve">ChangeFromDraft</t>
  </si>
  <si>
    <t xml:space="preserve">GOV-01</t>
  </si>
  <si>
    <t xml:space="preserve">People trained</t>
  </si>
  <si>
    <t xml:space="preserve">Personnes formées</t>
  </si>
  <si>
    <t xml:space="preserve">Individuals who completed a project-supported training (minimum duration per methodological note), counted once per training type.</t>
  </si>
  <si>
    <t xml:space="preserve">Output</t>
  </si>
  <si>
    <t xml:space="preserve">Output / Deliverable</t>
  </si>
  <si>
    <t xml:space="preserve">People</t>
  </si>
  <si>
    <t xml:space="preserve">Cumulative / Stock</t>
  </si>
  <si>
    <t xml:space="preserve">Sum</t>
  </si>
  <si>
    <t xml:space="preserve">—</t>
  </si>
  <si>
    <t xml:space="preserve">Gender; Vulnerable group; Training type; Institution type</t>
  </si>
  <si>
    <t xml:space="preserve">C</t>
  </si>
  <si>
    <t xml:space="preserve">GENDER; IP</t>
  </si>
  <si>
    <t xml:space="preserve">Project report</t>
  </si>
  <si>
    <t xml:space="preserve">Annual</t>
  </si>
  <si>
    <t xml:space="preserve">G.4; FOR.4; E.3a</t>
  </si>
  <si>
    <t xml:space="preserve">5 (+68, 73)</t>
  </si>
  <si>
    <t xml:space="preserve">Kept</t>
  </si>
  <si>
    <t xml:space="preserve">GOV-02</t>
  </si>
  <si>
    <t xml:space="preserve">Policy and regulatory measures supported</t>
  </si>
  <si>
    <t xml:space="preserve">Mesures politiques et réglementaires appuyées</t>
  </si>
  <si>
    <t xml:space="preserve">Policies, strategies, laws, regulations/decrees and provincial edicts developed with project support, by the highest status reached (drafted, adopted, implemented). The portfolio headline reports "adopted".</t>
  </si>
  <si>
    <t xml:space="preserve">Number</t>
  </si>
  <si>
    <t xml:space="preserve">Count</t>
  </si>
  <si>
    <t xml:space="preserve">Sum by status (each measure at its highest status)</t>
  </si>
  <si>
    <t xml:space="preserve">Measure type; Measure status</t>
  </si>
  <si>
    <t xml:space="preserve">M</t>
  </si>
  <si>
    <t xml:space="preserve">FON.1</t>
  </si>
  <si>
    <t xml:space="preserve">8 (+33, 34, 61)</t>
  </si>
  <si>
    <t xml:space="preserve">Reworded</t>
  </si>
  <si>
    <t xml:space="preserve">GOV-03</t>
  </si>
  <si>
    <t xml:space="preserve">Operational local governance structures</t>
  </si>
  <si>
    <t xml:space="preserve">Structures locales de gouvernance opérationnelles</t>
  </si>
  <si>
    <t xml:space="preserve">Local decision-making structures (CLD, CLG, CARG, CPAT, CCPF, CCPA, etc.) created or strengthened that meet the operational criteria (regular meetings with minutes, mandate in force).</t>
  </si>
  <si>
    <t xml:space="preserve">Local structure type; Intervention area</t>
  </si>
  <si>
    <t xml:space="preserve">G.1</t>
  </si>
  <si>
    <t xml:space="preserve">12</t>
  </si>
  <si>
    <t xml:space="preserve">Moved</t>
  </si>
  <si>
    <t xml:space="preserve">GOV-04</t>
  </si>
  <si>
    <t xml:space="preserve">Interministerial coordination meetings</t>
  </si>
  <si>
    <t xml:space="preserve">Réunions de coordination interministérielle</t>
  </si>
  <si>
    <t xml:space="preserve">Interministerial or intersectoral coordination meetings held with project support during the year.</t>
  </si>
  <si>
    <t xml:space="preserve">Annual / Flow</t>
  </si>
  <si>
    <t xml:space="preserve">35</t>
  </si>
  <si>
    <t xml:space="preserve">GOV-05</t>
  </si>
  <si>
    <t xml:space="preserve">Institutions strengthened</t>
  </si>
  <si>
    <t xml:space="preserve">Institutions renforcées</t>
  </si>
  <si>
    <t xml:space="preserve">National or provincial institutions or units receiving structured support (staff, equipment, procedures, systems), by type and functional status.</t>
  </si>
  <si>
    <t xml:space="preserve">Institution type</t>
  </si>
  <si>
    <t xml:space="preserve">36</t>
  </si>
  <si>
    <t xml:space="preserve">GOV-06</t>
  </si>
  <si>
    <t xml:space="preserve">Technical services equipped</t>
  </si>
  <si>
    <t xml:space="preserve">Services techniques équipés</t>
  </si>
  <si>
    <t xml:space="preserve">Government technical services and civil society organisations equipped and operational with project support (land registry and brigades, land-use planning, agriculture, environment, rural development, CSOs).</t>
  </si>
  <si>
    <t xml:space="preserve">Technical service type</t>
  </si>
  <si>
    <t xml:space="preserve">G.3; G.4</t>
  </si>
  <si>
    <t xml:space="preserve">38 (+56)</t>
  </si>
  <si>
    <t xml:space="preserve">GOV-07</t>
  </si>
  <si>
    <t xml:space="preserve">People supported by technical services</t>
  </si>
  <si>
    <t xml:space="preserve">Personnes appuyées par les services techniques</t>
  </si>
  <si>
    <t xml:space="preserve">People receiving support from technical services during the year (extension, inspections, natural-resource-management assessments).</t>
  </si>
  <si>
    <t xml:space="preserve">Gender; Vulnerable group; Support type</t>
  </si>
  <si>
    <t xml:space="preserve">OUT.8</t>
  </si>
  <si>
    <t xml:space="preserve">47</t>
  </si>
  <si>
    <t xml:space="preserve">GOV-08</t>
  </si>
  <si>
    <t xml:space="preserve">Participants in local governance structures</t>
  </si>
  <si>
    <t xml:space="preserve">Participants aux structures locales de gouvernance</t>
  </si>
  <si>
    <t xml:space="preserve">Members actively participating in the structures counted in GOV-03, distinguishing steering members from general assembly members.</t>
  </si>
  <si>
    <t xml:space="preserve">Linked to GOV-03</t>
  </si>
  <si>
    <t xml:space="preserve">Gender; Vulnerable group; Participant role; Local structure type</t>
  </si>
  <si>
    <t xml:space="preserve">G.2</t>
  </si>
  <si>
    <t xml:space="preserve">55</t>
  </si>
  <si>
    <t xml:space="preserve">GOV-09</t>
  </si>
  <si>
    <t xml:space="preserve">CSOs doing independent monitoring</t>
  </si>
  <si>
    <t xml:space="preserve">OSC assurant un suivi indépendant</t>
  </si>
  <si>
    <t xml:space="preserve">Civil society organisations conducting independent monitoring of REDD+ projects and programmes, with at least one monitoring report produced during the period.</t>
  </si>
  <si>
    <t xml:space="preserve">Intervention area</t>
  </si>
  <si>
    <t xml:space="preserve">New</t>
  </si>
  <si>
    <t xml:space="preserve">FOR-01</t>
  </si>
  <si>
    <t xml:space="preserve">Area under natural regeneration</t>
  </si>
  <si>
    <t xml:space="preserve">Superficie en régénération naturelle</t>
  </si>
  <si>
    <t xml:space="preserve">Savannah or degraded land set aside for natural regeneration (assisted or unassisted) and still protected at the reporting date. Includes PES regeneration contracts.</t>
  </si>
  <si>
    <t xml:space="preserve">ha</t>
  </si>
  <si>
    <t xml:space="preserve">Area (ha)</t>
  </si>
  <si>
    <t xml:space="preserve">Regeneration type; Delivery mechanism; PES activity</t>
  </si>
  <si>
    <t xml:space="preserve">PES; CARBON; SPATIAL</t>
  </si>
  <si>
    <t xml:space="preserve">Project report; PES platform</t>
  </si>
  <si>
    <t xml:space="preserve">E.1; OUT.16b</t>
  </si>
  <si>
    <t xml:space="preserve">17 (+26, 52, 82, 83)</t>
  </si>
  <si>
    <t xml:space="preserve">FOR-02</t>
  </si>
  <si>
    <t xml:space="preserve">Area of tree plantations</t>
  </si>
  <si>
    <t xml:space="preserve">Superficie de plantations forestières</t>
  </si>
  <si>
    <t xml:space="preserve">Area planted with trees for wood energy, timber or mixed use, with surviving stands at the reporting date (survival threshold per methodological note). Includes PES afforestation/reforestation contracts.</t>
  </si>
  <si>
    <t xml:space="preserve">Plantation end use; Delivery mechanism; PES activity</t>
  </si>
  <si>
    <t xml:space="preserve">E.2; OUT.16a</t>
  </si>
  <si>
    <t xml:space="preserve">19 (+26, 52, 79)</t>
  </si>
  <si>
    <t xml:space="preserve">FOR-03</t>
  </si>
  <si>
    <t xml:space="preserve">Area under sustainable forest management</t>
  </si>
  <si>
    <t xml:space="preserve">Superficie sous gestion forestière durable</t>
  </si>
  <si>
    <t xml:space="preserve">Forest area where an approved management plan is effectively implemented (industrial concession, community forest/CFCL, artisanal logging, PSAT). Includes PES SFM contracts (EFIR-C). Second step after FOR-06.</t>
  </si>
  <si>
    <t xml:space="preserve">Outcome</t>
  </si>
  <si>
    <t xml:space="preserve">Field Result / Outcome Proxy</t>
  </si>
  <si>
    <t xml:space="preserve">Subset of FOR-06</t>
  </si>
  <si>
    <t xml:space="preserve">Forest management type; Delivery mechanism; PES activity</t>
  </si>
  <si>
    <t xml:space="preserve">FOR.4</t>
  </si>
  <si>
    <t xml:space="preserve">20 (+26, 71, 84)</t>
  </si>
  <si>
    <t xml:space="preserve">FOR-04</t>
  </si>
  <si>
    <t xml:space="preserve">Forest area under conservation</t>
  </si>
  <si>
    <t xml:space="preserve">Superficie forestière sous conservation</t>
  </si>
  <si>
    <t xml:space="preserve">Forest area placed under conservation (protected areas, conservation zones of community forests and PSATs). Includes PES conservation contracts.</t>
  </si>
  <si>
    <t xml:space="preserve">Conservation status; Delivery mechanism; PES activity</t>
  </si>
  <si>
    <t xml:space="preserve">FOR.5; OUT.6</t>
  </si>
  <si>
    <t xml:space="preserve">21 (+26, 86)</t>
  </si>
  <si>
    <t xml:space="preserve">FOR-05</t>
  </si>
  <si>
    <t xml:space="preserve">Certified forest area</t>
  </si>
  <si>
    <t xml:space="preserve">Superficie forestière certifiée</t>
  </si>
  <si>
    <t xml:space="preserve">Forest concessions holding a valid third-party certification (FSC, PAFC) or legality certificate. Subset of FOR-03 – do not add.</t>
  </si>
  <si>
    <t xml:space="preserve">Sum (subset of FOR-03 – do not add)</t>
  </si>
  <si>
    <t xml:space="preserve">Subset of FOR-03</t>
  </si>
  <si>
    <t xml:space="preserve">Certification scheme; Delivery mechanism</t>
  </si>
  <si>
    <t xml:space="preserve">PES; SPATIAL</t>
  </si>
  <si>
    <t xml:space="preserve">Project report; certification bodies</t>
  </si>
  <si>
    <t xml:space="preserve">FOR.8</t>
  </si>
  <si>
    <t xml:space="preserve">22 (+85)</t>
  </si>
  <si>
    <t xml:space="preserve">FOR-06</t>
  </si>
  <si>
    <t xml:space="preserve">Area under approved forest management plans</t>
  </si>
  <si>
    <t xml:space="preserve">Superficie sous plan de gestion forestière approuvé</t>
  </si>
  <si>
    <t xml:space="preserve">Forest area designated under an approved management plan (concession management plan, community forest simple management plan, PSAT). First step of designated (FOR-06) → effectively managed (FOR-03) → certified (FOR-05).</t>
  </si>
  <si>
    <t xml:space="preserve">Forest management type</t>
  </si>
  <si>
    <t xml:space="preserve">SPATIAL</t>
  </si>
  <si>
    <t xml:space="preserve">FOR.1</t>
  </si>
  <si>
    <t xml:space="preserve">69 (+42)</t>
  </si>
  <si>
    <t xml:space="preserve">FOR-07</t>
  </si>
  <si>
    <t xml:space="preserve">Timber legality system maturity</t>
  </si>
  <si>
    <t xml:space="preserve">Maturité du système de légalité du bois</t>
  </si>
  <si>
    <t xml:space="preserve">Maturity score of the timber legality verification system: 0 = none; 1 = designed; 2 = legal framework adopted; 3 = operational; 4 = operational and independently audited.</t>
  </si>
  <si>
    <t xml:space="preserve">Score 0–4</t>
  </si>
  <si>
    <t xml:space="preserve">Qualitative</t>
  </si>
  <si>
    <t xml:space="preserve">Not summed (report per country)</t>
  </si>
  <si>
    <t xml:space="preserve">43</t>
  </si>
  <si>
    <t xml:space="preserve">FOR-08</t>
  </si>
  <si>
    <t xml:space="preserve">Deforestation alerts processed</t>
  </si>
  <si>
    <t xml:space="preserve">Alertes de déforestation traitées</t>
  </si>
  <si>
    <t xml:space="preserve">Deforestation alerts in project areas received, verified in the field and acted upon (sanction, mediation, restoration). Alert source and confidence level stated.</t>
  </si>
  <si>
    <t xml:space="preserve">Sum by stage</t>
  </si>
  <si>
    <t xml:space="preserve">Alert stage; Alert source</t>
  </si>
  <si>
    <t xml:space="preserve">Project report; Secretariat (remote sensing)</t>
  </si>
  <si>
    <t xml:space="preserve">OUT.17</t>
  </si>
  <si>
    <t xml:space="preserve">53</t>
  </si>
  <si>
    <t xml:space="preserve">FOR-09</t>
  </si>
  <si>
    <t xml:space="preserve">Area of verified alerts in protected zones</t>
  </si>
  <si>
    <t xml:space="preserve">Superficie des alertes vérifiées en zones protégées</t>
  </si>
  <si>
    <t xml:space="preserve">Area affected by verified deforestation alerts inside conservation or protected zones of PSATs and community forests.</t>
  </si>
  <si>
    <t xml:space="preserve">Linked to FOR-08</t>
  </si>
  <si>
    <t xml:space="preserve">Alert source</t>
  </si>
  <si>
    <t xml:space="preserve">54</t>
  </si>
  <si>
    <t xml:space="preserve">FOR-10</t>
  </si>
  <si>
    <t xml:space="preserve">Area protected by firebreaks</t>
  </si>
  <si>
    <t xml:space="preserve">Superficie protégée par des pare-feux</t>
  </si>
  <si>
    <t xml:space="preserve">Area effectively protected by maintained firebreaks at the end of the dry season.</t>
  </si>
  <si>
    <t xml:space="preserve">Delivery mechanism</t>
  </si>
  <si>
    <t xml:space="preserve">SPATIAL; PES</t>
  </si>
  <si>
    <t xml:space="preserve">OUT.5</t>
  </si>
  <si>
    <t xml:space="preserve">70</t>
  </si>
  <si>
    <t xml:space="preserve">FOR-11</t>
  </si>
  <si>
    <t xml:space="preserve">Community forests with simple management plan</t>
  </si>
  <si>
    <t xml:space="preserve">CFCL dotées d’un plan simple de gestion</t>
  </si>
  <si>
    <t xml:space="preserve">Community forests (CFCL) with an approved simple management plan for forest operations.</t>
  </si>
  <si>
    <t xml:space="preserve">FOR.4c</t>
  </si>
  <si>
    <t xml:space="preserve">72</t>
  </si>
  <si>
    <t xml:space="preserve">FOR-12</t>
  </si>
  <si>
    <t xml:space="preserve">Electric fences installed</t>
  </si>
  <si>
    <t xml:space="preserve">Clôtures électriques installées</t>
  </si>
  <si>
    <t xml:space="preserve">Electric fences installed or rehabilitated to mitigate human–wildlife (elephant) conflict.</t>
  </si>
  <si>
    <t xml:space="preserve">76</t>
  </si>
  <si>
    <t xml:space="preserve">FOR-13</t>
  </si>
  <si>
    <t xml:space="preserve">Cropland protected by electric fences</t>
  </si>
  <si>
    <t xml:space="preserve">Superficie cultivée protégée par clôtures électriques</t>
  </si>
  <si>
    <t xml:space="preserve">Cultivated area protected by functional electric fences at the reporting date.</t>
  </si>
  <si>
    <t xml:space="preserve">Linked to FOR-12</t>
  </si>
  <si>
    <t xml:space="preserve">77</t>
  </si>
  <si>
    <t xml:space="preserve">FOR-14</t>
  </si>
  <si>
    <t xml:space="preserve">Area under forest monitoring and control</t>
  </si>
  <si>
    <t xml:space="preserve">Superficie sous surveillance forestière</t>
  </si>
  <si>
    <t xml:space="preserve">Area covered by operational forest monitoring and control systems supported by the project (patrols, community monitoring, alert systems).</t>
  </si>
  <si>
    <t xml:space="preserve">78</t>
  </si>
  <si>
    <t xml:space="preserve">FIN-01</t>
  </si>
  <si>
    <t xml:space="preserve">Co-financing mobilised</t>
  </si>
  <si>
    <t xml:space="preserve">Cofinancements mobilisés</t>
  </si>
  <si>
    <t xml:space="preserve">Financing from other sources (government, private, other donors, beneficiaries) committed or disbursed for the project’s activities, upstream or during implementation. Includes FIN-02.</t>
  </si>
  <si>
    <t xml:space="preserve">USD</t>
  </si>
  <si>
    <t xml:space="preserve">Finance (USD)</t>
  </si>
  <si>
    <t xml:space="preserve">Includes FIN-02</t>
  </si>
  <si>
    <t xml:space="preserve">Co-financing source; Timing</t>
  </si>
  <si>
    <t xml:space="preserve">CORE</t>
  </si>
  <si>
    <t xml:space="preserve">6</t>
  </si>
  <si>
    <t xml:space="preserve">FIN-02</t>
  </si>
  <si>
    <t xml:space="preserve">Private finance mobilised</t>
  </si>
  <si>
    <t xml:space="preserve">Financements privés mobilisés</t>
  </si>
  <si>
    <t xml:space="preserve">Private capital invested or committed alongside CAFI funding: direct (investment by the project’s private partners) or catalysed (third-party investment attributable to the project). Subset of FIN-01 – never add.</t>
  </si>
  <si>
    <t xml:space="preserve">Sum (subset of FIN-01 – do not add)</t>
  </si>
  <si>
    <t xml:space="preserve">Subset of FIN-01</t>
  </si>
  <si>
    <t xml:space="preserve">Private finance type; Sector / value chain</t>
  </si>
  <si>
    <t xml:space="preserve">7</t>
  </si>
  <si>
    <t xml:space="preserve">FIN-03</t>
  </si>
  <si>
    <t xml:space="preserve">Eligible PES applicants</t>
  </si>
  <si>
    <t xml:space="preserve">Candidats PSE éligibles</t>
  </si>
  <si>
    <t xml:space="preserve">Applicants meeting all PES participation requirements: identification, free prior and informed consent (FPIC), land rights and eligible area.</t>
  </si>
  <si>
    <t xml:space="preserve">Provider type; Gender; Vulnerable group</t>
  </si>
  <si>
    <t xml:space="preserve">PES; GENDER; IP</t>
  </si>
  <si>
    <t xml:space="preserve">PES platform</t>
  </si>
  <si>
    <t xml:space="preserve">24</t>
  </si>
  <si>
    <t xml:space="preserve">FIN-04</t>
  </si>
  <si>
    <t xml:space="preserve">PES payments to service providers</t>
  </si>
  <si>
    <t xml:space="preserve">Paiements PSE aux prestataires</t>
  </si>
  <si>
    <t xml:space="preserve">Results-based payments disbursed to environmental service providers after verification, by PES activity.</t>
  </si>
  <si>
    <t xml:space="preserve">PES activity; Provider type; Gender; Vulnerable group</t>
  </si>
  <si>
    <t xml:space="preserve">OUT.1</t>
  </si>
  <si>
    <t xml:space="preserve">27 (+87–94)</t>
  </si>
  <si>
    <t xml:space="preserve">FIN-05</t>
  </si>
  <si>
    <t xml:space="preserve">PES area verified as compliant</t>
  </si>
  <si>
    <t xml:space="preserve">Superficie PSE vérifiée conforme</t>
  </si>
  <si>
    <t xml:space="preserve">Area under PES contracts found compliant at the latest monitoring visit; also reported as a share of contracted area.</t>
  </si>
  <si>
    <t xml:space="preserve">Share of PES-contract area (FOR/AGR, DLV = PES)</t>
  </si>
  <si>
    <t xml:space="preserve">PES activity</t>
  </si>
  <si>
    <t xml:space="preserve">FIN-06</t>
  </si>
  <si>
    <t xml:space="preserve">Enterprises and producer organisations supported</t>
  </si>
  <si>
    <t xml:space="preserve">Entreprises et organisations de producteurs appuyées</t>
  </si>
  <si>
    <t xml:space="preserve">Enterprises and producer organisations receiving finance or technical assistance from the project.</t>
  </si>
  <si>
    <t xml:space="preserve">Enterprise type; Sector / value chain</t>
  </si>
  <si>
    <t xml:space="preserve">FIN-07</t>
  </si>
  <si>
    <t xml:space="preserve">Private finance leverage ratio</t>
  </si>
  <si>
    <t xml:space="preserve">Effet de levier du financement privé</t>
  </si>
  <si>
    <t xml:space="preserve">Private finance mobilised (FIN-02) per USD of CAFI funding transferred to the project (MPTF Gateway).</t>
  </si>
  <si>
    <t xml:space="preserve">Ratio</t>
  </si>
  <si>
    <t xml:space="preserve">Derived (not summed)</t>
  </si>
  <si>
    <t xml:space="preserve">FIN-02 ÷ CAFI transfers</t>
  </si>
  <si>
    <t xml:space="preserve">SECRETARIAT</t>
  </si>
  <si>
    <t xml:space="preserve">Secretariat (FIN-02 + MPTF)</t>
  </si>
  <si>
    <t xml:space="preserve">FIN-08</t>
  </si>
  <si>
    <t xml:space="preserve">Deforestation-free commodity volumes</t>
  </si>
  <si>
    <t xml:space="preserve">Volumes de produits zéro déforestation</t>
  </si>
  <si>
    <t xml:space="preserve">Volume of commodities sourced through supply chains with verified deforestation-free status (traceable to plot and checked against deforestation data).</t>
  </si>
  <si>
    <t xml:space="preserve">Tonnes</t>
  </si>
  <si>
    <t xml:space="preserve">Volume (t)</t>
  </si>
  <si>
    <t xml:space="preserve">Sum by commodity</t>
  </si>
  <si>
    <t xml:space="preserve">Commodity</t>
  </si>
  <si>
    <t xml:space="preserve">FIN-09</t>
  </si>
  <si>
    <t xml:space="preserve">Finance for forest-friendly extractives</t>
  </si>
  <si>
    <t xml:space="preserve">Financements pour des industries extractives respectueuses des forêts</t>
  </si>
  <si>
    <t xml:space="preserve">Finance mobilised (CAFI and other) for forest-friendly practices in the mining and hydrocarbon sectors.</t>
  </si>
  <si>
    <t xml:space="preserve">Co-financing source</t>
  </si>
  <si>
    <t xml:space="preserve">44</t>
  </si>
  <si>
    <t xml:space="preserve">FIN-10</t>
  </si>
  <si>
    <t xml:space="preserve">Smallholders in supported supply chains</t>
  </si>
  <si>
    <t xml:space="preserve">Petits producteurs intégrés aux chaînes d’approvisionnement</t>
  </si>
  <si>
    <t xml:space="preserve">Smallholders integrated into supported deforestation-free supply chains. Also counted in PPL-01 – do not add.</t>
  </si>
  <si>
    <t xml:space="preserve">Sum (also in PPL-01 – do not add)</t>
  </si>
  <si>
    <t xml:space="preserve">Subset of PPL-01</t>
  </si>
  <si>
    <t xml:space="preserve">Gender; Commodity</t>
  </si>
  <si>
    <t xml:space="preserve">GENDER</t>
  </si>
  <si>
    <t xml:space="preserve">LUT-01</t>
  </si>
  <si>
    <t xml:space="preserve">Land-use plans validated</t>
  </si>
  <si>
    <t xml:space="preserve">Plans d’aménagement validés</t>
  </si>
  <si>
    <t xml:space="preserve">Land-use and natural-resource-management plans formally validated, by administrative level (province, territory, sector/groupement, terroir/PSAT).</t>
  </si>
  <si>
    <t xml:space="preserve">Plan level</t>
  </si>
  <si>
    <t xml:space="preserve">AT.1</t>
  </si>
  <si>
    <t xml:space="preserve">9</t>
  </si>
  <si>
    <t xml:space="preserve">LUT-02</t>
  </si>
  <si>
    <t xml:space="preserve">Area under validated land-use plans</t>
  </si>
  <si>
    <t xml:space="preserve">Superficie sous plans d’aménagement validés</t>
  </si>
  <si>
    <t xml:space="preserve">Area covered by the plans counted in LUT-01. Overlaps with FOR and AGR areas – never add to them.</t>
  </si>
  <si>
    <t xml:space="preserve">Sum (do not add to FOR/AGR areas)</t>
  </si>
  <si>
    <t xml:space="preserve">Linked to LUT-01</t>
  </si>
  <si>
    <t xml:space="preserve">AT.2; AT.3</t>
  </si>
  <si>
    <t xml:space="preserve">10</t>
  </si>
  <si>
    <t xml:space="preserve">LUT-03</t>
  </si>
  <si>
    <t xml:space="preserve">Area with secured land tenure</t>
  </si>
  <si>
    <t xml:space="preserve">Superficie sécurisée au plan foncier</t>
  </si>
  <si>
    <t xml:space="preserve">Land area with legally recognised tenure rights secured with project support (individual or collective titles, community forest concessions/CFCL).</t>
  </si>
  <si>
    <t xml:space="preserve">Tenure type</t>
  </si>
  <si>
    <t xml:space="preserve">FON.3</t>
  </si>
  <si>
    <t xml:space="preserve">11</t>
  </si>
  <si>
    <t xml:space="preserve">LUT-04</t>
  </si>
  <si>
    <t xml:space="preserve">Land-use plan violations recorded</t>
  </si>
  <si>
    <t xml:space="preserve">Infractions aux plans d’aménagement</t>
  </si>
  <si>
    <t xml:space="preserve">Recorded violations of the major provisions of validated land-use plans. A rise may reflect better enforcement – read with LUT-05.</t>
  </si>
  <si>
    <t xml:space="preserve">AT.4</t>
  </si>
  <si>
    <t xml:space="preserve">57</t>
  </si>
  <si>
    <t xml:space="preserve">LUT-05</t>
  </si>
  <si>
    <t xml:space="preserve">Area affected by land-use plan violations</t>
  </si>
  <si>
    <t xml:space="preserve">Superficie affectée par des infractions</t>
  </si>
  <si>
    <t xml:space="preserve">Area affected by the violations counted in LUT-04.</t>
  </si>
  <si>
    <t xml:space="preserve">Linked to LUT-04</t>
  </si>
  <si>
    <t xml:space="preserve">AT.5</t>
  </si>
  <si>
    <t xml:space="preserve">58</t>
  </si>
  <si>
    <t xml:space="preserve">LUT-06</t>
  </si>
  <si>
    <t xml:space="preserve">Population covered by land-use plans</t>
  </si>
  <si>
    <t xml:space="preserve">Population couverte par des plans d’aménagement</t>
  </si>
  <si>
    <t xml:space="preserve">People living in administrative units with validated land-use plans.</t>
  </si>
  <si>
    <t xml:space="preserve">Gender; Vulnerable group</t>
  </si>
  <si>
    <t xml:space="preserve">Project report (census data)</t>
  </si>
  <si>
    <t xml:space="preserve">AT.8</t>
  </si>
  <si>
    <t xml:space="preserve">59</t>
  </si>
  <si>
    <t xml:space="preserve">LUT-07</t>
  </si>
  <si>
    <t xml:space="preserve">Land conflicts arbitrated and resolved</t>
  </si>
  <si>
    <t xml:space="preserve">Conflits fonciers arbitrés et résolus</t>
  </si>
  <si>
    <t xml:space="preserve">Land and natural-resource-use conflicts submitted to an arbitration procedure, and of which resolved (procedure closed with agreement).</t>
  </si>
  <si>
    <t xml:space="preserve">Conflict stage</t>
  </si>
  <si>
    <t xml:space="preserve">AT.9; OUT.7</t>
  </si>
  <si>
    <t xml:space="preserve">60 (+46)</t>
  </si>
  <si>
    <t xml:space="preserve">LUT-08</t>
  </si>
  <si>
    <t xml:space="preserve">Operational decentralised land registries</t>
  </si>
  <si>
    <t xml:space="preserve">Registres fonciers décentralisés opérationnels</t>
  </si>
  <si>
    <t xml:space="preserve">Decentralised land registries supported, by stage reached (piloted, established, functional).</t>
  </si>
  <si>
    <t xml:space="preserve">Registry stage</t>
  </si>
  <si>
    <t xml:space="preserve">FON.2</t>
  </si>
  <si>
    <t xml:space="preserve">62</t>
  </si>
  <si>
    <t xml:space="preserve">LUT-09</t>
  </si>
  <si>
    <t xml:space="preserve">Land arrangements registered</t>
  </si>
  <si>
    <t xml:space="preserve">Arrangements fonciers enregistrés</t>
  </si>
  <si>
    <t xml:space="preserve">Land arrangements registered with project support.</t>
  </si>
  <si>
    <t xml:space="preserve">Tenure type; Formality</t>
  </si>
  <si>
    <t xml:space="preserve">FON.4</t>
  </si>
  <si>
    <t xml:space="preserve">63</t>
  </si>
  <si>
    <t xml:space="preserve">LUT-10</t>
  </si>
  <si>
    <t xml:space="preserve">PSATs with NRM good-practice guides</t>
  </si>
  <si>
    <t xml:space="preserve">PSAT dotés de guides de bonnes pratiques GRN</t>
  </si>
  <si>
    <t xml:space="preserve">Share of PSATs (village land-use plans) with an adopted good-practice guide for natural-resource management.</t>
  </si>
  <si>
    <t xml:space="preserve">%</t>
  </si>
  <si>
    <t xml:space="preserve">Percent</t>
  </si>
  <si>
    <t xml:space="preserve">Not summed</t>
  </si>
  <si>
    <t xml:space="preserve">FOR.6; AT.6</t>
  </si>
  <si>
    <t xml:space="preserve">74</t>
  </si>
  <si>
    <t xml:space="preserve">AGR-01</t>
  </si>
  <si>
    <t xml:space="preserve">Area under improved food crop varieties</t>
  </si>
  <si>
    <t xml:space="preserve">Superficie vivrière en variétés améliorées</t>
  </si>
  <si>
    <t xml:space="preserve">Area cropped with improved food-crop varieties in the rural complex, per growing season, excluding seed multiplication fields (AGR-08).</t>
  </si>
  <si>
    <t xml:space="preserve">Crop / product; Intervention area</t>
  </si>
  <si>
    <t xml:space="preserve">CARBON; SPATIAL</t>
  </si>
  <si>
    <t xml:space="preserve">Annual (per season)</t>
  </si>
  <si>
    <t xml:space="preserve">AG.2</t>
  </si>
  <si>
    <t xml:space="preserve">15</t>
  </si>
  <si>
    <t xml:space="preserve">AGR-02</t>
  </si>
  <si>
    <t xml:space="preserve">Area under deforestation-free perennial crops</t>
  </si>
  <si>
    <t xml:space="preserve">Superficie de cultures pérennes zéro déforestation</t>
  </si>
  <si>
    <t xml:space="preserve">Perennial crops (cocoa, coffee, oil palm, etc.) established on savannah, rural complex or degraded forest without forest clearing. Includes PES deforestation-free agriculture contracts.</t>
  </si>
  <si>
    <t xml:space="preserve">Crop / product; Delivery mechanism; PES activity</t>
  </si>
  <si>
    <t xml:space="preserve">AG.3a</t>
  </si>
  <si>
    <t xml:space="preserve">16 (+26, 81)</t>
  </si>
  <si>
    <t xml:space="preserve">AGR-03</t>
  </si>
  <si>
    <t xml:space="preserve">Area under agroforestry</t>
  </si>
  <si>
    <t xml:space="preserve">Superficie en agroforesterie</t>
  </si>
  <si>
    <t xml:space="preserve">Area of agroforestry plantations (trees associated with crops) established and maintained. Includes PES agroforestry contracts.</t>
  </si>
  <si>
    <t xml:space="preserve">Delivery mechanism; PES activity</t>
  </si>
  <si>
    <t xml:space="preserve">AG.3b</t>
  </si>
  <si>
    <t xml:space="preserve">18 (+26, 80)</t>
  </si>
  <si>
    <t xml:space="preserve">AGR-04</t>
  </si>
  <si>
    <t xml:space="preserve">Production from supported plantations</t>
  </si>
  <si>
    <t xml:space="preserve">Production des plantations appuyées</t>
  </si>
  <si>
    <t xml:space="preserve">Quantity harvested from project-supported plantations, by product.</t>
  </si>
  <si>
    <t xml:space="preserve">Sum by product</t>
  </si>
  <si>
    <t xml:space="preserve">Crop / product</t>
  </si>
  <si>
    <t xml:space="preserve">OUT.11</t>
  </si>
  <si>
    <t xml:space="preserve">48</t>
  </si>
  <si>
    <t xml:space="preserve">AGR-05</t>
  </si>
  <si>
    <t xml:space="preserve">Sales revenue from supported plantations</t>
  </si>
  <si>
    <t xml:space="preserve">Revenus des ventes des plantations appuyées</t>
  </si>
  <si>
    <t xml:space="preserve">Total revenue from the sale of products from project-supported plantations, by product.</t>
  </si>
  <si>
    <t xml:space="preserve">OUT.13</t>
  </si>
  <si>
    <t xml:space="preserve">49</t>
  </si>
  <si>
    <t xml:space="preserve">AGR-06</t>
  </si>
  <si>
    <t xml:space="preserve">Share of production sold</t>
  </si>
  <si>
    <t xml:space="preserve">Part de la production commercialisée</t>
  </si>
  <si>
    <t xml:space="preserve">Share of production from supported plantations sold to market (not consumed by households).</t>
  </si>
  <si>
    <t xml:space="preserve">Linked to AGR-04</t>
  </si>
  <si>
    <t xml:space="preserve">SURVEY</t>
  </si>
  <si>
    <t xml:space="preserve">Project report / survey</t>
  </si>
  <si>
    <t xml:space="preserve">OUT.14</t>
  </si>
  <si>
    <t xml:space="preserve">50</t>
  </si>
  <si>
    <t xml:space="preserve">AGR-07</t>
  </si>
  <si>
    <t xml:space="preserve">Change in crop yields</t>
  </si>
  <si>
    <t xml:space="preserve">Évolution des rendements agricoles</t>
  </si>
  <si>
    <t xml:space="preserve">Percentage change in yields of key crops for beneficiary households compared with baseline, by crop.</t>
  </si>
  <si>
    <t xml:space="preserve">% change</t>
  </si>
  <si>
    <t xml:space="preserve">Survey</t>
  </si>
  <si>
    <t xml:space="preserve">Baseline / mid-term / final</t>
  </si>
  <si>
    <t xml:space="preserve">OUT.15; IMP.2 (Co-bénéfices)</t>
  </si>
  <si>
    <t xml:space="preserve">51 (+30)</t>
  </si>
  <si>
    <t xml:space="preserve">AGR-08</t>
  </si>
  <si>
    <t xml:space="preserve">Seed multiplication area</t>
  </si>
  <si>
    <t xml:space="preserve">Superficie de multiplication de semences</t>
  </si>
  <si>
    <t xml:space="preserve">Area of improved seed multiplication fields, per growing season.</t>
  </si>
  <si>
    <t xml:space="preserve">AG.1</t>
  </si>
  <si>
    <t xml:space="preserve">65</t>
  </si>
  <si>
    <t xml:space="preserve">ENR-01</t>
  </si>
  <si>
    <t xml:space="preserve">Clean cooking solutions distributed</t>
  </si>
  <si>
    <t xml:space="preserve">Solutions de cuisson propre distribuées</t>
  </si>
  <si>
    <t xml:space="preserve">Clean cooking solutions (LPG kits, improved cookstoves, electric) distributed or sold to households and institutions.</t>
  </si>
  <si>
    <t xml:space="preserve">Cooking solution type; Intervention area</t>
  </si>
  <si>
    <t xml:space="preserve">CARBON</t>
  </si>
  <si>
    <t xml:space="preserve">E.3b</t>
  </si>
  <si>
    <t xml:space="preserve">23</t>
  </si>
  <si>
    <t xml:space="preserve">ENR-02</t>
  </si>
  <si>
    <t xml:space="preserve">Clean cooking adoption rate</t>
  </si>
  <si>
    <t xml:space="preserve">Taux d’adoption de la cuisson propre</t>
  </si>
  <si>
    <t xml:space="preserve">Share of recipient households using the solution as their main cooking device at the follow-up survey (at least 6 months after distribution).</t>
  </si>
  <si>
    <t xml:space="preserve">Linked to ENR-01</t>
  </si>
  <si>
    <t xml:space="preserve">Cooking solution type</t>
  </si>
  <si>
    <t xml:space="preserve">SURVEY; CARBON</t>
  </si>
  <si>
    <t xml:space="preserve">39</t>
  </si>
  <si>
    <t xml:space="preserve">ENR-03</t>
  </si>
  <si>
    <t xml:space="preserve">Fuel savings from clean cooking</t>
  </si>
  <si>
    <t xml:space="preserve">Économie de combustible</t>
  </si>
  <si>
    <t xml:space="preserve">Average reduction in wood or charcoal consumption per household attributable to the solution, measured by kitchen performance test or survey.</t>
  </si>
  <si>
    <t xml:space="preserve">40</t>
  </si>
  <si>
    <t xml:space="preserve">ENR-04</t>
  </si>
  <si>
    <t xml:space="preserve">Sales value of clean cooking solutions</t>
  </si>
  <si>
    <t xml:space="preserve">Valeur des ventes de solutions de cuisson propre</t>
  </si>
  <si>
    <t xml:space="preserve">Value of clean cooking solutions sold during the year.</t>
  </si>
  <si>
    <t xml:space="preserve">41</t>
  </si>
  <si>
    <t xml:space="preserve">CLM-01</t>
  </si>
  <si>
    <t xml:space="preserve">Emission reductions and removals</t>
  </si>
  <si>
    <t xml:space="preserve">Réductions d’émissions et absorptions</t>
  </si>
  <si>
    <t xml:space="preserve">Estimated GHG emission reductions (avoided deforestation and degradation, reduced fuelwood use) and removals (regeneration, plantations, agroforestry) attributable to the project. Calculated by the Secretariat from the activity indicators tagged CARBON with the CAFI carbon factors; projects do not report tCO2e.</t>
  </si>
  <si>
    <t xml:space="preserve">Impact</t>
  </si>
  <si>
    <t xml:space="preserve">tCO2e</t>
  </si>
  <si>
    <t xml:space="preserve">Carbon (tCO2e)</t>
  </si>
  <si>
    <t xml:space="preserve">Calculated from CARBON-tagged indicators</t>
  </si>
  <si>
    <t xml:space="preserve">CORE; SECRETARIAT; PES</t>
  </si>
  <si>
    <t xml:space="preserve">Secretariat (carbon model)</t>
  </si>
  <si>
    <t xml:space="preserve">IMPACT couvert forestier</t>
  </si>
  <si>
    <t xml:space="preserve">1</t>
  </si>
  <si>
    <t xml:space="preserve">CLM-02</t>
  </si>
  <si>
    <t xml:space="preserve">Deforestation and degradation in project area</t>
  </si>
  <si>
    <t xml:space="preserve">Déforestation et dégradation dans la zone du projet</t>
  </si>
  <si>
    <t xml:space="preserve">Average annual area of deforestation and forest degradation (or tree-cover loss where degradation cannot be measured) in the project intervention area, compared with the pre-project baseline. Calculated by the Secretariat from remote sensing; dataset and alert confidence level stated.</t>
  </si>
  <si>
    <t xml:space="preserve">ha / year</t>
  </si>
  <si>
    <t xml:space="preserve">CORE; SECRETARIAT; SPATIAL; CARBON</t>
  </si>
  <si>
    <t xml:space="preserve">Secretariat (remote sensing)</t>
  </si>
  <si>
    <t xml:space="preserve">IMP.1 (Couvert forestier)</t>
  </si>
  <si>
    <t xml:space="preserve">2</t>
  </si>
  <si>
    <t xml:space="preserve">CLM-03</t>
  </si>
  <si>
    <t xml:space="preserve">MRV system functionality</t>
  </si>
  <si>
    <t xml:space="preserve">Fonctionnalité du système MNV</t>
  </si>
  <si>
    <t xml:space="preserve">Maturity score of the national forest monitoring / MRV system supported: 0 = not in place; 1 = designed; 2 = institutions and staff in place; 3 = producing data (activity data, FREL); 4 = producing official data used in national reporting (NDC, BTR, REDD+ results).</t>
  </si>
  <si>
    <t xml:space="preserve">INC-01</t>
  </si>
  <si>
    <t xml:space="preserve">Couple-years of protection</t>
  </si>
  <si>
    <t xml:space="preserve">Années-couple de protection</t>
  </si>
  <si>
    <t xml:space="preserve">Couple-years of protection (CYP) provided through family planning services, computed from contraceptives distributed with standard conversion factors.</t>
  </si>
  <si>
    <t xml:space="preserve">CYP</t>
  </si>
  <si>
    <t xml:space="preserve">45</t>
  </si>
  <si>
    <t xml:space="preserve">INC-02</t>
  </si>
  <si>
    <t xml:space="preserve">Awareness campaigns</t>
  </si>
  <si>
    <t xml:space="preserve">Campagnes de sensibilisation</t>
  </si>
  <si>
    <t xml:space="preserve">Awareness and communication campaigns conducted; the share using tools specifically targeting indigenous peoples and vulnerable groups is reported alongside.</t>
  </si>
  <si>
    <t xml:space="preserve">Sum (share not summed)</t>
  </si>
  <si>
    <t xml:space="preserve">Vulnerable group</t>
  </si>
  <si>
    <t xml:space="preserve">IP</t>
  </si>
  <si>
    <t xml:space="preserve">37</t>
  </si>
  <si>
    <t xml:space="preserve">INC-03</t>
  </si>
  <si>
    <t xml:space="preserve">New users of modern contraception</t>
  </si>
  <si>
    <t xml:space="preserve">Nouvelles utilisatrices de contraception moderne</t>
  </si>
  <si>
    <t xml:space="preserve">New users of modern contraceptive methods reached through supported services.</t>
  </si>
  <si>
    <t xml:space="preserve">PPL-01</t>
  </si>
  <si>
    <t xml:space="preserve">Direct beneficiaries</t>
  </si>
  <si>
    <t xml:space="preserve">Bénéficiaires directs</t>
  </si>
  <si>
    <t xml:space="preserve">Unique individuals who directly receive project goods, services, payments or training, including environmental service providers with a signed PES contract and beneficiaries of land tenure security. Each person is counted once, whatever the number of interventions received.</t>
  </si>
  <si>
    <t xml:space="preserve">Sum (unique persons)</t>
  </si>
  <si>
    <t xml:space="preserve">Gender; Vulnerable group; Intervention type; Provider type; Intervention area</t>
  </si>
  <si>
    <t xml:space="preserve">CORE; GENDER; IP; PES</t>
  </si>
  <si>
    <t xml:space="preserve">OUT.4; FON.5; E.3</t>
  </si>
  <si>
    <t xml:space="preserve">3 (+25, 64, 66, 67)</t>
  </si>
  <si>
    <t xml:space="preserve">Kept – absorbs 4 draft indicators</t>
  </si>
  <si>
    <t xml:space="preserve">PPL-02</t>
  </si>
  <si>
    <t xml:space="preserve">Direct jobs created</t>
  </si>
  <si>
    <t xml:space="preserve">Emplois directs créés</t>
  </si>
  <si>
    <t xml:space="preserve">Full-time-equivalent jobs created by the project or by the enterprises it supports along the value chain. The methodological note sets the FTE definition and minimum duration.</t>
  </si>
  <si>
    <t xml:space="preserve">FTE jobs</t>
  </si>
  <si>
    <t xml:space="preserve">Gender; Sector / value chain</t>
  </si>
  <si>
    <t xml:space="preserve">CORE; GENDER</t>
  </si>
  <si>
    <t xml:space="preserve">4</t>
  </si>
  <si>
    <t xml:space="preserve">PPL-03</t>
  </si>
  <si>
    <t xml:space="preserve">Rural infrastructure built or rehabilitated</t>
  </si>
  <si>
    <t xml:space="preserve">Infrastructures rurales construites ou réhabilitées</t>
  </si>
  <si>
    <t xml:space="preserve">Infrastructure works (buildings, bridges, water points, other) built or rehabilitated, funded from the project budget or through collective PES payments.</t>
  </si>
  <si>
    <t xml:space="preserve">Sum by type</t>
  </si>
  <si>
    <t xml:space="preserve">Infrastructure type; Funding source; Intervention area</t>
  </si>
  <si>
    <t xml:space="preserve">AT.7a; OUT.3</t>
  </si>
  <si>
    <t xml:space="preserve">13</t>
  </si>
  <si>
    <t xml:space="preserve">PPL-04</t>
  </si>
  <si>
    <t xml:space="preserve">Rural roads built or rehabilitated</t>
  </si>
  <si>
    <t xml:space="preserve">Routes rurales construites ou réhabilitées</t>
  </si>
  <si>
    <t xml:space="preserve">Length of rural roads and tracks built, rehabilitated or maintained with project support. A section maintained in several years is counted once in the cumulative total.</t>
  </si>
  <si>
    <t xml:space="preserve">km</t>
  </si>
  <si>
    <t xml:space="preserve">Length (km)</t>
  </si>
  <si>
    <t xml:space="preserve">AT.7b</t>
  </si>
  <si>
    <t xml:space="preserve">14</t>
  </si>
  <si>
    <t xml:space="preserve">PPL-05</t>
  </si>
  <si>
    <t xml:space="preserve">Change in beneficiaries’ income</t>
  </si>
  <si>
    <t xml:space="preserve">Évolution des revenus des bénéficiaires</t>
  </si>
  <si>
    <t xml:space="preserve">Percentage change in the average monetary income of direct beneficiary households compared with baseline, measured by sample survey (baseline, mid-term, final). Sample size and method stated.</t>
  </si>
  <si>
    <t xml:space="preserve">Not summed (average and range)</t>
  </si>
  <si>
    <t xml:space="preserve">SURVEY; GENDER</t>
  </si>
  <si>
    <t xml:space="preserve">IMP.1 (Co-bénéfices)</t>
  </si>
  <si>
    <t xml:space="preserve">29</t>
  </si>
  <si>
    <t xml:space="preserve">PPL-06</t>
  </si>
  <si>
    <t xml:space="preserve">Indirect beneficiaries</t>
  </si>
  <si>
    <t xml:space="preserve">Bénéficiaires indirects</t>
  </si>
  <si>
    <t xml:space="preserve">People benefiting indirectly: household members of direct beneficiaries, residents of communities covered by supported plans, community forests or infrastructure. Estimation method stated.</t>
  </si>
  <si>
    <t xml:space="preserve">Not summed (estimation methods differ)</t>
  </si>
  <si>
    <t xml:space="preserve">Beneficiary group; Intervention area</t>
  </si>
  <si>
    <t xml:space="preserve">FOR.2; FOR.7</t>
  </si>
  <si>
    <t xml:space="preserve">28 (+67, 75)</t>
  </si>
  <si>
    <t xml:space="preserve">Indicator ↔ disaggregation (bridge table)</t>
  </si>
  <si>
    <t xml:space="preserve">DimensionCode</t>
  </si>
  <si>
    <t xml:space="preserve">Dimension</t>
  </si>
  <si>
    <t xml:space="preserve">Order</t>
  </si>
  <si>
    <t xml:space="preserve">GEN</t>
  </si>
  <si>
    <t xml:space="preserve">Gender</t>
  </si>
  <si>
    <t xml:space="preserve">VUL</t>
  </si>
  <si>
    <t xml:space="preserve">TRN</t>
  </si>
  <si>
    <t xml:space="preserve">Training type</t>
  </si>
  <si>
    <t xml:space="preserve">INST</t>
  </si>
  <si>
    <t xml:space="preserve">MTY</t>
  </si>
  <si>
    <t xml:space="preserve">Measure type</t>
  </si>
  <si>
    <t xml:space="preserve">MST</t>
  </si>
  <si>
    <t xml:space="preserve">Measure status</t>
  </si>
  <si>
    <t xml:space="preserve">LGS</t>
  </si>
  <si>
    <t xml:space="preserve">Local structure type</t>
  </si>
  <si>
    <t xml:space="preserve">GEO</t>
  </si>
  <si>
    <t xml:space="preserve">TSV</t>
  </si>
  <si>
    <t xml:space="preserve">SUP</t>
  </si>
  <si>
    <t xml:space="preserve">Support type</t>
  </si>
  <si>
    <t xml:space="preserve">ROLE</t>
  </si>
  <si>
    <t xml:space="preserve">Participant role</t>
  </si>
  <si>
    <t xml:space="preserve">RGT</t>
  </si>
  <si>
    <t xml:space="preserve">Regeneration type</t>
  </si>
  <si>
    <t xml:space="preserve">DLV</t>
  </si>
  <si>
    <t xml:space="preserve">PESA</t>
  </si>
  <si>
    <t xml:space="preserve">END</t>
  </si>
  <si>
    <t xml:space="preserve">Plantation end use</t>
  </si>
  <si>
    <t xml:space="preserve">SFMT</t>
  </si>
  <si>
    <t xml:space="preserve">CNS</t>
  </si>
  <si>
    <t xml:space="preserve">Conservation status</t>
  </si>
  <si>
    <t xml:space="preserve">CERT</t>
  </si>
  <si>
    <t xml:space="preserve">Certification scheme</t>
  </si>
  <si>
    <t xml:space="preserve">ALS</t>
  </si>
  <si>
    <t xml:space="preserve">Alert stage</t>
  </si>
  <si>
    <t xml:space="preserve">ALSRC</t>
  </si>
  <si>
    <t xml:space="preserve">CFS</t>
  </si>
  <si>
    <t xml:space="preserve">TIM</t>
  </si>
  <si>
    <t xml:space="preserve">Timing</t>
  </si>
  <si>
    <t xml:space="preserve">PFT</t>
  </si>
  <si>
    <t xml:space="preserve">Private finance type</t>
  </si>
  <si>
    <t xml:space="preserve">SEC</t>
  </si>
  <si>
    <t xml:space="preserve">Sector / value chain</t>
  </si>
  <si>
    <t xml:space="preserve">PROV</t>
  </si>
  <si>
    <t xml:space="preserve">Provider type</t>
  </si>
  <si>
    <t xml:space="preserve">ENT</t>
  </si>
  <si>
    <t xml:space="preserve">Enterprise type</t>
  </si>
  <si>
    <t xml:space="preserve">COM</t>
  </si>
  <si>
    <t xml:space="preserve">PLV</t>
  </si>
  <si>
    <t xml:space="preserve">TEN</t>
  </si>
  <si>
    <t xml:space="preserve">CST</t>
  </si>
  <si>
    <t xml:space="preserve">RGS</t>
  </si>
  <si>
    <t xml:space="preserve">FRM</t>
  </si>
  <si>
    <t xml:space="preserve">Formality</t>
  </si>
  <si>
    <t xml:space="preserve">CRP</t>
  </si>
  <si>
    <t xml:space="preserve">CCS</t>
  </si>
  <si>
    <t xml:space="preserve">INT</t>
  </si>
  <si>
    <t xml:space="preserve">Intervention type</t>
  </si>
  <si>
    <t xml:space="preserve">INF</t>
  </si>
  <si>
    <t xml:space="preserve">Infrastructure type</t>
  </si>
  <si>
    <t xml:space="preserve">FND</t>
  </si>
  <si>
    <t xml:space="preserve">Funding source</t>
  </si>
  <si>
    <t xml:space="preserve">BEN</t>
  </si>
  <si>
    <t xml:space="preserve">Beneficiary group</t>
  </si>
  <si>
    <t xml:space="preserve">Disaggregation dimensions and standard values</t>
  </si>
  <si>
    <t xml:space="preserve">Values are separated by ";". Projects may add sub-values but must be able to roll up to these.</t>
  </si>
  <si>
    <t xml:space="preserve">DimensionFR</t>
  </si>
  <si>
    <t xml:space="preserve">Values</t>
  </si>
  <si>
    <t xml:space="preserve">UsedByIndicators</t>
  </si>
  <si>
    <t xml:space="preserve">Genre</t>
  </si>
  <si>
    <t xml:space="preserve">Female; Male</t>
  </si>
  <si>
    <t xml:space="preserve">Groupe vulnérable</t>
  </si>
  <si>
    <t xml:space="preserve">Indigenous peoples; Other minorities; Migrants; Youth; Not vulnerable</t>
  </si>
  <si>
    <t xml:space="preserve">Zone d’intervention</t>
  </si>
  <si>
    <t xml:space="preserve">Province; Territory / district (project-defined)</t>
  </si>
  <si>
    <t xml:space="preserve">Type d’intervention</t>
  </si>
  <si>
    <t xml:space="preserve">Agriculture; Agroforestry; Forestry; Conservation; Restoration; Tenure security; Energy; PES contract; Other</t>
  </si>
  <si>
    <t xml:space="preserve">Mécanisme de mise en œuvre</t>
  </si>
  <si>
    <t xml:space="preserve">PES contract; Other project support</t>
  </si>
  <si>
    <t xml:space="preserve">Activité PSE</t>
  </si>
  <si>
    <t xml:space="preserve">Afforestation/reforestation; Agroforestry; Deforestation-free agriculture; Natural regeneration – unassisted; Natural regeneration – assisted; SFM (EFIR-C) – not certified; SFM (EFIR-C) – certified; Conservation</t>
  </si>
  <si>
    <t xml:space="preserve">Type de prestataire</t>
  </si>
  <si>
    <t xml:space="preserve">Individual; Community / collective</t>
  </si>
  <si>
    <t xml:space="preserve">Type de formation</t>
  </si>
  <si>
    <t xml:space="preserve">Sustainable agriculture; Sustainable forestry; Improved carbonisation; Land-use planning &amp; tenure; MRV &amp; GIS; Governance &amp; management; Other</t>
  </si>
  <si>
    <t xml:space="preserve">Type d’institution</t>
  </si>
  <si>
    <t xml:space="preserve">Government; Civil society / NGO; Private sector; Community</t>
  </si>
  <si>
    <t xml:space="preserve">Type de mesure</t>
  </si>
  <si>
    <t xml:space="preserve">Policy / strategy; Law; Regulation / decree; Provincial edict</t>
  </si>
  <si>
    <t xml:space="preserve">Statut de la mesure</t>
  </si>
  <si>
    <t xml:space="preserve">Drafted; Adopted; Implemented</t>
  </si>
  <si>
    <t xml:space="preserve">Type de structure locale</t>
  </si>
  <si>
    <t xml:space="preserve">CLD; CLG; CARG; CPAT; CCPF; CCPA; Other</t>
  </si>
  <si>
    <t xml:space="preserve">Rôle du participant</t>
  </si>
  <si>
    <t xml:space="preserve">Steering member; General assembly member</t>
  </si>
  <si>
    <t xml:space="preserve">Échelon du plan</t>
  </si>
  <si>
    <t xml:space="preserve">Province; Territory; Sector / groupement; Terroir (PSAT)</t>
  </si>
  <si>
    <t xml:space="preserve">Type de tenure</t>
  </si>
  <si>
    <t xml:space="preserve">Individual; Collective; Community forest (CFCL)</t>
  </si>
  <si>
    <t xml:space="preserve">Formalité</t>
  </si>
  <si>
    <t xml:space="preserve">Formal; Informal</t>
  </si>
  <si>
    <t xml:space="preserve">Étape du registre</t>
  </si>
  <si>
    <t xml:space="preserve">Piloted; Established; Functional</t>
  </si>
  <si>
    <t xml:space="preserve">Étape du conflit</t>
  </si>
  <si>
    <t xml:space="preserve">Submitted to arbitration; Resolved</t>
  </si>
  <si>
    <t xml:space="preserve">Type d’infrastructure</t>
  </si>
  <si>
    <t xml:space="preserve">Buildings; Bridges; Water points; Other</t>
  </si>
  <si>
    <t xml:space="preserve">Source de financement</t>
  </si>
  <si>
    <t xml:space="preserve">Project budget; Collective PES</t>
  </si>
  <si>
    <t xml:space="preserve">Usage de la plantation</t>
  </si>
  <si>
    <t xml:space="preserve">Wood energy; Timber; Mixed</t>
  </si>
  <si>
    <t xml:space="preserve">Type de régénération</t>
  </si>
  <si>
    <t xml:space="preserve">Assisted; Unassisted</t>
  </si>
  <si>
    <t xml:space="preserve">Type de gestion forestière</t>
  </si>
  <si>
    <t xml:space="preserve">Industrial concession; Community forest (CFCL); Artisanal; PSAT</t>
  </si>
  <si>
    <t xml:space="preserve">Statut de conservation</t>
  </si>
  <si>
    <t xml:space="preserve">Protected area; Community forest (CFCL) conservation zone; PSAT conservation zone</t>
  </si>
  <si>
    <t xml:space="preserve">Schéma de certification</t>
  </si>
  <si>
    <t xml:space="preserve">FSC; PAFC; Legality certificate; Other</t>
  </si>
  <si>
    <t xml:space="preserve">Étape de l’alerte</t>
  </si>
  <si>
    <t xml:space="preserve">Received; Verified; Acted upon</t>
  </si>
  <si>
    <t xml:space="preserve">Source des alertes</t>
  </si>
  <si>
    <t xml:space="preserve">RADD; GLAD; National system; Other</t>
  </si>
  <si>
    <t xml:space="preserve">Culture / produit</t>
  </si>
  <si>
    <t xml:space="preserve">Cassava; Maize; Rice; Coffee; Cocoa; Palm oil; Other</t>
  </si>
  <si>
    <t xml:space="preserve">Produit de base</t>
  </si>
  <si>
    <t xml:space="preserve">Cocoa; Coffee; Palm oil; Rubber; Timber; Other</t>
  </si>
  <si>
    <t xml:space="preserve">Type de solution de cuisson</t>
  </si>
  <si>
    <t xml:space="preserve">LPG; Improved cookstove; Electric; Other</t>
  </si>
  <si>
    <t xml:space="preserve">Source du cofinancement</t>
  </si>
  <si>
    <t xml:space="preserve">Government; Private; Other donor; Beneficiary contribution</t>
  </si>
  <si>
    <t xml:space="preserve">Calendrier</t>
  </si>
  <si>
    <t xml:space="preserve">Upstream (before start); During implementation</t>
  </si>
  <si>
    <t xml:space="preserve">Type de financement privé</t>
  </si>
  <si>
    <t xml:space="preserve">Direct; Catalysed</t>
  </si>
  <si>
    <t xml:space="preserve">Type d’entreprise</t>
  </si>
  <si>
    <t xml:space="preserve">Micro; Small; Medium; Large; Producer organisation</t>
  </si>
  <si>
    <t xml:space="preserve">Secteur / filière</t>
  </si>
  <si>
    <t xml:space="preserve">Agriculture; Forestry; Energy; Ecotourism; Other</t>
  </si>
  <si>
    <t xml:space="preserve">Type de service technique</t>
  </si>
  <si>
    <t xml:space="preserve">Land administration / registry; Land-use planning; Agriculture; Environment; Rural development; CSO</t>
  </si>
  <si>
    <t xml:space="preserve">Type d’appui</t>
  </si>
  <si>
    <t xml:space="preserve">Extension; Inspection; NRM assessment</t>
  </si>
  <si>
    <t xml:space="preserve">Groupe de bénéficiaires</t>
  </si>
  <si>
    <t xml:space="preserve">Community forest (CFCL); PSAT; Other</t>
  </si>
  <si>
    <t xml:space="preserve">Tags (Power BI slicers)</t>
  </si>
  <si>
    <t xml:space="preserve">TagCode</t>
  </si>
  <si>
    <t xml:space="preserve">Tag</t>
  </si>
  <si>
    <t xml:space="preserve">PES</t>
  </si>
  <si>
    <t xml:space="preserve">PES view</t>
  </si>
  <si>
    <t xml:space="preserve">Indicator (or its PES-contract disaggregation) feeds the PES dashboard. Filter Delivery mechanism = PES contract where relevant.</t>
  </si>
  <si>
    <t xml:space="preserve">Carbon input</t>
  </si>
  <si>
    <t xml:space="preserve">Activity data used by the Secretariat to calculate CLM-01 with the CAFI carbon factors (09_CarbonFactors).</t>
  </si>
  <si>
    <t xml:space="preserve">Gender-disaggregated</t>
  </si>
  <si>
    <t xml:space="preserve">Must be reported by gender.</t>
  </si>
  <si>
    <t xml:space="preserve">Indigenous peoples / vulnerable groups</t>
  </si>
  <si>
    <t xml:space="preserve">Must be reported by vulnerable group, incl. indigenous peoples.</t>
  </si>
  <si>
    <t xml:space="preserve">Spatial</t>
  </si>
  <si>
    <t xml:space="preserve">Area-based: polygons or georeferenced boundaries expected, allowing remote-sensing verification.</t>
  </si>
  <si>
    <t xml:space="preserve">Calculated by Secretariat</t>
  </si>
  <si>
    <t xml:space="preserve">Not reported by projects; computed centrally.</t>
  </si>
  <si>
    <t xml:space="preserve">Survey-based</t>
  </si>
  <si>
    <t xml:space="preserve">Requires a baseline and follow-up survey; not summed across projects.</t>
  </si>
  <si>
    <t xml:space="preserve">Universal core</t>
  </si>
  <si>
    <t xml:space="preserve">Tier 1 – reported by every project.</t>
  </si>
  <si>
    <t xml:space="preserve">Indicator ↔ tag (bridge table)</t>
  </si>
  <si>
    <t xml:space="preserve">Unit groups – existing Metrics Hub groups + proposed additions</t>
  </si>
  <si>
    <t xml:space="preserve">UnitGroupSort</t>
  </si>
  <si>
    <t xml:space="preserve">Existing</t>
  </si>
  <si>
    <t xml:space="preserve">Existing – also used for 0–4 maturity scores</t>
  </si>
  <si>
    <t xml:space="preserve">NEW – rural roads</t>
  </si>
  <si>
    <t xml:space="preserve">NEW – production and commodity volumes</t>
  </si>
  <si>
    <t xml:space="preserve">NEW – leverage ratio</t>
  </si>
  <si>
    <t xml:space="preserve">Metrics Hub standard framework (08_Framework) → new indicator codes</t>
  </si>
  <si>
    <t xml:space="preserve">Level</t>
  </si>
  <si>
    <t xml:space="preserve">Theme</t>
  </si>
  <si>
    <t xml:space="preserve">FrameworkCode</t>
  </si>
  <si>
    <t xml:space="preserve">FrameworkIndicator</t>
  </si>
  <si>
    <t xml:space="preserve">NewIndicatorCode</t>
  </si>
  <si>
    <t xml:space="preserve">Match</t>
  </si>
  <si>
    <t xml:space="preserve">Note</t>
  </si>
  <si>
    <t xml:space="preserve">1. Gouvernance</t>
  </si>
  <si>
    <t xml:space="preserve">Gouvernance locale des ressources naturelles · Nb de structures de gouvernance décisionnaires créées ou renforcées, et fonctionnelles, ventilé par type (CLD, CLG (pour les CFCL), CARG, CPAT, CCPF, CCPA, etc)</t>
  </si>
  <si>
    <t xml:space="preserve">Direct</t>
  </si>
  <si>
    <t xml:space="preserve">Gouvernance locale des ressources naturelles · Nb de personnes participant activement à ces structures de gouvernance décisionnaires, ventilé par type (CLD, CARG, CCPF, CCPA, etc), par genre et par groupe vulnérable (PA)</t>
  </si>
  <si>
    <t xml:space="preserve">G.3</t>
  </si>
  <si>
    <t xml:space="preserve">Gouvernance locale · Nombre de services techniques partenaires formels du projet, en distinguant le pourcentage de ces services techniques avec qui sont passés des contrats de performance</t>
  </si>
  <si>
    <t xml:space="preserve">Partial</t>
  </si>
  <si>
    <t xml:space="preserve">Partner technical services; the share with performance contracts is not retained</t>
  </si>
  <si>
    <t xml:space="preserve">G.4</t>
  </si>
  <si>
    <t xml:space="preserve">Gouvernance locale des ressources naturelles · Nombre de services techniques équipés et opérationnels, ventilé par type : · a) Brigades Foncières équipées et formées, cadastre en place, suivi des registres, etc · b) Services AT provinciaux et de territoire équipés et formés (SIG, etc) · c) Services Agriculture provinciaux, de Territoire et de Secteur équipés et formés · d) Services de l’Environnem</t>
  </si>
  <si>
    <t xml:space="preserve">G.5</t>
  </si>
  <si>
    <t xml:space="preserve">Gouvernance du projet · Nombre de visites de suivi réalisées par les agents du projet qui font l’objet de rapports formels transmis, ventilé par type (Agence, ALE, services techniques par type)</t>
  </si>
  <si>
    <t xml:space="preserve">Removed</t>
  </si>
  <si>
    <t xml:space="preserve">Project-management indicator (follow-up visits) – project level only</t>
  </si>
  <si>
    <t xml:space="preserve">G.6</t>
  </si>
  <si>
    <t xml:space="preserve">Gouvernance du projet · Nombre de réunions du COPIL de projet organisés et préparés de manière adéquate</t>
  </si>
  <si>
    <t xml:space="preserve">Project-management indicator (steering committees)</t>
  </si>
  <si>
    <t xml:space="preserve">G.7</t>
  </si>
  <si>
    <t xml:space="preserve">Gouvernance du projet · Nombre de réunions du Comité de gestion de projet (FONAREDD, CAFI, organisation de mise en œuvre) organisés et préparés de manière adéquate</t>
  </si>
  <si>
    <t xml:space="preserve">Project-management indicator (management committees)</t>
  </si>
  <si>
    <t xml:space="preserve">2. Aménagement du Territoire (AT)</t>
  </si>
  <si>
    <t xml:space="preserve">Nombre de plans d’AT et de Gestion des Ressources Naturelles (a) élaborés et (b) validés ou non, ventilé par type d’échelon administratif (province, groupement/secteurs administratifs, territoires, terroirs)</t>
  </si>
  <si>
    <t xml:space="preserve">AT.2</t>
  </si>
  <si>
    <t xml:space="preserve">Superficies (ha) sous plans d’Aménagement du Territoire : i) élaborés ii) soumis iii) validés, ventilé par type d’échelon administratif : province, groupement/secteurs administratifs, territoires, terroirs)</t>
  </si>
  <si>
    <t xml:space="preserve">Elaborated/submitted stages not retained – validated only</t>
  </si>
  <si>
    <t xml:space="preserve">AT.3</t>
  </si>
  <si>
    <t xml:space="preserve">Superficies a) par catégorie d’occupation des sols (ha) sous les plans d’AT et b) par affectation des terres (ha) prévues par les Plan d’AT</t>
  </si>
  <si>
    <t xml:space="preserve">Land-use classes become a project-level breakdown</t>
  </si>
  <si>
    <t xml:space="preserve">Nombre d’infractions aux dispositions majeures des plans d’AT</t>
  </si>
  <si>
    <t xml:space="preserve">Superficies impactées par ces infractions aux dispositions majeures des plans d’AT</t>
  </si>
  <si>
    <t xml:space="preserve">AT.6</t>
  </si>
  <si>
    <t xml:space="preserve">Degré de respect des règles de gestion des Ressources naturelles établies par les PGRN</t>
  </si>
  <si>
    <t xml:space="preserve">Compliance degree not retained as a standard score</t>
  </si>
  <si>
    <t xml:space="preserve">AT.7</t>
  </si>
  <si>
    <t xml:space="preserve">a) Nb d’infrastructures construites, réhabilitées, entretenues (sur budget projet / PSE collectifs) · b) Longueur de routes rurales construites, réhabilitées et entretenues (effectif et cumulé)</t>
  </si>
  <si>
    <t xml:space="preserve">PPL-03; PPL-04</t>
  </si>
  <si>
    <t xml:space="preserve">a) infrastructure → PPL-03; b) rural roads → PPL-04</t>
  </si>
  <si>
    <t xml:space="preserve">Nombre de personnes habitant dans les entités administratives sous plan d’AT, ventilé par genre et par groupe vulnérable (PA)</t>
  </si>
  <si>
    <t xml:space="preserve">AT.9</t>
  </si>
  <si>
    <t xml:space="preserve">Nb de procédures d’arbitrage pour résoudre les conflits d’usage des terres (a) engagées, et (b) ayant mis un terme au conflit</t>
  </si>
  <si>
    <t xml:space="preserve">3. Foncier</t>
  </si>
  <si>
    <t xml:space="preserve">Nombre d’édits fonciers provinciaux élaborés / promulgués de manière participative</t>
  </si>
  <si>
    <t xml:space="preserve">Measure type = provincial edict</t>
  </si>
  <si>
    <t xml:space="preserve">Nombre de registres fonciers décentralisés pilotés / établis / fonctionnels</t>
  </si>
  <si>
    <t xml:space="preserve">Superficies de terres sécurisées au niveau foncier, ventilées par type de sécurisation foncière (individuelle ou collective)</t>
  </si>
  <si>
    <t xml:space="preserve">Nombre d’arrangements fonciers enregistrés, ventilé par type (individuel/collectif, formel/informel)</t>
  </si>
  <si>
    <t xml:space="preserve">FON.5</t>
  </si>
  <si>
    <t xml:space="preserve">Nombres de bénéficiaires directs et indirects de la sécurisation foncière, ventilée par type de sécurisation (individuelle ou collective), par genre et par groupe vulnérable</t>
  </si>
  <si>
    <t xml:space="preserve">PPL-01; PPL-06</t>
  </si>
  <si>
    <t xml:space="preserve">Intervention type = tenure security</t>
  </si>
  <si>
    <t xml:space="preserve">4. Agriculture</t>
  </si>
  <si>
    <t xml:space="preserve">Superficies de champs de multiplication de semences améliorées établis (par saison de culture et en cumulé) · Superficie consacrée á la production de semences et de plants ?</t>
  </si>
  <si>
    <t xml:space="preserve">Superficies vivrières établies sous variétés améliorées dans le complexe rural (hors agri-multiplication)</t>
  </si>
  <si>
    <t xml:space="preserve">AG.3</t>
  </si>
  <si>
    <t xml:space="preserve">Superficies d’agriculture durable réalisées, totales et ventilées par : · a) Cultures pérennes sans déforestation (savane ou complexe rural et forêts dégradées) · b) Plantations agroforestières</t>
  </si>
  <si>
    <t xml:space="preserve">AGR-02; AGR-03</t>
  </si>
  <si>
    <t xml:space="preserve">a) perennial crops → AGR-02; b) agroforestry → AGR-03</t>
  </si>
  <si>
    <t xml:space="preserve">5. Energie</t>
  </si>
  <si>
    <t xml:space="preserve">E.1</t>
  </si>
  <si>
    <t xml:space="preserve">Superficie de régénération forestière en savane par mise en défens (naturelle et assistée)</t>
  </si>
  <si>
    <t xml:space="preserve">Moved from Energy to Forests</t>
  </si>
  <si>
    <t xml:space="preserve">E.2</t>
  </si>
  <si>
    <t xml:space="preserve">Superficie de plantations à vocation totale ou partielle bois-énergie / bois d’œuvre</t>
  </si>
  <si>
    <t xml:space="preserve">Moved from Energy to Forests; end use as breakdown</t>
  </si>
  <si>
    <t xml:space="preserve">E.3</t>
  </si>
  <si>
    <t xml:space="preserve">Nombre de bénéficiaires directs / indirects, ventilé par genre et type (minorité)) dont : · a) Paysans, charbonniers et entrepreneurs de charbonnage formés aux techniques de carbonisation améliorées · b) Nombres de solutions de cuissons propres achetées/distribuées (si inclus dans projet)</t>
  </si>
  <si>
    <t xml:space="preserve">PPL-01; GOV-01; ENR-01</t>
  </si>
  <si>
    <t xml:space="preserve">Beneficiaries → PPL-01; carbonisation training → GOV-01; cooking solutions → ENR-01</t>
  </si>
  <si>
    <t xml:space="preserve">6. Gestion forestière &amp; conservation</t>
  </si>
  <si>
    <t xml:space="preserve">Superficies à vocation de gestion forestière durable, ventilé par statut (catégorie GDF du )</t>
  </si>
  <si>
    <t xml:space="preserve">FOR.2</t>
  </si>
  <si>
    <t xml:space="preserve">Nombre de personnes habitant dans les zones de foresterie communautaire formalisées (en RDC : sous CFCL)</t>
  </si>
  <si>
    <t xml:space="preserve">Beneficiary group = CFCL</t>
  </si>
  <si>
    <t xml:space="preserve">Exploitation forestière durable : · Superficie sous CFCL et PSAT sous exploitation forestière effective engagée dans une démarche de durabilité · Superficie sous exploitation forestière artisanale durable (y compris dans CFCL) · Nb de CFCL, (CLD et ETD?) disposant d’un Plan Simple de Gestion (PSG) de l’exploitation forestière · Superficie sous contrat de PSE de gestion forestière durable · Nombre </t>
  </si>
  <si>
    <t xml:space="preserve">FOR-03; FOR-11; GOV-01</t>
  </si>
  <si>
    <t xml:space="preserve">Effective SFM → FOR-03; CFCL with PSG → FOR-11; people trained → GOV-01; PES SFM contracts → FOR-03 (DLV = PES)</t>
  </si>
  <si>
    <t xml:space="preserve">FOR.5</t>
  </si>
  <si>
    <t xml:space="preserve">Superficies forestières (ha) placées sous conservation, totale et · a) A l’intérieur d’une CFCL · b) Au sein d’un PSAT (terroirs villageois)</t>
  </si>
  <si>
    <t xml:space="preserve">FOR.6</t>
  </si>
  <si>
    <t xml:space="preserve">Conservation · % de PSAT auxquels sont associés des guides de bonnes pratiques de Gestion Naturelle des ressources · b) Degré d’application de ces pratiques</t>
  </si>
  <si>
    <t xml:space="preserve">Degree of application not retained</t>
  </si>
  <si>
    <t xml:space="preserve">FOR.7</t>
  </si>
  <si>
    <t xml:space="preserve">Nombre total de bénéficiaires indirects, ventilé par genre et type (CFCL, PSAT) · (inclut FOR 4 e et f)</t>
  </si>
  <si>
    <t xml:space="preserve">Superficies de forêts sous concessions certifiées</t>
  </si>
  <si>
    <t xml:space="preserve">Progrès vers les indicateurs d’impact – pauvreté</t>
  </si>
  <si>
    <t xml:space="preserve">Paiements effectués sur la base de la performance · Montant des PSE transférés, ventilé par i) type de PSE (cultures pérennes, agroforesterie, régénération, conservation, gestion forestière durable, reboisement etc), ii)genre et iii)groupe vulnérable</t>
  </si>
  <si>
    <t xml:space="preserve">OUT.2</t>
  </si>
  <si>
    <t xml:space="preserve">Sécurité alimentaire améliorée : · a) Les zones et périodes de disette identifiées par le projet sont résorbées · b) Les activités commerciales et les choix de spéculation promues ne créent pas de nouvelle disette</t>
  </si>
  <si>
    <t xml:space="preserve">Not retained</t>
  </si>
  <si>
    <t xml:space="preserve">Qualitative food-security statement – project level</t>
  </si>
  <si>
    <t xml:space="preserve">OUT.3</t>
  </si>
  <si>
    <t xml:space="preserve">Conditions de vie améliorées · Nombre de villages ayant bénéficié d’équipements (incluant les infrastructures, mais pas les intrants) financés au travers des PSE collectifs reçus</t>
  </si>
  <si>
    <t xml:space="preserve">Funding source = collective PES; counts infrastructure, not villages</t>
  </si>
  <si>
    <t xml:space="preserve">OUT.4</t>
  </si>
  <si>
    <t xml:space="preserve">Nombre total de bénéficiaires directs du projet, désagrégé par la géographie, le genre et les minorités (peuples autochtones)</t>
  </si>
  <si>
    <t xml:space="preserve">Progrès vers les indicateurs d’impact – couvert forestier</t>
  </si>
  <si>
    <t xml:space="preserve">Superficie, sous contrat PSE ou PSAT, annuelle moyenne brûlée dans les terroirs (zones agricoles, sous régénération naturelle, conservation)</t>
  </si>
  <si>
    <t xml:space="preserve">Burned area not retained; firebreak protection kept</t>
  </si>
  <si>
    <t xml:space="preserve">OUT.6</t>
  </si>
  <si>
    <t xml:space="preserve">Superficies, sous PSAT, de tourbières et forêts inondées préservées ou gérées en accord avec les règles de bonnes pratiques de GRN</t>
  </si>
  <si>
    <t xml:space="preserve">Peatlands / flooded forest as conservation status</t>
  </si>
  <si>
    <t xml:space="preserve">Gouvernance</t>
  </si>
  <si>
    <t xml:space="preserve">OUT.7</t>
  </si>
  <si>
    <t xml:space="preserve">Les plateformes multi-acteurs s’impliquent activement dans la GRN: · Nb d’arbitrages réalisés par les structures de gouvernance pour assurer le respect des pratiques agréées, ventilé par type de structure : PSG, PSAT/PGRN, PLD, etc</t>
  </si>
  <si>
    <t xml:space="preserve">Les services techniques sont opérationnels et contribuent activement à la meilleure Gestion des ressources naturelles. · Nombre de personnes recevant un appui par les services techniques (formations, contrôles, bilans de GRN), ventilé par genre et groupes vulnérables (PA, jeunes)</t>
  </si>
  <si>
    <t xml:space="preserve">OUT.9</t>
  </si>
  <si>
    <t xml:space="preserve">Les Agences Locales d’Exécution (ALE) acquièrent des capacités leur permettant de prolonger l’atteinte des résultats du projet (capacité fiduciaire et comptable, capacités techniques, capacités à gérer les financements, à contractualiser les PSE, atteindre les résultats et les vérifier) : · % de fonds transférés aux ONG locales · Les ALE sont en charge sur toutes les activités du début à la fin du</t>
  </si>
  <si>
    <t xml:space="preserve">Local implementing agency capacity – project level</t>
  </si>
  <si>
    <t xml:space="preserve">OUT.10</t>
  </si>
  <si>
    <t xml:space="preserve">Superficies sous contrat PSE, ventilé par ALE et par type de PSE (agriculture durable, cultures pérennes, agroforesterie, régénération etc)</t>
  </si>
  <si>
    <t xml:space="preserve">FOR-01…04; AGR-02; AGR-03</t>
  </si>
  <si>
    <t xml:space="preserve">Delivery mechanism = PES contract (PES view)</t>
  </si>
  <si>
    <t xml:space="preserve">Agriculture</t>
  </si>
  <si>
    <t xml:space="preserve">Productions issues des plantations, ventilé par type (makala, manioc, café, cacao, huile de palme, etc)</t>
  </si>
  <si>
    <t xml:space="preserve">OUT.12</t>
  </si>
  <si>
    <t xml:space="preserve">Acceptabilité par les ménages des bénéfices et de la rentabilité des spéculations promues</t>
  </si>
  <si>
    <t xml:space="preserve">Household acceptability – qualitative</t>
  </si>
  <si>
    <t xml:space="preserve">Revenus agricoles augmentés · Revenu global généré par le projet dans la vente des produits issus des plantations, ventilé par type (makala, manioc, café, cacao, huile de palme, etc)</t>
  </si>
  <si>
    <t xml:space="preserve">Les chaînes de valeur sont opérationnelles et prêtes à absorber les productions (marges de commercialisation raisonnables et prix attractifs) : · Pourcentage de produits achetées issus des plantations appuyées par le projet (non consommés par les ménages)</t>
  </si>
  <si>
    <t xml:space="preserve">OUT.15</t>
  </si>
  <si>
    <t xml:space="preserve">Les rendements des cultures vivrières sont améliorés : · Pourcentage d’augmentation des rendements des cultures vivrières</t>
  </si>
  <si>
    <t xml:space="preserve">Energie</t>
  </si>
  <si>
    <t xml:space="preserve">OUT.16</t>
  </si>
  <si>
    <t xml:space="preserve">Taux de survie des plantations et mises en défens appuyées par le projet · Superficies · a) plantées subsistantes · b) mises en défens subsistantes · ventilées par type</t>
  </si>
  <si>
    <t xml:space="preserve">FOR-01; FOR-02</t>
  </si>
  <si>
    <t xml:space="preserve">Surviving areas = definition of FOR-01 / FOR-02</t>
  </si>
  <si>
    <t xml:space="preserve">Forets</t>
  </si>
  <si>
    <t xml:space="preserve">Nb et superficie d’alertes de déforestation dans les zones PSAT sous mise en défens et/ou conservation, ventilé par alertes reçues / contrôlées / traitées</t>
  </si>
  <si>
    <t xml:space="preserve">FOR-08; FOR-09</t>
  </si>
  <si>
    <t xml:space="preserve">Couvert forestier</t>
  </si>
  <si>
    <t xml:space="preserve">IMP.1</t>
  </si>
  <si>
    <t xml:space="preserve">Superficie annuelle moyenne de déforestation et de dégradation (ou à défaut, de perte de couvert arboré) dans la zone de projet</t>
  </si>
  <si>
    <t xml:space="preserve">IMP.2</t>
  </si>
  <si>
    <t xml:space="preserve">Superficie totale de compensation des pertes du couvert forestier, ventilé par type : agroforesterie, cultures pérennes, restauration par mise en défens, plantation, etc</t>
  </si>
  <si>
    <t xml:space="preserve">FOR-01; FOR-02; AGR-02; AGR-03</t>
  </si>
  <si>
    <t xml:space="preserve">Derived</t>
  </si>
  <si>
    <t xml:space="preserve">Sum of restoration / agroforestry / perennial areas</t>
  </si>
  <si>
    <t xml:space="preserve">Co-bénéfices du développement</t>
  </si>
  <si>
    <t xml:space="preserve">Augmentation des revenus monétaires directs pour les bénéficiaires directs</t>
  </si>
  <si>
    <t xml:space="preserve">Augmentation de la production vivrière des ménages bénéficiaires, ventilé par type de culture clé</t>
  </si>
  <si>
    <t xml:space="preserve">Production increase → yield change</t>
  </si>
  <si>
    <t xml:space="preserve">Metrics Hub harmonised indicators (05_Results.Indicator) → suggested new codes</t>
  </si>
  <si>
    <t xml:space="preserve">ResultRows = number of rows in 05_Results with this label (source: CAFI_MetricsHub_Tables_2026.xlsx). "Partial" = check unit/definition row by row before re-coding.</t>
  </si>
  <si>
    <t xml:space="preserve">HubIndicator</t>
  </si>
  <si>
    <t xml:space="preserve">CurrentOutcome</t>
  </si>
  <si>
    <t xml:space="preserve">ResultRows</t>
  </si>
  <si>
    <t xml:space="preserve">Project-specific output/result</t>
  </si>
  <si>
    <t xml:space="preserve">Project-specific</t>
  </si>
  <si>
    <t xml:space="preserve">Review row by row</t>
  </si>
  <si>
    <t xml:space="preserve">Finance mobilised or deployed</t>
  </si>
  <si>
    <t xml:space="preserve">FIN-01; FIN-02; FIN-04</t>
  </si>
  <si>
    <t xml:space="preserve">Split by type: co-financing / private / PES payments</t>
  </si>
  <si>
    <t xml:space="preserve">Institutional mechanisms, plans or tools supported</t>
  </si>
  <si>
    <t xml:space="preserve">Forest areas under sustainable management, restoration or conservation</t>
  </si>
  <si>
    <t xml:space="preserve">FOR-01; FOR-03; FOR-04</t>
  </si>
  <si>
    <t xml:space="preserve">Split by activity</t>
  </si>
  <si>
    <t xml:space="preserve">To be mapped</t>
  </si>
  <si>
    <t xml:space="preserve">Cross-cutting / Other Results</t>
  </si>
  <si>
    <t xml:space="preserve">To review</t>
  </si>
  <si>
    <t xml:space="preserve">Not yet classified in the Metrics Hub</t>
  </si>
  <si>
    <t xml:space="preserve">Sustainable agriculture and agroforestry practices adopted</t>
  </si>
  <si>
    <t xml:space="preserve">AGR-02; AGR-03; PPL-01</t>
  </si>
  <si>
    <t xml:space="preserve">Split by unit: ha → AGR-02/03; people → PPL-01</t>
  </si>
  <si>
    <t xml:space="preserve">Clean cooking / renewable energy solutions supported</t>
  </si>
  <si>
    <t xml:space="preserve">Land-use planning instruments developed or implemented</t>
  </si>
  <si>
    <t xml:space="preserve">Human-elephant conflict mitigation measures and beneficiaries</t>
  </si>
  <si>
    <t xml:space="preserve">FOR-12; FOR-13; PPL-01</t>
  </si>
  <si>
    <t xml:space="preserve">Split by unit</t>
  </si>
  <si>
    <t xml:space="preserve">Institutions, governance frameworks and capacities strengthened</t>
  </si>
  <si>
    <t xml:space="preserve">Civil society and decentralized monitoring strengthened</t>
  </si>
  <si>
    <t xml:space="preserve">Forest monitoring, MRV and climate data systems strengthened</t>
  </si>
  <si>
    <t xml:space="preserve">Studies, reports or analytical products produced</t>
  </si>
  <si>
    <t xml:space="preserve">Climate transparency, carbon market and MRV instruments strengthened</t>
  </si>
  <si>
    <t xml:space="preserve">CLM-03; GOV-02</t>
  </si>
  <si>
    <t xml:space="preserve">Priority/eligible sites identified</t>
  </si>
  <si>
    <t xml:space="preserve">Land tenure governance and security strengthened</t>
  </si>
  <si>
    <t xml:space="preserve">LUT-03; LUT-08; LUT-09</t>
  </si>
  <si>
    <t xml:space="preserve">Urban greening initiatives and protected urban forest landscapes</t>
  </si>
  <si>
    <t xml:space="preserve">FOR-02; FOR-04</t>
  </si>
  <si>
    <t xml:space="preserve">Area under improved/sustainable management or conservation</t>
  </si>
  <si>
    <t xml:space="preserve">FOR-03; FOR-04; AGR-02</t>
  </si>
  <si>
    <t xml:space="preserve">Workshops/consultations organised</t>
  </si>
  <si>
    <t xml:space="preserve">Community forestry management plans and governance strengthened</t>
  </si>
  <si>
    <t xml:space="preserve">FOR-11; GOV-03</t>
  </si>
  <si>
    <t xml:space="preserve">Land-use planning instruments and conflict management mechanisms</t>
  </si>
  <si>
    <t xml:space="preserve">LUT-01; LUT-07</t>
  </si>
  <si>
    <t xml:space="preserve">Forest certification systems and certified forest areas</t>
  </si>
  <si>
    <t xml:space="preserve">FOR-05; FOR-07</t>
  </si>
  <si>
    <t xml:space="preserve">Family planning services and contraceptive access supported</t>
  </si>
  <si>
    <t xml:space="preserve">INC-01; INC-03</t>
  </si>
  <si>
    <t xml:space="preserve">Research, ecological monitoring and forest ecosystem data produced</t>
  </si>
  <si>
    <t xml:space="preserve">People and institutions trained or strengthened</t>
  </si>
  <si>
    <t xml:space="preserve">GOV-01; GOV-06</t>
  </si>
  <si>
    <t xml:space="preserve">Split people / institutions</t>
  </si>
  <si>
    <t xml:space="preserve">Countries supported</t>
  </si>
  <si>
    <t xml:space="preserve">Environmental and social governance in extractive sectors strengthened</t>
  </si>
  <si>
    <t xml:space="preserve">FIN-09; GOV-02</t>
  </si>
  <si>
    <t xml:space="preserve">Technical assistance requests processed</t>
  </si>
  <si>
    <t xml:space="preserve">Data system / dashboard produced</t>
  </si>
  <si>
    <t xml:space="preserve">Marketing actions for sustainable products</t>
  </si>
  <si>
    <t xml:space="preserve">Seedlings produced/in production</t>
  </si>
  <si>
    <t xml:space="preserve">FOR-02; AGR-03</t>
  </si>
  <si>
    <t xml:space="preserve">Nursery output; report the resulting planted area</t>
  </si>
  <si>
    <t xml:space="preserve">Beneficiaries with secured land access</t>
  </si>
  <si>
    <t xml:space="preserve">CO2 emissions avoided</t>
  </si>
  <si>
    <t xml:space="preserve">Land prepared for planting</t>
  </si>
  <si>
    <t xml:space="preserve">Agroforestry area established</t>
  </si>
  <si>
    <t xml:space="preserve">Area planted</t>
  </si>
  <si>
    <t xml:space="preserve">Climate-smart and zero-deforestation value chains supported</t>
  </si>
  <si>
    <t xml:space="preserve">Local land-use planning process operationalized</t>
  </si>
  <si>
    <t xml:space="preserve">National land-use planning process structured</t>
  </si>
  <si>
    <t xml:space="preserve">Conflict analysis methodology developed</t>
  </si>
  <si>
    <t xml:space="preserve">Sustainable wood-energy supply master plans initiated</t>
  </si>
  <si>
    <t xml:space="preserve">Improved cookstoves disseminated</t>
  </si>
  <si>
    <t xml:space="preserve">Improved cookstoves in production</t>
  </si>
  <si>
    <t xml:space="preserve">Production ≠ distribution</t>
  </si>
  <si>
    <t xml:space="preserve">Production workshops engaged</t>
  </si>
  <si>
    <t xml:space="preserve">Sales outlets operational</t>
  </si>
  <si>
    <t xml:space="preserve">Forest economy planning instruments developed</t>
  </si>
  <si>
    <t xml:space="preserve">Strategic plans and governance instruments developed</t>
  </si>
  <si>
    <t xml:space="preserve">Consultation and coordination mechanism established</t>
  </si>
  <si>
    <t xml:space="preserve">GOV-03; GOV-04</t>
  </si>
  <si>
    <t xml:space="preserve">Trainings delivered</t>
  </si>
  <si>
    <t xml:space="preserve">Count people, not sessions</t>
  </si>
  <si>
    <t xml:space="preserve">Multi-stakeholder planning platforms supported</t>
  </si>
  <si>
    <t xml:space="preserve">Agro-industrial planning instruments developed</t>
  </si>
  <si>
    <t xml:space="preserve">Business plans developed</t>
  </si>
  <si>
    <t xml:space="preserve">Communication and awareness tools produced</t>
  </si>
  <si>
    <t xml:space="preserve">Data sharing agreement signed</t>
  </si>
  <si>
    <t xml:space="preserve">Field missions for forest carbon data</t>
  </si>
  <si>
    <t xml:space="preserve">Forest Reference Emission Level assessed</t>
  </si>
  <si>
    <t xml:space="preserve">Forest/non-forest area estimates produced</t>
  </si>
  <si>
    <t xml:space="preserve">Geoportal operational</t>
  </si>
  <si>
    <t xml:space="preserve">M&amp;E and learning mechanism initiated</t>
  </si>
  <si>
    <t xml:space="preserve">National climate plans and NDCs developed/revised</t>
  </si>
  <si>
    <t xml:space="preserve">National consultation completed</t>
  </si>
  <si>
    <t xml:space="preserve">National forest monitoring system operational</t>
  </si>
  <si>
    <t xml:space="preserve">National policy/regulatory studies produced</t>
  </si>
  <si>
    <t xml:space="preserve">Input to GOV-02</t>
  </si>
  <si>
    <t xml:space="preserve">Pilot districts validated</t>
  </si>
  <si>
    <t xml:space="preserve">Research protocols signed</t>
  </si>
  <si>
    <t xml:space="preserve">Sectoral reviews integrating environmental considerations</t>
  </si>
  <si>
    <t xml:space="preserve">Technical assistants recruited</t>
  </si>
  <si>
    <t xml:space="preserve">Technical missions conducted</t>
  </si>
  <si>
    <t xml:space="preserve">Young participants in workshops</t>
  </si>
  <si>
    <t xml:space="preserve">Total rows</t>
  </si>
  <si>
    <t xml:space="preserve">of which Direct</t>
  </si>
  <si>
    <t xml:space="preserve">of which Partial</t>
  </si>
  <si>
    <t xml:space="preserve">of which Project-specific / To review</t>
  </si>
  <si>
    <t xml:space="preserve">CAFI Connect draft list (94 indicators) → new indicator codes</t>
  </si>
  <si>
    <t xml:space="preserve">DraftIndicator</t>
  </si>
  <si>
    <t xml:space="preserve">Action</t>
  </si>
  <si>
    <t xml:space="preserve">Estimated emissions reduction and removals from the project</t>
  </si>
  <si>
    <t xml:space="preserve">Keep</t>
  </si>
  <si>
    <t xml:space="preserve">Estimated reduction in deforestation and degradation in the project area</t>
  </si>
  <si>
    <t xml:space="preserve">Reword</t>
  </si>
  <si>
    <t xml:space="preserve">Number of direct beneficiaries, disaggregated by gender, minority/vulnerable group and intervention area</t>
  </si>
  <si>
    <t xml:space="preserve">Number of direct jobs created along the value chain</t>
  </si>
  <si>
    <t xml:space="preserve">Number of people trained, disaggregated by gender, type of training and institution represented (if relevant)</t>
  </si>
  <si>
    <t xml:space="preserve">Amount of co-financing mobilised by the project</t>
  </si>
  <si>
    <t xml:space="preserve">Mobilised private finance (USD)</t>
  </si>
  <si>
    <t xml:space="preserve">Number of policy, legislative and regulatory measures supported, by type and status</t>
  </si>
  <si>
    <t xml:space="preserve">Number of land-use and natural-resource-management plans validated</t>
  </si>
  <si>
    <t xml:space="preserve">Area (ha) under validated land-use plans</t>
  </si>
  <si>
    <t xml:space="preserve">Area (ha) legally secured for communities, disaggregated by tenure type</t>
  </si>
  <si>
    <t xml:space="preserve">Number of local development or decision-making committees established/strengthened and operational</t>
  </si>
  <si>
    <t xml:space="preserve">Move</t>
  </si>
  <si>
    <t xml:space="preserve">Number of infrastructures constructed or rehabilitated, by type</t>
  </si>
  <si>
    <t xml:space="preserve">Length (km) of rural roads constructed, rehabilitated or maintained</t>
  </si>
  <si>
    <t xml:space="preserve">Area (ha) under improved varieties for subsistence food production</t>
  </si>
  <si>
    <t xml:space="preserve">Area (ha) under deforestation-free perennial crops</t>
  </si>
  <si>
    <t xml:space="preserve">Area (ha) of savannah forest regeneration</t>
  </si>
  <si>
    <t xml:space="preserve">Area (ha) under agroforestry</t>
  </si>
  <si>
    <t xml:space="preserve">Area (ha) of wood-energy and timber plantations</t>
  </si>
  <si>
    <t xml:space="preserve">Area (ha) under effective sustainable forest management</t>
  </si>
  <si>
    <t xml:space="preserve">Area (ha) under forest conservation</t>
  </si>
  <si>
    <t xml:space="preserve">Area (ha) of forest under certified concessions</t>
  </si>
  <si>
    <t xml:space="preserve">Number of clean-cooking solutions distributed</t>
  </si>
  <si>
    <t xml:space="preserve">Number of eligible PES applicants</t>
  </si>
  <si>
    <t xml:space="preserve">Number of environmental service providers with one or more signed PES contracts</t>
  </si>
  <si>
    <t xml:space="preserve">Merge</t>
  </si>
  <si>
    <t xml:space="preserve">Area (ha) under signed PES contracts, by activity</t>
  </si>
  <si>
    <t xml:space="preserve">Convert to disaggregation</t>
  </si>
  <si>
    <t xml:space="preserve">AGR-02 / FOR-01 / AGR-03 / FOR-02 / FOR-03 / FOR-04</t>
  </si>
  <si>
    <t xml:space="preserve">Amount (USD) paid to environmental service providers, by PES activity</t>
  </si>
  <si>
    <t xml:space="preserve">Number of indirect beneficiaries, disaggregated by intervention area</t>
  </si>
  <si>
    <t xml:space="preserve">Increase in direct monetary income for direct beneficiaries</t>
  </si>
  <si>
    <t xml:space="preserve">Increase in agricultural production of beneficiary households, disaggregated by key crop type</t>
  </si>
  <si>
    <t xml:space="preserve">Number of follow-up visits carried out by project staff</t>
  </si>
  <si>
    <t xml:space="preserve">Remove from standard set</t>
  </si>
  <si>
    <t xml:space="preserve">— (project-level only)</t>
  </si>
  <si>
    <t xml:space="preserve">Number of project steering committee meetings held</t>
  </si>
  <si>
    <t xml:space="preserve">Number of legislative texts supported</t>
  </si>
  <si>
    <t xml:space="preserve">Number of priority regulatory texts drafted with the support of the project, including those approved</t>
  </si>
  <si>
    <t xml:space="preserve">Number of interministerial meetings supported by the project each year</t>
  </si>
  <si>
    <t xml:space="preserve">Number of institutional units supported, disaggregated by type and status</t>
  </si>
  <si>
    <t xml:space="preserve">Percentage of campaigns using tools to specifically target minorities and vulnerable groups</t>
  </si>
  <si>
    <t xml:space="preserve">Number of individuals equipped, disaggregated by a) government technical services b) non-governmental or civil society organisations</t>
  </si>
  <si>
    <t xml:space="preserve">Adoption rate of clean cooking solutions (Disaggregated by type: LPG or improved stoves)</t>
  </si>
  <si>
    <t xml:space="preserve">Fuel consumption reduction (%) attributable to clean cooking solutions distributed (disaggregated by type)</t>
  </si>
  <si>
    <t xml:space="preserve">Value of clean cooking solutions sold</t>
  </si>
  <si>
    <t xml:space="preserve">Forest areas under forest management plans</t>
  </si>
  <si>
    <t xml:space="preserve">Existence and operationalisation of a secure system to ensure robust monitoring of timber legality</t>
  </si>
  <si>
    <t xml:space="preserve">Volume of funding mobilised (CAFI/other) for forest-friendly extractive industries</t>
  </si>
  <si>
    <t xml:space="preserve">Years of protection, disaggregated by geography</t>
  </si>
  <si>
    <t xml:space="preserve">Number of arbitrations carried out by governance structures</t>
  </si>
  <si>
    <t xml:space="preserve">Number of people receiving support from technical services (training, inspections, NRM assessments), disaggregated by gender and vulnerable groups (PA, young people)</t>
  </si>
  <si>
    <t xml:space="preserve">Production from plantations, disaggregated by type (makala, cassava, coffee, cocoa, palm oil, etc.)</t>
  </si>
  <si>
    <t xml:space="preserve">Income generated by the project from the sale of plantation products, disaggregated by type (makala, cassava, coffee, cocoa, palm oil, etc.)</t>
  </si>
  <si>
    <t xml:space="preserve">Percentage of products purchased from plantations supported by the project (not consumed by households)</t>
  </si>
  <si>
    <t xml:space="preserve">Percentage increase in food crop yields</t>
  </si>
  <si>
    <t xml:space="preserve">Areas of plantations and set-aside areas supported, disaggregated by type of: a) planted areas b) set-aside areas</t>
  </si>
  <si>
    <t xml:space="preserve">FOR-01 / FOR-02</t>
  </si>
  <si>
    <t xml:space="preserve">Number of deforestation alerts in PSAT areas, disaggregated by alerts received/checked/processed</t>
  </si>
  <si>
    <t xml:space="preserve">Area of deforestation alerts in PSAT areas under protection and/or conservation</t>
  </si>
  <si>
    <t xml:space="preserve">Number of people actively participating in these decision-making governance structures, disaggregated by gender and by vulnerable group (PA)</t>
  </si>
  <si>
    <t xml:space="preserve">Number of technical services equipped, disaggregated by type: a) Land brigades equipped and trained, land registry in place, record keeping, etc. b) Provincial and territorial technical assistance services equipped and trained (GIS, etc.) d) Environmental services e) Rural development services</t>
  </si>
  <si>
    <t xml:space="preserve">Number of violations of land use plans</t>
  </si>
  <si>
    <t xml:space="preserve">Areas affected by these violations of the major provisions of the AT plans</t>
  </si>
  <si>
    <t xml:space="preserve">Number of people living in administrative entities under AT plans, disaggregated by gender and vulnerable group (PA)</t>
  </si>
  <si>
    <t xml:space="preserve">Number of arbitration procedures to resolve land use conflicts (a) initiated, and (b) having ended the conflict</t>
  </si>
  <si>
    <t xml:space="preserve">Number of provincial land edicts developed/promulgated in a participatory manner</t>
  </si>
  <si>
    <t xml:space="preserve">Number of decentralised land registers piloted/established/functional</t>
  </si>
  <si>
    <t xml:space="preserve">Number of land arrangements registered, disaggregated by type (individual/collective, formal/informal)</t>
  </si>
  <si>
    <t xml:space="preserve">Number of direct and indirect beneficiaries of land tenure security, disaggregated by type of security (individual or collective), by gender and by vulnerable group</t>
  </si>
  <si>
    <t xml:space="preserve">Area of established improved seed multiplication fields (by growing season and cumulative)</t>
  </si>
  <si>
    <t xml:space="preserve">Number of direct beneficiaries, disaggregated by type of agricultural support (perennials, agroforestry, food crops) Of which number of households that have received improved seeds</t>
  </si>
  <si>
    <t xml:space="preserve">Number of direct/indirect beneficiaries, disaggregated by gender and type (minority), including:</t>
  </si>
  <si>
    <t xml:space="preserve">PPL-01 / PPL-06</t>
  </si>
  <si>
    <t xml:space="preserve">a) Farmers, charcoal burners and charcoal entrepreneurs trained in improved carbonisation techniques</t>
  </si>
  <si>
    <t xml:space="preserve">Areas designated for sustainable forest management, disaggregated by status (GDF category of the Simple Management Plan (for CFCL) or PSAT</t>
  </si>
  <si>
    <t xml:space="preserve">Areas effectively protected by firebreaks</t>
  </si>
  <si>
    <t xml:space="preserve">b. Area under sustainable artisanal forestry (including under CFCL)</t>
  </si>
  <si>
    <t xml:space="preserve">c. Number of CFCLs with a Simple Management Plan (PSG) for forestry operations</t>
  </si>
  <si>
    <t xml:space="preserve">Number of people trained in sustainable forestry</t>
  </si>
  <si>
    <t xml:space="preserve">% of PSATs associated with good practice guides for natural resource management</t>
  </si>
  <si>
    <t xml:space="preserve">Total number of indirect beneficiaries, disaggregated by gender and type (CFCL, PSAT)</t>
  </si>
  <si>
    <t xml:space="preserve">Number of electric fences installed or rehabilitated, by province</t>
  </si>
  <si>
    <t xml:space="preserve">Area (ha) of cultivated land protected by functional electric fences</t>
  </si>
  <si>
    <t xml:space="preserve">Area (ha) covered by operational forest monitoring and control systems supported by the project</t>
  </si>
  <si>
    <t xml:space="preserve">Area (ha) under signed PES contracts for afforestation/reforestation</t>
  </si>
  <si>
    <t xml:space="preserve">Area (ha) under signed PES contracts for agroforestry</t>
  </si>
  <si>
    <t xml:space="preserve">Area (ha) under signed PES contracts for deforestation-free agriculture</t>
  </si>
  <si>
    <t xml:space="preserve">Area (ha) under signed PES contracts for unassisted natural regeneration</t>
  </si>
  <si>
    <t xml:space="preserve">Area (ha) under signed PES contracts for assisted natural regeneration</t>
  </si>
  <si>
    <t xml:space="preserve">Area (ha) under signed PES contracts for sustainable forest management (EFIR-C without certification)</t>
  </si>
  <si>
    <t xml:space="preserve">Area (ha) under signed PES contracts for sustainable forest management (EFIR-C with certification)</t>
  </si>
  <si>
    <t xml:space="preserve">Area (ha) under signed PES contracts for conservation</t>
  </si>
  <si>
    <t xml:space="preserve">Amount (USD) paid in PES to environmental service providers for afforestation/reforestation contracts, disaggregated by i) gender and ii) vulnerable group (ethnicity, including indigenous peoples and migrants)</t>
  </si>
  <si>
    <t xml:space="preserve">Amount (USD) paid in PES to environmental service providers for agroforestry contracts, disaggregated by i) gender and ii) vulnerable group (ethnicity, including indigenous peoples and migrants)</t>
  </si>
  <si>
    <t xml:space="preserve">Amount (USD) paid in PES to environmental service providers for deforestation-free agriculture contracts, disaggregated by i) gender and ii) vulnerable group (ethnicity, including indigenous peoples and migrants)</t>
  </si>
  <si>
    <t xml:space="preserve">Amount (USD) paid in PES to environmental service providers for natural (unassisted) regeneration contracts, disaggregated by i) gender and ii) vulnerable group (ethnicity, including indigenous peoples and migrants)</t>
  </si>
  <si>
    <t xml:space="preserve">Amount (USD) paid in PES to environmental service providers for assisted natural regeneration contracts, disaggregated by i) gender and ii) vulnerable group (ethnicity, including indigenous peoples and migrants)</t>
  </si>
  <si>
    <t xml:space="preserve">Amount (USD) paid in PES to environmental service providers under EFIR-C sustainable forest management contracts without certification, disaggregated by i) gender and ii) vulnerable group (ethnicity, including indigenous peoples and migrants)</t>
  </si>
  <si>
    <t xml:space="preserve">Amount (USD) paid in PES to environmental service providers under EFIR-C sustainable forest management contracts with certification, disaggregated by i) gender and ii) vulnerable group (ethnicity, including indigenous peoples and migrants)</t>
  </si>
  <si>
    <t xml:space="preserve">Amount (USD) paid in PES to environmental service providers under conservation contracts</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</si>
</sst>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2"/>
      <name val="Arial"/>
      <family val="0"/>
      <charset val="1"/>
    </font>
    <font>
      <b val="true"/>
      <sz val="10"/>
      <color rgb="FFFFFFFF"/>
      <name val="Arial"/>
      <family val="0"/>
      <charset val="1"/>
    </font>
    <font>
      <i val="true"/>
      <sz val="10"/>
      <color rgb="FF595959"/>
      <name val="Arial"/>
      <family val="0"/>
      <charset val="1"/>
    </font>
  </fonts>
  <fills count="12">
    <fill>
      <patternFill patternType="none"/>
    </fill>
    <fill>
      <patternFill patternType="gray125"/>
    </fill>
    <fill>
      <patternFill patternType="solid">
        <fgColor rgb="FF1F4E5A"/>
        <bgColor rgb="FF054442"/>
      </patternFill>
    </fill>
    <fill>
      <patternFill patternType="solid">
        <fgColor rgb="FF068290"/>
        <bgColor rgb="FF008080"/>
      </patternFill>
    </fill>
    <fill>
      <patternFill patternType="solid">
        <fgColor rgb="FF04BFBF"/>
        <bgColor rgb="FF33CCCC"/>
      </patternFill>
    </fill>
    <fill>
      <patternFill patternType="solid">
        <fgColor rgb="FF0D6ABF"/>
        <bgColor rgb="FF068290"/>
      </patternFill>
    </fill>
    <fill>
      <patternFill patternType="solid">
        <fgColor rgb="FF054442"/>
        <bgColor rgb="FF1F4E5A"/>
      </patternFill>
    </fill>
    <fill>
      <patternFill patternType="solid">
        <fgColor rgb="FF7FB069"/>
        <bgColor rgb="FF808080"/>
      </patternFill>
    </fill>
    <fill>
      <patternFill patternType="solid">
        <fgColor rgb="FFE1A100"/>
        <bgColor rgb="FFF28C28"/>
      </patternFill>
    </fill>
    <fill>
      <patternFill patternType="solid">
        <fgColor rgb="FF36003E"/>
        <bgColor rgb="FF000000"/>
      </patternFill>
    </fill>
    <fill>
      <patternFill patternType="solid">
        <fgColor rgb="FFC2185B"/>
        <bgColor rgb="FF993366"/>
      </patternFill>
    </fill>
    <fill>
      <patternFill patternType="solid">
        <fgColor rgb="FFF28C28"/>
        <bgColor rgb="FFE1A1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5" fillId="7" borderId="0" xfId="0" applyFont="true" applyBorder="false" applyAlignment="true" applyProtection="false">
      <alignment horizontal="general" vertical="top" textRotation="0" wrapText="true" indent="0" shrinkToFit="false"/>
      <protection locked="true" hidden="false"/>
    </xf>
    <xf numFmtId="164" fontId="5" fillId="8" borderId="0" xfId="0" applyFont="true" applyBorder="false" applyAlignment="true" applyProtection="false">
      <alignment horizontal="general" vertical="top" textRotation="0" wrapText="true" indent="0" shrinkToFit="false"/>
      <protection locked="true" hidden="false"/>
    </xf>
    <xf numFmtId="164" fontId="5" fillId="9" borderId="0" xfId="0" applyFont="true" applyBorder="false" applyAlignment="true" applyProtection="false">
      <alignment horizontal="general" vertical="top" textRotation="0" wrapText="true" indent="0" shrinkToFit="false"/>
      <protection locked="true" hidden="false"/>
    </xf>
    <xf numFmtId="164" fontId="5" fillId="10" borderId="0" xfId="0" applyFont="true" applyBorder="false" applyAlignment="true" applyProtection="false">
      <alignment horizontal="general" vertical="top" textRotation="0" wrapText="true" indent="0" shrinkToFit="false"/>
      <protection locked="true" hidden="false"/>
    </xf>
    <xf numFmtId="164" fontId="5" fillId="11"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false">
      <alignment horizontal="general" vertical="top" textRotation="0" wrapText="true" indent="0" shrinkToFit="false"/>
      <protection locked="true" hidden="false"/>
    </xf>
    <xf numFmtId="164" fontId="8" fillId="5" borderId="0" xfId="0" applyFont="true" applyBorder="false" applyAlignment="true" applyProtection="false">
      <alignment horizontal="general" vertical="top" textRotation="0" wrapText="true" indent="0" shrinkToFit="false"/>
      <protection locked="true" hidden="false"/>
    </xf>
    <xf numFmtId="164" fontId="8" fillId="6" borderId="0" xfId="0" applyFont="true" applyBorder="false" applyAlignment="true" applyProtection="false">
      <alignment horizontal="general" vertical="top" textRotation="0" wrapText="true" indent="0" shrinkToFit="false"/>
      <protection locked="true" hidden="false"/>
    </xf>
    <xf numFmtId="164" fontId="8" fillId="7" borderId="0" xfId="0" applyFont="true" applyBorder="false" applyAlignment="true" applyProtection="false">
      <alignment horizontal="general" vertical="top" textRotation="0" wrapText="true" indent="0" shrinkToFit="false"/>
      <protection locked="true" hidden="false"/>
    </xf>
    <xf numFmtId="164" fontId="8" fillId="8" borderId="0" xfId="0" applyFont="true" applyBorder="false" applyAlignment="true" applyProtection="false">
      <alignment horizontal="general" vertical="top" textRotation="0" wrapText="true" indent="0" shrinkToFit="false"/>
      <protection locked="true" hidden="false"/>
    </xf>
    <xf numFmtId="164" fontId="8" fillId="9" borderId="0" xfId="0" applyFont="true" applyBorder="false" applyAlignment="true" applyProtection="false">
      <alignment horizontal="general" vertical="top" textRotation="0" wrapText="true" indent="0" shrinkToFit="false"/>
      <protection locked="true" hidden="false"/>
    </xf>
    <xf numFmtId="164" fontId="8" fillId="10" borderId="0" xfId="0" applyFont="true" applyBorder="false" applyAlignment="true" applyProtection="false">
      <alignment horizontal="general" vertical="top" textRotation="0" wrapText="true" indent="0" shrinkToFit="false"/>
      <protection locked="true" hidden="false"/>
    </xf>
    <xf numFmtId="164" fontId="8" fillId="11"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4E5A"/>
          <bgColor rgb="FF000000"/>
        </patternFill>
      </fill>
    </dxf>
    <dxf>
      <fill>
        <patternFill patternType="solid">
          <bgColor rgb="FF000000"/>
        </patternFill>
      </fill>
    </dxf>
    <dxf>
      <fill>
        <patternFill patternType="solid">
          <fgColor rgb="FFFFFFFF"/>
          <bgColor rgb="FF000000"/>
        </patternFill>
      </fill>
    </dxf>
    <dxf>
      <fill>
        <patternFill patternType="solid">
          <fgColor rgb="FF04BFBF"/>
          <bgColor rgb="FF000000"/>
        </patternFill>
      </fill>
    </dxf>
    <dxf>
      <fill>
        <patternFill patternType="solid">
          <fgColor rgb="FF054442"/>
          <bgColor rgb="FF000000"/>
        </patternFill>
      </fill>
    </dxf>
    <dxf>
      <fill>
        <patternFill patternType="solid">
          <fgColor rgb="FF068290"/>
          <bgColor rgb="FF000000"/>
        </patternFill>
      </fill>
    </dxf>
    <dxf>
      <fill>
        <patternFill patternType="solid">
          <fgColor rgb="FF0D6ABF"/>
          <bgColor rgb="FF000000"/>
        </patternFill>
      </fill>
    </dxf>
    <dxf>
      <fill>
        <patternFill patternType="solid">
          <fgColor rgb="FF36003E"/>
          <bgColor rgb="FF000000"/>
        </patternFill>
      </fill>
    </dxf>
    <dxf>
      <fill>
        <patternFill patternType="solid">
          <fgColor rgb="FF7FB069"/>
          <bgColor rgb="FF000000"/>
        </patternFill>
      </fill>
    </dxf>
    <dxf>
      <fill>
        <patternFill patternType="solid">
          <fgColor rgb="FFC2185B"/>
          <bgColor rgb="FF000000"/>
        </patternFill>
      </fill>
    </dxf>
    <dxf>
      <fill>
        <patternFill patternType="solid">
          <fgColor rgb="FFE1A100"/>
          <bgColor rgb="FF000000"/>
        </patternFill>
      </fill>
    </dxf>
    <dxf>
      <fill>
        <patternFill patternType="solid">
          <fgColor rgb="FFF28C2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68290"/>
      <rgbColor rgb="FFC0C0C0"/>
      <rgbColor rgb="FF808080"/>
      <rgbColor rgb="FF9999FF"/>
      <rgbColor rgb="FFC2185B"/>
      <rgbColor rgb="FFFFFFCC"/>
      <rgbColor rgb="FFCCFFFF"/>
      <rgbColor rgb="FF36003E"/>
      <rgbColor rgb="FFF28C28"/>
      <rgbColor rgb="FF0D6ABF"/>
      <rgbColor rgb="FFCCCCFF"/>
      <rgbColor rgb="FF000080"/>
      <rgbColor rgb="FFFF00FF"/>
      <rgbColor rgb="FFFFFF00"/>
      <rgbColor rgb="FF00FFFF"/>
      <rgbColor rgb="FF800080"/>
      <rgbColor rgb="FF800000"/>
      <rgbColor rgb="FF008080"/>
      <rgbColor rgb="FF0000FF"/>
      <rgbColor rgb="FF04BFBF"/>
      <rgbColor rgb="FFCCFFFF"/>
      <rgbColor rgb="FFCCFFCC"/>
      <rgbColor rgb="FFFFFF99"/>
      <rgbColor rgb="FF99CCFF"/>
      <rgbColor rgb="FFFF99CC"/>
      <rgbColor rgb="FFCC99FF"/>
      <rgbColor rgb="FFFFCC99"/>
      <rgbColor rgb="FF3366FF"/>
      <rgbColor rgb="FF33CCCC"/>
      <rgbColor rgb="FF99CC00"/>
      <rgbColor rgb="FFFFCC00"/>
      <rgbColor rgb="FFE1A100"/>
      <rgbColor rgb="FFFF6600"/>
      <rgbColor rgb="FF595959"/>
      <rgbColor rgb="FF7FB069"/>
      <rgbColor rgb="FF054442"/>
      <rgbColor rgb="FF339966"/>
      <rgbColor rgb="FF003300"/>
      <rgbColor rgb="FF333300"/>
      <rgbColor rgb="FF993300"/>
      <rgbColor rgb="FF993366"/>
      <rgbColor rgb="FF333399"/>
      <rgbColor rgb="FF1F4E5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ables/table1.xml><?xml version="1.0" encoding="utf-8"?>
<table xmlns="http://schemas.openxmlformats.org/spreadsheetml/2006/main" id="1" name="Categories" displayName="Categories" ref="A3:L12" headerRowCount="1" totalsRowCount="0" totalsRowShown="0">
  <autoFilter ref="A3:L12"/>
  <tableColumns count="12">
    <tableColumn id="1" name="CategoryCode"/>
    <tableColumn id="2" name="Category"/>
    <tableColumn id="3" name="CategoryShort"/>
    <tableColumn id="4" name="OutcomeNo"/>
    <tableColumn id="5" name="Scope"/>
    <tableColumn id="6" name="BoundaryRule"/>
    <tableColumn id="7" name="ThemeColor"/>
    <tableColumn id="8" name="Status"/>
    <tableColumn id="9" name="IndicatorCount"/>
    <tableColumn id="10" name="T1"/>
    <tableColumn id="11" name="T2"/>
    <tableColumn id="12" name="T3"/>
  </tableColumns>
</table>
</file>

<file path=xl/tables/table2.xml><?xml version="1.0" encoding="utf-8"?>
<table xmlns="http://schemas.openxmlformats.org/spreadsheetml/2006/main" id="2" name="Dimensions" displayName="Dimensions" ref="A3:E41" headerRowCount="1" totalsRowCount="0" totalsRowShown="0">
  <autoFilter ref="A3:E41"/>
  <tableColumns count="5">
    <tableColumn id="1" name="DimensionCode"/>
    <tableColumn id="2" name="Dimension"/>
    <tableColumn id="3" name="DimensionFR"/>
    <tableColumn id="4" name="Values"/>
    <tableColumn id="5" name="UsedByIndicators"/>
  </tableColumns>
</table>
</file>

<file path=xl/tables/table3.xml><?xml version="1.0" encoding="utf-8"?>
<table xmlns="http://schemas.openxmlformats.org/spreadsheetml/2006/main" id="3" name="IndicatorDisaggregations" displayName="IndicatorDisaggregations" ref="A3:D111" headerRowCount="1" totalsRowCount="0" totalsRowShown="0">
  <autoFilter ref="A3:D111"/>
  <tableColumns count="4">
    <tableColumn id="1" name="IndicatorCode"/>
    <tableColumn id="2" name="DimensionCode"/>
    <tableColumn id="3" name="Dimension"/>
    <tableColumn id="4" name="Order"/>
  </tableColumns>
</table>
</file>

<file path=xl/tables/table4.xml><?xml version="1.0" encoding="utf-8"?>
<table xmlns="http://schemas.openxmlformats.org/spreadsheetml/2006/main" id="4" name="IndicatorTags" displayName="IndicatorTags" ref="A3:C79" headerRowCount="1" totalsRowCount="0" totalsRowShown="0">
  <autoFilter ref="A3:C79"/>
  <tableColumns count="3">
    <tableColumn id="1" name="IndicatorCode"/>
    <tableColumn id="2" name="TagCode"/>
    <tableColumn id="3" name="Tag"/>
  </tableColumns>
</table>
</file>

<file path=xl/tables/table5.xml><?xml version="1.0" encoding="utf-8"?>
<table xmlns="http://schemas.openxmlformats.org/spreadsheetml/2006/main" id="5" name="MapDraft" displayName="MapDraft" ref="A3:D97" headerRowCount="1" totalsRowCount="0" totalsRowShown="0">
  <autoFilter ref="A3:D97"/>
  <tableColumns count="4">
    <tableColumn id="1" name="DraftNo"/>
    <tableColumn id="2" name="DraftIndicator"/>
    <tableColumn id="3" name="Action"/>
    <tableColumn id="4" name="NewIndicatorCode"/>
  </tableColumns>
</table>
</file>

<file path=xl/tables/table6.xml><?xml version="1.0" encoding="utf-8"?>
<table xmlns="http://schemas.openxmlformats.org/spreadsheetml/2006/main" id="6" name="MapFramework" displayName="MapFramework" ref="A3:G58" headerRowCount="1" totalsRowCount="0" totalsRowShown="0">
  <autoFilter ref="A3:G58"/>
  <tableColumns count="7">
    <tableColumn id="1" name="Level"/>
    <tableColumn id="2" name="Theme"/>
    <tableColumn id="3" name="FrameworkCode"/>
    <tableColumn id="4" name="FrameworkIndicator"/>
    <tableColumn id="5" name="NewIndicatorCode"/>
    <tableColumn id="6" name="Match"/>
    <tableColumn id="7" name="Note"/>
  </tableColumns>
</table>
</file>

<file path=xl/tables/table7.xml><?xml version="1.0" encoding="utf-8"?>
<table xmlns="http://schemas.openxmlformats.org/spreadsheetml/2006/main" id="7" name="MapHubIndicators" displayName="MapHubIndicators" ref="A3:F72" headerRowCount="1" totalsRowCount="0" totalsRowShown="0">
  <autoFilter ref="A3:F72"/>
  <tableColumns count="6">
    <tableColumn id="1" name="HubIndicator"/>
    <tableColumn id="2" name="CurrentOutcome"/>
    <tableColumn id="3" name="ResultRows"/>
    <tableColumn id="4" name="NewIndicatorCode"/>
    <tableColumn id="5" name="Match"/>
    <tableColumn id="6" name="Note"/>
  </tableColumns>
</table>
</file>

<file path=xl/tables/table8.xml><?xml version="1.0" encoding="utf-8"?>
<table xmlns="http://schemas.openxmlformats.org/spreadsheetml/2006/main" id="8" name="StandardIndicators" displayName="StandardIndicators" ref="A3:AC70" headerRowCount="1" totalsRowCount="0" totalsRowShown="0">
  <autoFilter ref="A3:AC70"/>
  <tableColumns count="29">
    <tableColumn id="1" name="IndicatorCode"/>
    <tableColumn id="2" name="IndicatorName"/>
    <tableColumn id="3" name="IndicatorNameFR"/>
    <tableColumn id="4" name="Description"/>
    <tableColumn id="5" name="CategoryCode"/>
    <tableColumn id="6" name="Category"/>
    <tableColumn id="7" name="SubcategoryCode"/>
    <tableColumn id="8" name="Subcategory"/>
    <tableColumn id="9" name="OutcomeNo"/>
    <tableColumn id="10" name="SortOrder"/>
    <tableColumn id="11" name="Tier"/>
    <tableColumn id="12" name="ResultLevel"/>
    <tableColumn id="13" name="ResultType"/>
    <tableColumn id="14" name="Unit"/>
    <tableColumn id="15" name="UnitGroup"/>
    <tableColumn id="16" name="MeasurementType"/>
    <tableColumn id="17" name="AggregationRule"/>
    <tableColumn id="18" name="RelatedIndicator"/>
    <tableColumn id="19" name="Disaggregations"/>
    <tableColumn id="20" name="Applies_Enabling"/>
    <tableColumn id="21" name="Applies_AFOLU"/>
    <tableColumn id="22" name="Applies_PES"/>
    <tableColumn id="23" name="Applies_PrivateSector"/>
    <tableColumn id="24" name="Tags"/>
    <tableColumn id="25" name="DataSource"/>
    <tableColumn id="26" name="Frequency"/>
    <tableColumn id="27" name="LegacyFrameworkCodes"/>
    <tableColumn id="28" name="DraftNo"/>
    <tableColumn id="29" name="ChangeFromDraft"/>
  </tableColumns>
</table>
</file>

<file path=xl/tables/table9.xml><?xml version="1.0" encoding="utf-8"?>
<table xmlns="http://schemas.openxmlformats.org/spreadsheetml/2006/main" id="9" name="Subcategories" displayName="Subcategories" ref="A3:F35" headerRowCount="1" totalsRowCount="0" totalsRowShown="0">
  <autoFilter ref="A3:F35"/>
  <tableColumns count="6">
    <tableColumn id="1" name="SubcategoryCode"/>
    <tableColumn id="2" name="CategoryCode"/>
    <tableColumn id="3" name="Category"/>
    <tableColumn id="4" name="Subcategory"/>
    <tableColumn id="5" name="Description"/>
    <tableColumn id="6" name="IndicatorCount"/>
  </tableColumns>
</table>
</file>

<file path=xl/tables/table10.xml><?xml version="1.0" encoding="utf-8"?>
<table xmlns="http://schemas.openxmlformats.org/spreadsheetml/2006/main" id="10" name="Tags" displayName="Tags" ref="A3:D11" headerRowCount="1" totalsRowCount="0" totalsRowShown="0">
  <autoFilter ref="A3:D11"/>
  <tableColumns count="4">
    <tableColumn id="1" name="TagCode"/>
    <tableColumn id="2" name="Tag"/>
    <tableColumn id="3" name="Description"/>
    <tableColumn id="4" name="IndicatorCount"/>
  </tableColumns>
</table>
</file>

<file path=xl/tables/table11.xml><?xml version="1.0" encoding="utf-8"?>
<table xmlns="http://schemas.openxmlformats.org/spreadsheetml/2006/main" id="11" name="UnitGroupsStd" displayName="UnitGroupsStd" ref="A3:D13" headerRowCount="1" totalsRowCount="0" totalsRowShown="0">
  <autoFilter ref="A3:D13"/>
  <tableColumns count="4">
    <tableColumn id="1" name="UnitGroup"/>
    <tableColumn id="2" name="UnitGroupSort"/>
    <tableColumn id="3" name="Status"/>
    <tableColumn id="4" name="IndicatorCount"/>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table" Target="../tables/table9.xml"/>
</Relationships>
</file>

<file path=xl/worksheets/_rels/sheet4.xml.rels><?xml version="1.0" encoding="UTF-8"?>
<Relationships xmlns="http://schemas.openxmlformats.org/package/2006/relationships"><Relationship Id="rId1" Type="http://schemas.openxmlformats.org/officeDocument/2006/relationships/table" Target="../tables/table8.xml"/>
</Relationships>
</file>

<file path=xl/worksheets/_rels/sheet5.xml.rels><?xml version="1.0" encoding="UTF-8"?>
<Relationships xmlns="http://schemas.openxmlformats.org/package/2006/relationships"><Relationship Id="rId1" Type="http://schemas.openxmlformats.org/officeDocument/2006/relationships/table" Target="../tables/table3.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table" Target="../tables/table11.xml"/>
</Relationships>
</file>

<file path=xl/worksheets/_rels/sheet10.xml.rels><?xml version="1.0" encoding="UTF-8"?>
<Relationships xmlns="http://schemas.openxmlformats.org/package/2006/relationships"><Relationship Id="rId1" Type="http://schemas.openxmlformats.org/officeDocument/2006/relationships/table" Target="../tables/table6.xml"/>
</Relationships>
</file>

<file path=xl/worksheets/_rels/sheet11.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7.35" hidden="false" customHeight="false" outlineLevel="0" collapsed="false">
      <c r="A1" s="1" t="s">
        <v>0</v>
      </c>
    </row>
    <row r="2" customFormat="false" ht="15" hidden="false" customHeight="false" outlineLevel="0" collapsed="false">
      <c r="A2" s="2"/>
    </row>
    <row r="3" customFormat="false" ht="23.85" hidden="false" customHeight="false" outlineLevel="0" collapsed="false">
      <c r="A3" s="2" t="s">
        <v>1</v>
      </c>
      <c r="B3" s="3" t="s">
        <v>2</v>
      </c>
    </row>
    <row r="4" customFormat="false" ht="23.85" hidden="false" customHeight="false" outlineLevel="0" collapsed="false">
      <c r="A4" s="2" t="s">
        <v>3</v>
      </c>
      <c r="B4" s="3" t="s">
        <v>4</v>
      </c>
    </row>
    <row r="5" customFormat="false" ht="15" hidden="false" customHeight="false" outlineLevel="0" collapsed="false">
      <c r="A5" s="2"/>
    </row>
    <row r="6" customFormat="false" ht="15" hidden="false" customHeight="false" outlineLevel="0" collapsed="false">
      <c r="A6" s="4" t="s">
        <v>5</v>
      </c>
    </row>
    <row r="7" customFormat="false" ht="15" hidden="false" customHeight="false" outlineLevel="0" collapsed="false">
      <c r="A7" s="2" t="s">
        <v>6</v>
      </c>
      <c r="B7" s="3" t="s">
        <v>7</v>
      </c>
    </row>
    <row r="8" customFormat="false" ht="15" hidden="false" customHeight="false" outlineLevel="0" collapsed="false">
      <c r="A8" s="2" t="s">
        <v>8</v>
      </c>
      <c r="B8" s="3" t="s">
        <v>9</v>
      </c>
    </row>
    <row r="9" customFormat="false" ht="15" hidden="false" customHeight="false" outlineLevel="0" collapsed="false">
      <c r="A9" s="2" t="s">
        <v>10</v>
      </c>
      <c r="B9" s="3" t="s">
        <v>11</v>
      </c>
    </row>
    <row r="10" customFormat="false" ht="15" hidden="false" customHeight="false" outlineLevel="0" collapsed="false">
      <c r="A10" s="2" t="s">
        <v>12</v>
      </c>
      <c r="B10" s="3" t="s">
        <v>13</v>
      </c>
    </row>
    <row r="11" customFormat="false" ht="15" hidden="false" customHeight="false" outlineLevel="0" collapsed="false">
      <c r="A11" s="2" t="s">
        <v>14</v>
      </c>
      <c r="B11" s="3" t="s">
        <v>15</v>
      </c>
    </row>
    <row r="12" customFormat="false" ht="15" hidden="false" customHeight="false" outlineLevel="0" collapsed="false">
      <c r="A12" s="2" t="s">
        <v>16</v>
      </c>
      <c r="B12" s="3" t="s">
        <v>17</v>
      </c>
    </row>
    <row r="13" customFormat="false" ht="15" hidden="false" customHeight="false" outlineLevel="0" collapsed="false">
      <c r="A13" s="2" t="s">
        <v>18</v>
      </c>
      <c r="B13" s="3" t="s">
        <v>19</v>
      </c>
    </row>
    <row r="14" customFormat="false" ht="15" hidden="false" customHeight="false" outlineLevel="0" collapsed="false">
      <c r="A14" s="2" t="s">
        <v>20</v>
      </c>
      <c r="B14" s="3" t="s">
        <v>21</v>
      </c>
    </row>
    <row r="15" customFormat="false" ht="15" hidden="false" customHeight="false" outlineLevel="0" collapsed="false">
      <c r="A15" s="2" t="s">
        <v>22</v>
      </c>
      <c r="B15" s="3" t="s">
        <v>23</v>
      </c>
    </row>
    <row r="16" customFormat="false" ht="15" hidden="false" customHeight="false" outlineLevel="0" collapsed="false">
      <c r="A16" s="2" t="s">
        <v>24</v>
      </c>
      <c r="B16" s="3" t="s">
        <v>25</v>
      </c>
    </row>
    <row r="17" customFormat="false" ht="15" hidden="false" customHeight="false" outlineLevel="0" collapsed="false">
      <c r="A17" s="2"/>
    </row>
    <row r="18" customFormat="false" ht="15" hidden="false" customHeight="false" outlineLevel="0" collapsed="false">
      <c r="A18" s="4" t="s">
        <v>26</v>
      </c>
    </row>
    <row r="19" customFormat="false" ht="23.85" hidden="false" customHeight="false" outlineLevel="0" collapsed="false">
      <c r="A19" s="2" t="s">
        <v>27</v>
      </c>
      <c r="B19" s="3" t="s">
        <v>28</v>
      </c>
    </row>
    <row r="20" customFormat="false" ht="15" hidden="false" customHeight="false" outlineLevel="0" collapsed="false">
      <c r="A20" s="2" t="s">
        <v>29</v>
      </c>
      <c r="B20" s="3" t="s">
        <v>30</v>
      </c>
    </row>
    <row r="21" customFormat="false" ht="15" hidden="false" customHeight="false" outlineLevel="0" collapsed="false">
      <c r="A21" s="2" t="s">
        <v>31</v>
      </c>
      <c r="B21" s="3" t="s">
        <v>32</v>
      </c>
    </row>
    <row r="22" customFormat="false" ht="15" hidden="false" customHeight="false" outlineLevel="0" collapsed="false">
      <c r="A22" s="2" t="s">
        <v>33</v>
      </c>
      <c r="B22" s="3" t="s">
        <v>34</v>
      </c>
    </row>
    <row r="23" customFormat="false" ht="23.85" hidden="false" customHeight="false" outlineLevel="0" collapsed="false">
      <c r="A23" s="2" t="s">
        <v>35</v>
      </c>
      <c r="B23" s="3" t="s">
        <v>36</v>
      </c>
    </row>
    <row r="24" customFormat="false" ht="15" hidden="false" customHeight="false" outlineLevel="0" collapsed="false">
      <c r="A24" s="2" t="s">
        <v>37</v>
      </c>
      <c r="B24" s="3" t="s">
        <v>38</v>
      </c>
    </row>
    <row r="25" customFormat="false" ht="15" hidden="false" customHeight="false" outlineLevel="0" collapsed="false">
      <c r="A25" s="2" t="s">
        <v>39</v>
      </c>
      <c r="B25" s="3" t="s">
        <v>40</v>
      </c>
    </row>
    <row r="26" customFormat="false" ht="15" hidden="false" customHeight="false" outlineLevel="0" collapsed="false">
      <c r="A26" s="2" t="s">
        <v>41</v>
      </c>
      <c r="B26" s="3" t="s">
        <v>42</v>
      </c>
    </row>
    <row r="27" customFormat="false" ht="15" hidden="false" customHeight="false" outlineLevel="0" collapsed="false">
      <c r="A27" s="2"/>
    </row>
    <row r="28" customFormat="false" ht="35.05" hidden="false" customHeight="false" outlineLevel="0" collapsed="false">
      <c r="A28" s="2" t="s">
        <v>43</v>
      </c>
      <c r="B28" s="3" t="s">
        <v>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0"/>
    <col collapsed="false" customWidth="true" hidden="false" outlineLevel="0" max="3" min="3" style="0" width="26"/>
    <col collapsed="false" customWidth="true" hidden="false" outlineLevel="0" max="4" min="4" style="0" width="10"/>
    <col collapsed="false" customWidth="true" hidden="false" outlineLevel="0" max="6" min="5" style="0" width="60"/>
    <col collapsed="false" customWidth="true" hidden="false" outlineLevel="0" max="7" min="7" style="0" width="11"/>
    <col collapsed="false" customWidth="true" hidden="false" outlineLevel="0" max="8" min="8" style="0" width="40"/>
    <col collapsed="false" customWidth="true" hidden="false" outlineLevel="0" max="9" min="9" style="0" width="12"/>
    <col collapsed="false" customWidth="true" hidden="false" outlineLevel="0" max="12" min="10" style="0" width="6"/>
  </cols>
  <sheetData>
    <row r="1" customFormat="false" ht="15" hidden="false" customHeight="false" outlineLevel="0" collapsed="false">
      <c r="A1" s="5" t="s">
        <v>45</v>
      </c>
    </row>
    <row r="3" customFormat="false" ht="30" hidden="false" customHeight="true" outlineLevel="0" collapsed="false">
      <c r="A3" s="6" t="s">
        <v>46</v>
      </c>
      <c r="B3" s="6" t="s">
        <v>47</v>
      </c>
      <c r="C3" s="6" t="s">
        <v>48</v>
      </c>
      <c r="D3" s="6" t="s">
        <v>49</v>
      </c>
      <c r="E3" s="6" t="s">
        <v>50</v>
      </c>
      <c r="F3" s="6" t="s">
        <v>51</v>
      </c>
      <c r="G3" s="6" t="s">
        <v>52</v>
      </c>
      <c r="H3" s="6" t="s">
        <v>53</v>
      </c>
      <c r="I3" s="6" t="s">
        <v>54</v>
      </c>
      <c r="J3" s="6" t="s">
        <v>55</v>
      </c>
      <c r="K3" s="6" t="s">
        <v>56</v>
      </c>
      <c r="L3" s="6" t="s">
        <v>57</v>
      </c>
    </row>
    <row r="4" customFormat="false" ht="23.85" hidden="false" customHeight="false" outlineLevel="0" collapsed="false">
      <c r="A4" s="3" t="s">
        <v>58</v>
      </c>
      <c r="B4" s="3" t="s">
        <v>59</v>
      </c>
      <c r="C4" s="3" t="s">
        <v>60</v>
      </c>
      <c r="D4" s="3" t="n">
        <v>1</v>
      </c>
      <c r="E4" s="3" t="s">
        <v>61</v>
      </c>
      <c r="F4" s="3" t="s">
        <v>62</v>
      </c>
      <c r="G4" s="7" t="s">
        <v>63</v>
      </c>
      <c r="H4" s="3" t="s">
        <v>64</v>
      </c>
      <c r="I4" s="3" t="n">
        <f aca="false">COUNTIFS(03_Indicators!$E$4:$E$70,A4)</f>
        <v>9</v>
      </c>
      <c r="J4" s="3" t="n">
        <f aca="false">COUNTIFS(03_Indicators!$E$4:$E$70,A4,03_Indicators!$K$4:$K$70,"T1")</f>
        <v>0</v>
      </c>
      <c r="K4" s="3" t="n">
        <f aca="false">COUNTIFS(03_Indicators!$E$4:$E$70,A4,03_Indicators!$K$4:$K$70,"T2")</f>
        <v>3</v>
      </c>
      <c r="L4" s="3" t="n">
        <f aca="false">COUNTIFS(03_Indicators!$E$4:$E$70,A4,03_Indicators!$K$4:$K$70,"T3")</f>
        <v>6</v>
      </c>
    </row>
    <row r="5" customFormat="false" ht="35.05" hidden="false" customHeight="false" outlineLevel="0" collapsed="false">
      <c r="A5" s="3" t="s">
        <v>65</v>
      </c>
      <c r="B5" s="3" t="s">
        <v>66</v>
      </c>
      <c r="C5" s="3" t="s">
        <v>67</v>
      </c>
      <c r="D5" s="3" t="n">
        <v>2</v>
      </c>
      <c r="E5" s="3" t="s">
        <v>68</v>
      </c>
      <c r="F5" s="3" t="s">
        <v>69</v>
      </c>
      <c r="G5" s="8" t="s">
        <v>70</v>
      </c>
      <c r="H5" s="3" t="s">
        <v>64</v>
      </c>
      <c r="I5" s="3" t="n">
        <f aca="false">COUNTIFS(03_Indicators!$E$4:$E$70,A5)</f>
        <v>14</v>
      </c>
      <c r="J5" s="3" t="n">
        <f aca="false">COUNTIFS(03_Indicators!$E$4:$E$70,A5,03_Indicators!$K$4:$K$70,"T1")</f>
        <v>0</v>
      </c>
      <c r="K5" s="3" t="n">
        <f aca="false">COUNTIFS(03_Indicators!$E$4:$E$70,A5,03_Indicators!$K$4:$K$70,"T2")</f>
        <v>6</v>
      </c>
      <c r="L5" s="3" t="n">
        <f aca="false">COUNTIFS(03_Indicators!$E$4:$E$70,A5,03_Indicators!$K$4:$K$70,"T3")</f>
        <v>8</v>
      </c>
    </row>
    <row r="6" customFormat="false" ht="46.25" hidden="false" customHeight="false" outlineLevel="0" collapsed="false">
      <c r="A6" s="3" t="s">
        <v>71</v>
      </c>
      <c r="B6" s="3" t="s">
        <v>72</v>
      </c>
      <c r="C6" s="3" t="s">
        <v>73</v>
      </c>
      <c r="D6" s="3" t="n">
        <v>3</v>
      </c>
      <c r="E6" s="3" t="s">
        <v>74</v>
      </c>
      <c r="F6" s="3" t="s">
        <v>75</v>
      </c>
      <c r="G6" s="9" t="s">
        <v>76</v>
      </c>
      <c r="H6" s="3" t="s">
        <v>64</v>
      </c>
      <c r="I6" s="3" t="n">
        <f aca="false">COUNTIFS(03_Indicators!$E$4:$E$70,A6)</f>
        <v>10</v>
      </c>
      <c r="J6" s="3" t="n">
        <f aca="false">COUNTIFS(03_Indicators!$E$4:$E$70,A6,03_Indicators!$K$4:$K$70,"T1")</f>
        <v>1</v>
      </c>
      <c r="K6" s="3" t="n">
        <f aca="false">COUNTIFS(03_Indicators!$E$4:$E$70,A6,03_Indicators!$K$4:$K$70,"T2")</f>
        <v>7</v>
      </c>
      <c r="L6" s="3" t="n">
        <f aca="false">COUNTIFS(03_Indicators!$E$4:$E$70,A6,03_Indicators!$K$4:$K$70,"T3")</f>
        <v>2</v>
      </c>
    </row>
    <row r="7" customFormat="false" ht="23.85" hidden="false" customHeight="false" outlineLevel="0" collapsed="false">
      <c r="A7" s="3" t="s">
        <v>77</v>
      </c>
      <c r="B7" s="3" t="s">
        <v>78</v>
      </c>
      <c r="C7" s="3" t="s">
        <v>78</v>
      </c>
      <c r="D7" s="3" t="n">
        <v>4</v>
      </c>
      <c r="E7" s="3" t="s">
        <v>79</v>
      </c>
      <c r="F7" s="3" t="s">
        <v>80</v>
      </c>
      <c r="G7" s="10" t="s">
        <v>81</v>
      </c>
      <c r="H7" s="3" t="s">
        <v>64</v>
      </c>
      <c r="I7" s="3" t="n">
        <f aca="false">COUNTIFS(03_Indicators!$E$4:$E$70,A7)</f>
        <v>10</v>
      </c>
      <c r="J7" s="3" t="n">
        <f aca="false">COUNTIFS(03_Indicators!$E$4:$E$70,A7,03_Indicators!$K$4:$K$70,"T1")</f>
        <v>0</v>
      </c>
      <c r="K7" s="3" t="n">
        <f aca="false">COUNTIFS(03_Indicators!$E$4:$E$70,A7,03_Indicators!$K$4:$K$70,"T2")</f>
        <v>3</v>
      </c>
      <c r="L7" s="3" t="n">
        <f aca="false">COUNTIFS(03_Indicators!$E$4:$E$70,A7,03_Indicators!$K$4:$K$70,"T3")</f>
        <v>7</v>
      </c>
    </row>
    <row r="8" customFormat="false" ht="35.05" hidden="false" customHeight="false" outlineLevel="0" collapsed="false">
      <c r="A8" s="3" t="s">
        <v>82</v>
      </c>
      <c r="B8" s="3" t="s">
        <v>83</v>
      </c>
      <c r="C8" s="3" t="s">
        <v>84</v>
      </c>
      <c r="D8" s="3" t="n">
        <v>5</v>
      </c>
      <c r="E8" s="3" t="s">
        <v>85</v>
      </c>
      <c r="F8" s="3" t="s">
        <v>86</v>
      </c>
      <c r="G8" s="11" t="s">
        <v>87</v>
      </c>
      <c r="H8" s="3" t="s">
        <v>64</v>
      </c>
      <c r="I8" s="3" t="n">
        <f aca="false">COUNTIFS(03_Indicators!$E$4:$E$70,A8)</f>
        <v>8</v>
      </c>
      <c r="J8" s="3" t="n">
        <f aca="false">COUNTIFS(03_Indicators!$E$4:$E$70,A8,03_Indicators!$K$4:$K$70,"T1")</f>
        <v>0</v>
      </c>
      <c r="K8" s="3" t="n">
        <f aca="false">COUNTIFS(03_Indicators!$E$4:$E$70,A8,03_Indicators!$K$4:$K$70,"T2")</f>
        <v>3</v>
      </c>
      <c r="L8" s="3" t="n">
        <f aca="false">COUNTIFS(03_Indicators!$E$4:$E$70,A8,03_Indicators!$K$4:$K$70,"T3")</f>
        <v>5</v>
      </c>
    </row>
    <row r="9" customFormat="false" ht="23.85" hidden="false" customHeight="false" outlineLevel="0" collapsed="false">
      <c r="A9" s="3" t="s">
        <v>88</v>
      </c>
      <c r="B9" s="3" t="s">
        <v>89</v>
      </c>
      <c r="C9" s="3" t="s">
        <v>90</v>
      </c>
      <c r="D9" s="3" t="n">
        <v>6</v>
      </c>
      <c r="E9" s="3" t="s">
        <v>91</v>
      </c>
      <c r="F9" s="3" t="s">
        <v>92</v>
      </c>
      <c r="G9" s="12" t="s">
        <v>93</v>
      </c>
      <c r="H9" s="3" t="s">
        <v>64</v>
      </c>
      <c r="I9" s="3" t="n">
        <f aca="false">COUNTIFS(03_Indicators!$E$4:$E$70,A9)</f>
        <v>4</v>
      </c>
      <c r="J9" s="3" t="n">
        <f aca="false">COUNTIFS(03_Indicators!$E$4:$E$70,A9,03_Indicators!$K$4:$K$70,"T1")</f>
        <v>0</v>
      </c>
      <c r="K9" s="3" t="n">
        <f aca="false">COUNTIFS(03_Indicators!$E$4:$E$70,A9,03_Indicators!$K$4:$K$70,"T2")</f>
        <v>1</v>
      </c>
      <c r="L9" s="3" t="n">
        <f aca="false">COUNTIFS(03_Indicators!$E$4:$E$70,A9,03_Indicators!$K$4:$K$70,"T3")</f>
        <v>3</v>
      </c>
    </row>
    <row r="10" customFormat="false" ht="23.85" hidden="false" customHeight="false" outlineLevel="0" collapsed="false">
      <c r="A10" s="3" t="s">
        <v>94</v>
      </c>
      <c r="B10" s="3" t="s">
        <v>95</v>
      </c>
      <c r="C10" s="3" t="s">
        <v>95</v>
      </c>
      <c r="D10" s="3" t="n">
        <v>7</v>
      </c>
      <c r="E10" s="3" t="s">
        <v>96</v>
      </c>
      <c r="F10" s="3" t="s">
        <v>97</v>
      </c>
      <c r="G10" s="13" t="s">
        <v>98</v>
      </c>
      <c r="H10" s="3" t="s">
        <v>64</v>
      </c>
      <c r="I10" s="3" t="n">
        <f aca="false">COUNTIFS(03_Indicators!$E$4:$E$70,A10)</f>
        <v>3</v>
      </c>
      <c r="J10" s="3" t="n">
        <f aca="false">COUNTIFS(03_Indicators!$E$4:$E$70,A10,03_Indicators!$K$4:$K$70,"T1")</f>
        <v>2</v>
      </c>
      <c r="K10" s="3" t="n">
        <f aca="false">COUNTIFS(03_Indicators!$E$4:$E$70,A10,03_Indicators!$K$4:$K$70,"T2")</f>
        <v>1</v>
      </c>
      <c r="L10" s="3" t="n">
        <f aca="false">COUNTIFS(03_Indicators!$E$4:$E$70,A10,03_Indicators!$K$4:$K$70,"T3")</f>
        <v>0</v>
      </c>
    </row>
    <row r="11" customFormat="false" ht="23.85" hidden="false" customHeight="false" outlineLevel="0" collapsed="false">
      <c r="A11" s="3" t="s">
        <v>99</v>
      </c>
      <c r="B11" s="3" t="s">
        <v>100</v>
      </c>
      <c r="C11" s="3" t="s">
        <v>101</v>
      </c>
      <c r="D11" s="3" t="n">
        <v>8</v>
      </c>
      <c r="E11" s="3" t="s">
        <v>102</v>
      </c>
      <c r="F11" s="3" t="s">
        <v>103</v>
      </c>
      <c r="G11" s="14" t="s">
        <v>104</v>
      </c>
      <c r="H11" s="3" t="s">
        <v>64</v>
      </c>
      <c r="I11" s="3" t="n">
        <f aca="false">COUNTIFS(03_Indicators!$E$4:$E$70,A11)</f>
        <v>3</v>
      </c>
      <c r="J11" s="3" t="n">
        <f aca="false">COUNTIFS(03_Indicators!$E$4:$E$70,A11,03_Indicators!$K$4:$K$70,"T1")</f>
        <v>0</v>
      </c>
      <c r="K11" s="3" t="n">
        <f aca="false">COUNTIFS(03_Indicators!$E$4:$E$70,A11,03_Indicators!$K$4:$K$70,"T2")</f>
        <v>1</v>
      </c>
      <c r="L11" s="3" t="n">
        <f aca="false">COUNTIFS(03_Indicators!$E$4:$E$70,A11,03_Indicators!$K$4:$K$70,"T3")</f>
        <v>2</v>
      </c>
    </row>
    <row r="12" customFormat="false" ht="46.25" hidden="false" customHeight="false" outlineLevel="0" collapsed="false">
      <c r="A12" s="3" t="s">
        <v>105</v>
      </c>
      <c r="B12" s="3" t="s">
        <v>106</v>
      </c>
      <c r="C12" s="3" t="s">
        <v>106</v>
      </c>
      <c r="D12" s="3" t="n">
        <v>9</v>
      </c>
      <c r="E12" s="3" t="s">
        <v>107</v>
      </c>
      <c r="F12" s="3" t="s">
        <v>108</v>
      </c>
      <c r="G12" s="15" t="s">
        <v>109</v>
      </c>
      <c r="H12" s="3" t="s">
        <v>110</v>
      </c>
      <c r="I12" s="3" t="n">
        <f aca="false">COUNTIFS(03_Indicators!$E$4:$E$70,A12)</f>
        <v>6</v>
      </c>
      <c r="J12" s="3" t="n">
        <f aca="false">COUNTIFS(03_Indicators!$E$4:$E$70,A12,03_Indicators!$K$4:$K$70,"T1")</f>
        <v>2</v>
      </c>
      <c r="K12" s="3" t="n">
        <f aca="false">COUNTIFS(03_Indicators!$E$4:$E$70,A12,03_Indicators!$K$4:$K$70,"T2")</f>
        <v>3</v>
      </c>
      <c r="L12" s="3" t="n">
        <f aca="false">COUNTIFS(03_Indicators!$E$4:$E$70,A12,03_Indicators!$K$4:$K$70,"T3")</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4" min="3" style="0" width="40"/>
    <col collapsed="false" customWidth="true" hidden="false" outlineLevel="0" max="5" min="5" style="0" width="70"/>
    <col collapsed="false" customWidth="true" hidden="false" outlineLevel="0" max="6" min="6" style="0" width="12"/>
  </cols>
  <sheetData>
    <row r="1" customFormat="false" ht="15" hidden="false" customHeight="false" outlineLevel="0" collapsed="false">
      <c r="A1" s="5" t="s">
        <v>111</v>
      </c>
    </row>
    <row r="3" customFormat="false" ht="30" hidden="false" customHeight="true" outlineLevel="0" collapsed="false">
      <c r="A3" s="6" t="s">
        <v>112</v>
      </c>
      <c r="B3" s="6" t="s">
        <v>46</v>
      </c>
      <c r="C3" s="6" t="s">
        <v>47</v>
      </c>
      <c r="D3" s="6" t="s">
        <v>113</v>
      </c>
      <c r="E3" s="6" t="s">
        <v>114</v>
      </c>
      <c r="F3" s="6" t="s">
        <v>54</v>
      </c>
    </row>
    <row r="4" customFormat="false" ht="15" hidden="false" customHeight="false" outlineLevel="0" collapsed="false">
      <c r="A4" s="3" t="s">
        <v>115</v>
      </c>
      <c r="B4" s="3" t="s">
        <v>58</v>
      </c>
      <c r="C4" s="3" t="s">
        <v>59</v>
      </c>
      <c r="D4" s="3" t="s">
        <v>116</v>
      </c>
      <c r="E4" s="3" t="s">
        <v>117</v>
      </c>
      <c r="F4" s="3" t="n">
        <f aca="false">COUNTIFS(03_Indicators!$G$4:$G$70,A4)</f>
        <v>1</v>
      </c>
    </row>
    <row r="5" customFormat="false" ht="15" hidden="false" customHeight="false" outlineLevel="0" collapsed="false">
      <c r="A5" s="3" t="s">
        <v>118</v>
      </c>
      <c r="B5" s="3" t="s">
        <v>58</v>
      </c>
      <c r="C5" s="3" t="s">
        <v>59</v>
      </c>
      <c r="D5" s="3" t="s">
        <v>119</v>
      </c>
      <c r="E5" s="3" t="s">
        <v>120</v>
      </c>
      <c r="F5" s="3" t="n">
        <f aca="false">COUNTIFS(03_Indicators!$G$4:$G$70,A5)</f>
        <v>2</v>
      </c>
    </row>
    <row r="6" customFormat="false" ht="15" hidden="false" customHeight="false" outlineLevel="0" collapsed="false">
      <c r="A6" s="3" t="s">
        <v>121</v>
      </c>
      <c r="B6" s="3" t="s">
        <v>58</v>
      </c>
      <c r="C6" s="3" t="s">
        <v>59</v>
      </c>
      <c r="D6" s="3" t="s">
        <v>122</v>
      </c>
      <c r="E6" s="3" t="s">
        <v>123</v>
      </c>
      <c r="F6" s="3" t="n">
        <f aca="false">COUNTIFS(03_Indicators!$G$4:$G$70,A6)</f>
        <v>3</v>
      </c>
    </row>
    <row r="7" customFormat="false" ht="15" hidden="false" customHeight="false" outlineLevel="0" collapsed="false">
      <c r="A7" s="3" t="s">
        <v>124</v>
      </c>
      <c r="B7" s="3" t="s">
        <v>58</v>
      </c>
      <c r="C7" s="3" t="s">
        <v>59</v>
      </c>
      <c r="D7" s="3" t="s">
        <v>125</v>
      </c>
      <c r="E7" s="3" t="s">
        <v>126</v>
      </c>
      <c r="F7" s="3" t="n">
        <f aca="false">COUNTIFS(03_Indicators!$G$4:$G$70,A7)</f>
        <v>2</v>
      </c>
    </row>
    <row r="8" customFormat="false" ht="15" hidden="false" customHeight="false" outlineLevel="0" collapsed="false">
      <c r="A8" s="3" t="s">
        <v>127</v>
      </c>
      <c r="B8" s="3" t="s">
        <v>58</v>
      </c>
      <c r="C8" s="3" t="s">
        <v>59</v>
      </c>
      <c r="D8" s="3" t="s">
        <v>128</v>
      </c>
      <c r="E8" s="3" t="s">
        <v>129</v>
      </c>
      <c r="F8" s="3" t="n">
        <f aca="false">COUNTIFS(03_Indicators!$G$4:$G$70,A8)</f>
        <v>1</v>
      </c>
    </row>
    <row r="9" customFormat="false" ht="15" hidden="false" customHeight="false" outlineLevel="0" collapsed="false">
      <c r="A9" s="3" t="s">
        <v>130</v>
      </c>
      <c r="B9" s="3" t="s">
        <v>65</v>
      </c>
      <c r="C9" s="3" t="s">
        <v>66</v>
      </c>
      <c r="D9" s="3" t="s">
        <v>131</v>
      </c>
      <c r="E9" s="3" t="s">
        <v>132</v>
      </c>
      <c r="F9" s="3" t="n">
        <f aca="false">COUNTIFS(03_Indicators!$G$4:$G$70,A9)</f>
        <v>4</v>
      </c>
    </row>
    <row r="10" customFormat="false" ht="15" hidden="false" customHeight="false" outlineLevel="0" collapsed="false">
      <c r="A10" s="3" t="s">
        <v>133</v>
      </c>
      <c r="B10" s="3" t="s">
        <v>65</v>
      </c>
      <c r="C10" s="3" t="s">
        <v>66</v>
      </c>
      <c r="D10" s="3" t="s">
        <v>134</v>
      </c>
      <c r="E10" s="3" t="s">
        <v>135</v>
      </c>
      <c r="F10" s="3" t="n">
        <f aca="false">COUNTIFS(03_Indicators!$G$4:$G$70,A10)</f>
        <v>1</v>
      </c>
    </row>
    <row r="11" customFormat="false" ht="15" hidden="false" customHeight="false" outlineLevel="0" collapsed="false">
      <c r="A11" s="3" t="s">
        <v>136</v>
      </c>
      <c r="B11" s="3" t="s">
        <v>65</v>
      </c>
      <c r="C11" s="3" t="s">
        <v>66</v>
      </c>
      <c r="D11" s="3" t="s">
        <v>137</v>
      </c>
      <c r="E11" s="3" t="s">
        <v>138</v>
      </c>
      <c r="F11" s="3" t="n">
        <f aca="false">COUNTIFS(03_Indicators!$G$4:$G$70,A11)</f>
        <v>2</v>
      </c>
    </row>
    <row r="12" customFormat="false" ht="15" hidden="false" customHeight="false" outlineLevel="0" collapsed="false">
      <c r="A12" s="3" t="s">
        <v>139</v>
      </c>
      <c r="B12" s="3" t="s">
        <v>65</v>
      </c>
      <c r="C12" s="3" t="s">
        <v>66</v>
      </c>
      <c r="D12" s="3" t="s">
        <v>140</v>
      </c>
      <c r="E12" s="3" t="s">
        <v>141</v>
      </c>
      <c r="F12" s="3" t="n">
        <f aca="false">COUNTIFS(03_Indicators!$G$4:$G$70,A12)</f>
        <v>3</v>
      </c>
    </row>
    <row r="13" customFormat="false" ht="15" hidden="false" customHeight="false" outlineLevel="0" collapsed="false">
      <c r="A13" s="3" t="s">
        <v>142</v>
      </c>
      <c r="B13" s="3" t="s">
        <v>65</v>
      </c>
      <c r="C13" s="3" t="s">
        <v>66</v>
      </c>
      <c r="D13" s="3" t="s">
        <v>143</v>
      </c>
      <c r="E13" s="3" t="s">
        <v>144</v>
      </c>
      <c r="F13" s="3" t="n">
        <f aca="false">COUNTIFS(03_Indicators!$G$4:$G$70,A13)</f>
        <v>4</v>
      </c>
    </row>
    <row r="14" customFormat="false" ht="15" hidden="false" customHeight="false" outlineLevel="0" collapsed="false">
      <c r="A14" s="3" t="s">
        <v>145</v>
      </c>
      <c r="B14" s="3" t="s">
        <v>71</v>
      </c>
      <c r="C14" s="3" t="s">
        <v>72</v>
      </c>
      <c r="D14" s="3" t="s">
        <v>146</v>
      </c>
      <c r="E14" s="3" t="s">
        <v>147</v>
      </c>
      <c r="F14" s="3" t="n">
        <f aca="false">COUNTIFS(03_Indicators!$G$4:$G$70,A14)</f>
        <v>1</v>
      </c>
    </row>
    <row r="15" customFormat="false" ht="15" hidden="false" customHeight="false" outlineLevel="0" collapsed="false">
      <c r="A15" s="3" t="s">
        <v>148</v>
      </c>
      <c r="B15" s="3" t="s">
        <v>71</v>
      </c>
      <c r="C15" s="3" t="s">
        <v>72</v>
      </c>
      <c r="D15" s="3" t="s">
        <v>149</v>
      </c>
      <c r="E15" s="3" t="s">
        <v>150</v>
      </c>
      <c r="F15" s="3" t="n">
        <f aca="false">COUNTIFS(03_Indicators!$G$4:$G$70,A15)</f>
        <v>3</v>
      </c>
    </row>
    <row r="16" customFormat="false" ht="15" hidden="false" customHeight="false" outlineLevel="0" collapsed="false">
      <c r="A16" s="3" t="s">
        <v>151</v>
      </c>
      <c r="B16" s="3" t="s">
        <v>71</v>
      </c>
      <c r="C16" s="3" t="s">
        <v>72</v>
      </c>
      <c r="D16" s="3" t="s">
        <v>152</v>
      </c>
      <c r="E16" s="3" t="s">
        <v>153</v>
      </c>
      <c r="F16" s="3" t="n">
        <f aca="false">COUNTIFS(03_Indicators!$G$4:$G$70,A16)</f>
        <v>2</v>
      </c>
    </row>
    <row r="17" customFormat="false" ht="15" hidden="false" customHeight="false" outlineLevel="0" collapsed="false">
      <c r="A17" s="3" t="s">
        <v>154</v>
      </c>
      <c r="B17" s="3" t="s">
        <v>71</v>
      </c>
      <c r="C17" s="3" t="s">
        <v>72</v>
      </c>
      <c r="D17" s="3" t="s">
        <v>155</v>
      </c>
      <c r="E17" s="3" t="s">
        <v>156</v>
      </c>
      <c r="F17" s="3" t="n">
        <f aca="false">COUNTIFS(03_Indicators!$G$4:$G$70,A17)</f>
        <v>1</v>
      </c>
    </row>
    <row r="18" customFormat="false" ht="15" hidden="false" customHeight="false" outlineLevel="0" collapsed="false">
      <c r="A18" s="3" t="s">
        <v>157</v>
      </c>
      <c r="B18" s="3" t="s">
        <v>71</v>
      </c>
      <c r="C18" s="3" t="s">
        <v>72</v>
      </c>
      <c r="D18" s="3" t="s">
        <v>158</v>
      </c>
      <c r="E18" s="3" t="s">
        <v>159</v>
      </c>
      <c r="F18" s="3" t="n">
        <f aca="false">COUNTIFS(03_Indicators!$G$4:$G$70,A18)</f>
        <v>3</v>
      </c>
    </row>
    <row r="19" customFormat="false" ht="15" hidden="false" customHeight="false" outlineLevel="0" collapsed="false">
      <c r="A19" s="3" t="s">
        <v>160</v>
      </c>
      <c r="B19" s="3" t="s">
        <v>77</v>
      </c>
      <c r="C19" s="3" t="s">
        <v>78</v>
      </c>
      <c r="D19" s="3" t="s">
        <v>161</v>
      </c>
      <c r="E19" s="3" t="s">
        <v>162</v>
      </c>
      <c r="F19" s="3" t="n">
        <f aca="false">COUNTIFS(03_Indicators!$G$4:$G$70,A19)</f>
        <v>4</v>
      </c>
    </row>
    <row r="20" customFormat="false" ht="15" hidden="false" customHeight="false" outlineLevel="0" collapsed="false">
      <c r="A20" s="3" t="s">
        <v>163</v>
      </c>
      <c r="B20" s="3" t="s">
        <v>77</v>
      </c>
      <c r="C20" s="3" t="s">
        <v>78</v>
      </c>
      <c r="D20" s="3" t="s">
        <v>164</v>
      </c>
      <c r="E20" s="3" t="s">
        <v>165</v>
      </c>
      <c r="F20" s="3" t="n">
        <f aca="false">COUNTIFS(03_Indicators!$G$4:$G$70,A20)</f>
        <v>2</v>
      </c>
    </row>
    <row r="21" customFormat="false" ht="15" hidden="false" customHeight="false" outlineLevel="0" collapsed="false">
      <c r="A21" s="3" t="s">
        <v>166</v>
      </c>
      <c r="B21" s="3" t="s">
        <v>77</v>
      </c>
      <c r="C21" s="3" t="s">
        <v>78</v>
      </c>
      <c r="D21" s="3" t="s">
        <v>167</v>
      </c>
      <c r="E21" s="3" t="s">
        <v>168</v>
      </c>
      <c r="F21" s="3" t="n">
        <f aca="false">COUNTIFS(03_Indicators!$G$4:$G$70,A21)</f>
        <v>3</v>
      </c>
    </row>
    <row r="22" customFormat="false" ht="15" hidden="false" customHeight="false" outlineLevel="0" collapsed="false">
      <c r="A22" s="3" t="s">
        <v>169</v>
      </c>
      <c r="B22" s="3" t="s">
        <v>77</v>
      </c>
      <c r="C22" s="3" t="s">
        <v>78</v>
      </c>
      <c r="D22" s="3" t="s">
        <v>170</v>
      </c>
      <c r="E22" s="3" t="s">
        <v>171</v>
      </c>
      <c r="F22" s="3" t="n">
        <f aca="false">COUNTIFS(03_Indicators!$G$4:$G$70,A22)</f>
        <v>1</v>
      </c>
    </row>
    <row r="23" customFormat="false" ht="15" hidden="false" customHeight="false" outlineLevel="0" collapsed="false">
      <c r="A23" s="3" t="s">
        <v>172</v>
      </c>
      <c r="B23" s="3" t="s">
        <v>82</v>
      </c>
      <c r="C23" s="3" t="s">
        <v>83</v>
      </c>
      <c r="D23" s="3" t="s">
        <v>173</v>
      </c>
      <c r="E23" s="3" t="s">
        <v>174</v>
      </c>
      <c r="F23" s="3" t="n">
        <f aca="false">COUNTIFS(03_Indicators!$G$4:$G$70,A23)</f>
        <v>2</v>
      </c>
    </row>
    <row r="24" customFormat="false" ht="15" hidden="false" customHeight="false" outlineLevel="0" collapsed="false">
      <c r="A24" s="3" t="s">
        <v>175</v>
      </c>
      <c r="B24" s="3" t="s">
        <v>82</v>
      </c>
      <c r="C24" s="3" t="s">
        <v>83</v>
      </c>
      <c r="D24" s="3" t="s">
        <v>176</v>
      </c>
      <c r="E24" s="3" t="s">
        <v>177</v>
      </c>
      <c r="F24" s="3" t="n">
        <f aca="false">COUNTIFS(03_Indicators!$G$4:$G$70,A24)</f>
        <v>2</v>
      </c>
    </row>
    <row r="25" customFormat="false" ht="15" hidden="false" customHeight="false" outlineLevel="0" collapsed="false">
      <c r="A25" s="3" t="s">
        <v>178</v>
      </c>
      <c r="B25" s="3" t="s">
        <v>82</v>
      </c>
      <c r="C25" s="3" t="s">
        <v>83</v>
      </c>
      <c r="D25" s="3" t="s">
        <v>179</v>
      </c>
      <c r="E25" s="3" t="s">
        <v>180</v>
      </c>
      <c r="F25" s="3" t="n">
        <f aca="false">COUNTIFS(03_Indicators!$G$4:$G$70,A25)</f>
        <v>2</v>
      </c>
    </row>
    <row r="26" customFormat="false" ht="15" hidden="false" customHeight="false" outlineLevel="0" collapsed="false">
      <c r="A26" s="3" t="s">
        <v>181</v>
      </c>
      <c r="B26" s="3" t="s">
        <v>82</v>
      </c>
      <c r="C26" s="3" t="s">
        <v>83</v>
      </c>
      <c r="D26" s="3" t="s">
        <v>182</v>
      </c>
      <c r="E26" s="3" t="s">
        <v>183</v>
      </c>
      <c r="F26" s="3" t="n">
        <f aca="false">COUNTIFS(03_Indicators!$G$4:$G$70,A26)</f>
        <v>2</v>
      </c>
    </row>
    <row r="27" customFormat="false" ht="15" hidden="false" customHeight="false" outlineLevel="0" collapsed="false">
      <c r="A27" s="3" t="s">
        <v>184</v>
      </c>
      <c r="B27" s="3" t="s">
        <v>88</v>
      </c>
      <c r="C27" s="3" t="s">
        <v>89</v>
      </c>
      <c r="D27" s="3" t="s">
        <v>185</v>
      </c>
      <c r="E27" s="3" t="s">
        <v>186</v>
      </c>
      <c r="F27" s="3" t="n">
        <f aca="false">COUNTIFS(03_Indicators!$G$4:$G$70,A27)</f>
        <v>4</v>
      </c>
    </row>
    <row r="28" customFormat="false" ht="15" hidden="false" customHeight="false" outlineLevel="0" collapsed="false">
      <c r="A28" s="3" t="s">
        <v>187</v>
      </c>
      <c r="B28" s="3" t="s">
        <v>94</v>
      </c>
      <c r="C28" s="3" t="s">
        <v>95</v>
      </c>
      <c r="D28" s="3" t="s">
        <v>188</v>
      </c>
      <c r="E28" s="3" t="s">
        <v>189</v>
      </c>
      <c r="F28" s="3" t="n">
        <f aca="false">COUNTIFS(03_Indicators!$G$4:$G$70,A28)</f>
        <v>1</v>
      </c>
    </row>
    <row r="29" customFormat="false" ht="15" hidden="false" customHeight="false" outlineLevel="0" collapsed="false">
      <c r="A29" s="3" t="s">
        <v>190</v>
      </c>
      <c r="B29" s="3" t="s">
        <v>94</v>
      </c>
      <c r="C29" s="3" t="s">
        <v>95</v>
      </c>
      <c r="D29" s="3" t="s">
        <v>191</v>
      </c>
      <c r="E29" s="3" t="s">
        <v>192</v>
      </c>
      <c r="F29" s="3" t="n">
        <f aca="false">COUNTIFS(03_Indicators!$G$4:$G$70,A29)</f>
        <v>1</v>
      </c>
    </row>
    <row r="30" customFormat="false" ht="15" hidden="false" customHeight="false" outlineLevel="0" collapsed="false">
      <c r="A30" s="3" t="s">
        <v>193</v>
      </c>
      <c r="B30" s="3" t="s">
        <v>94</v>
      </c>
      <c r="C30" s="3" t="s">
        <v>95</v>
      </c>
      <c r="D30" s="3" t="s">
        <v>194</v>
      </c>
      <c r="E30" s="3" t="s">
        <v>195</v>
      </c>
      <c r="F30" s="3" t="n">
        <f aca="false">COUNTIFS(03_Indicators!$G$4:$G$70,A30)</f>
        <v>1</v>
      </c>
    </row>
    <row r="31" customFormat="false" ht="15" hidden="false" customHeight="false" outlineLevel="0" collapsed="false">
      <c r="A31" s="3" t="s">
        <v>196</v>
      </c>
      <c r="B31" s="3" t="s">
        <v>99</v>
      </c>
      <c r="C31" s="3" t="s">
        <v>100</v>
      </c>
      <c r="D31" s="3" t="s">
        <v>197</v>
      </c>
      <c r="E31" s="3" t="s">
        <v>198</v>
      </c>
      <c r="F31" s="3" t="n">
        <f aca="false">COUNTIFS(03_Indicators!$G$4:$G$70,A31)</f>
        <v>2</v>
      </c>
    </row>
    <row r="32" customFormat="false" ht="15" hidden="false" customHeight="false" outlineLevel="0" collapsed="false">
      <c r="A32" s="3" t="s">
        <v>199</v>
      </c>
      <c r="B32" s="3" t="s">
        <v>99</v>
      </c>
      <c r="C32" s="3" t="s">
        <v>100</v>
      </c>
      <c r="D32" s="3" t="s">
        <v>200</v>
      </c>
      <c r="E32" s="3" t="s">
        <v>201</v>
      </c>
      <c r="F32" s="3" t="n">
        <f aca="false">COUNTIFS(03_Indicators!$G$4:$G$70,A32)</f>
        <v>1</v>
      </c>
    </row>
    <row r="33" customFormat="false" ht="15" hidden="false" customHeight="false" outlineLevel="0" collapsed="false">
      <c r="A33" s="3" t="s">
        <v>202</v>
      </c>
      <c r="B33" s="3" t="s">
        <v>105</v>
      </c>
      <c r="C33" s="3" t="s">
        <v>106</v>
      </c>
      <c r="D33" s="3" t="s">
        <v>203</v>
      </c>
      <c r="E33" s="3" t="s">
        <v>204</v>
      </c>
      <c r="F33" s="3" t="n">
        <f aca="false">COUNTIFS(03_Indicators!$G$4:$G$70,A33)</f>
        <v>2</v>
      </c>
    </row>
    <row r="34" customFormat="false" ht="15" hidden="false" customHeight="false" outlineLevel="0" collapsed="false">
      <c r="A34" s="3" t="s">
        <v>205</v>
      </c>
      <c r="B34" s="3" t="s">
        <v>105</v>
      </c>
      <c r="C34" s="3" t="s">
        <v>106</v>
      </c>
      <c r="D34" s="3" t="s">
        <v>206</v>
      </c>
      <c r="E34" s="3" t="s">
        <v>207</v>
      </c>
      <c r="F34" s="3" t="n">
        <f aca="false">COUNTIFS(03_Indicators!$G$4:$G$70,A34)</f>
        <v>2</v>
      </c>
    </row>
    <row r="35" customFormat="false" ht="15" hidden="false" customHeight="false" outlineLevel="0" collapsed="false">
      <c r="A35" s="3" t="s">
        <v>208</v>
      </c>
      <c r="B35" s="3" t="s">
        <v>105</v>
      </c>
      <c r="C35" s="3" t="s">
        <v>106</v>
      </c>
      <c r="D35" s="3" t="s">
        <v>209</v>
      </c>
      <c r="E35" s="3" t="s">
        <v>210</v>
      </c>
      <c r="F35" s="3" t="n">
        <f aca="false">COUNTIFS(03_Indicators!$G$4:$G$70,A35)</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40"/>
    <col collapsed="false" customWidth="true" hidden="false" outlineLevel="0" max="3" min="3" style="0" width="44"/>
    <col collapsed="false" customWidth="true" hidden="false" outlineLevel="0" max="4" min="4" style="0" width="70"/>
    <col collapsed="false" customWidth="true" hidden="false" outlineLevel="0" max="5" min="5" style="0" width="10"/>
    <col collapsed="false" customWidth="true" hidden="false" outlineLevel="0" max="6" min="6" style="0" width="30"/>
    <col collapsed="false" customWidth="true" hidden="false" outlineLevel="0" max="7" min="7" style="0" width="12"/>
    <col collapsed="false" customWidth="true" hidden="false" outlineLevel="0" max="8" min="8" style="0" width="28"/>
    <col collapsed="false" customWidth="true" hidden="false" outlineLevel="0" max="9" min="9" style="0" width="9"/>
    <col collapsed="false" customWidth="true" hidden="false" outlineLevel="0" max="10" min="10" style="0" width="8"/>
    <col collapsed="false" customWidth="true" hidden="false" outlineLevel="0" max="11" min="11" style="0" width="6"/>
    <col collapsed="false" customWidth="true" hidden="false" outlineLevel="0" max="12" min="12" style="0" width="10"/>
    <col collapsed="false" customWidth="true" hidden="false" outlineLevel="0" max="13" min="13" style="0" width="22"/>
    <col collapsed="false" customWidth="true" hidden="false" outlineLevel="0" max="14" min="14" style="0" width="10"/>
    <col collapsed="false" customWidth="true" hidden="false" outlineLevel="0" max="15" min="15" style="0" width="13"/>
    <col collapsed="false" customWidth="true" hidden="false" outlineLevel="0" max="16" min="16" style="0" width="17"/>
    <col collapsed="false" customWidth="true" hidden="false" outlineLevel="0" max="17" min="17" style="0" width="26"/>
    <col collapsed="false" customWidth="true" hidden="false" outlineLevel="0" max="18" min="18" style="0" width="22"/>
    <col collapsed="false" customWidth="true" hidden="false" outlineLevel="0" max="19" min="19" style="0" width="40"/>
    <col collapsed="false" customWidth="true" hidden="false" outlineLevel="0" max="23" min="20" style="0" width="9"/>
    <col collapsed="false" customWidth="true" hidden="false" outlineLevel="0" max="25" min="24" style="0" width="26"/>
    <col collapsed="false" customWidth="true" hidden="false" outlineLevel="0" max="26" min="26" style="0" width="16"/>
    <col collapsed="false" customWidth="true" hidden="false" outlineLevel="0" max="27" min="27" style="0" width="22"/>
    <col collapsed="false" customWidth="true" hidden="false" outlineLevel="0" max="28" min="28" style="0" width="16"/>
    <col collapsed="false" customWidth="true" hidden="false" outlineLevel="0" max="29" min="29" style="0" width="22"/>
  </cols>
  <sheetData>
    <row r="1" customFormat="false" ht="15" hidden="false" customHeight="false" outlineLevel="0" collapsed="false">
      <c r="A1" s="5" t="s">
        <v>211</v>
      </c>
    </row>
    <row r="2" customFormat="false" ht="15" hidden="false" customHeight="false" outlineLevel="0" collapsed="false">
      <c r="A2" s="16" t="s">
        <v>212</v>
      </c>
    </row>
    <row r="3" customFormat="false" ht="30" hidden="false" customHeight="true" outlineLevel="0" collapsed="false">
      <c r="A3" s="6" t="s">
        <v>213</v>
      </c>
      <c r="B3" s="6" t="s">
        <v>214</v>
      </c>
      <c r="C3" s="6" t="s">
        <v>215</v>
      </c>
      <c r="D3" s="6" t="s">
        <v>114</v>
      </c>
      <c r="E3" s="6" t="s">
        <v>46</v>
      </c>
      <c r="F3" s="6" t="s">
        <v>47</v>
      </c>
      <c r="G3" s="6" t="s">
        <v>112</v>
      </c>
      <c r="H3" s="6" t="s">
        <v>113</v>
      </c>
      <c r="I3" s="6" t="s">
        <v>49</v>
      </c>
      <c r="J3" s="6" t="s">
        <v>216</v>
      </c>
      <c r="K3" s="6" t="s">
        <v>217</v>
      </c>
      <c r="L3" s="6" t="s">
        <v>218</v>
      </c>
      <c r="M3" s="6" t="s">
        <v>219</v>
      </c>
      <c r="N3" s="6" t="s">
        <v>220</v>
      </c>
      <c r="O3" s="6" t="s">
        <v>221</v>
      </c>
      <c r="P3" s="6" t="s">
        <v>222</v>
      </c>
      <c r="Q3" s="6" t="s">
        <v>223</v>
      </c>
      <c r="R3" s="6" t="s">
        <v>224</v>
      </c>
      <c r="S3" s="6" t="s">
        <v>225</v>
      </c>
      <c r="T3" s="6" t="s">
        <v>226</v>
      </c>
      <c r="U3" s="6" t="s">
        <v>227</v>
      </c>
      <c r="V3" s="6" t="s">
        <v>228</v>
      </c>
      <c r="W3" s="6" t="s">
        <v>229</v>
      </c>
      <c r="X3" s="6" t="s">
        <v>230</v>
      </c>
      <c r="Y3" s="6" t="s">
        <v>231</v>
      </c>
      <c r="Z3" s="6" t="s">
        <v>232</v>
      </c>
      <c r="AA3" s="6" t="s">
        <v>233</v>
      </c>
      <c r="AB3" s="6" t="s">
        <v>234</v>
      </c>
      <c r="AC3" s="6" t="s">
        <v>235</v>
      </c>
    </row>
    <row r="4" customFormat="false" ht="23.85" hidden="false" customHeight="false" outlineLevel="0" collapsed="false">
      <c r="A4" s="17" t="s">
        <v>236</v>
      </c>
      <c r="B4" s="3" t="s">
        <v>237</v>
      </c>
      <c r="C4" s="3" t="s">
        <v>238</v>
      </c>
      <c r="D4" s="3" t="s">
        <v>239</v>
      </c>
      <c r="E4" s="3" t="s">
        <v>58</v>
      </c>
      <c r="F4" s="3" t="s">
        <v>59</v>
      </c>
      <c r="G4" s="3" t="s">
        <v>124</v>
      </c>
      <c r="H4" s="3" t="s">
        <v>125</v>
      </c>
      <c r="I4" s="3" t="n">
        <v>1</v>
      </c>
      <c r="J4" s="3" t="n">
        <v>1</v>
      </c>
      <c r="K4" s="3" t="s">
        <v>56</v>
      </c>
      <c r="L4" s="3" t="s">
        <v>240</v>
      </c>
      <c r="M4" s="3" t="s">
        <v>241</v>
      </c>
      <c r="N4" s="3" t="s">
        <v>242</v>
      </c>
      <c r="O4" s="3" t="s">
        <v>242</v>
      </c>
      <c r="P4" s="3" t="s">
        <v>243</v>
      </c>
      <c r="Q4" s="3" t="s">
        <v>244</v>
      </c>
      <c r="R4" s="3" t="s">
        <v>245</v>
      </c>
      <c r="S4" s="3" t="s">
        <v>246</v>
      </c>
      <c r="T4" s="3" t="s">
        <v>247</v>
      </c>
      <c r="U4" s="3" t="s">
        <v>247</v>
      </c>
      <c r="V4" s="3" t="s">
        <v>247</v>
      </c>
      <c r="W4" s="3" t="s">
        <v>247</v>
      </c>
      <c r="X4" s="3" t="s">
        <v>248</v>
      </c>
      <c r="Y4" s="3" t="s">
        <v>249</v>
      </c>
      <c r="Z4" s="3" t="s">
        <v>250</v>
      </c>
      <c r="AA4" s="3" t="s">
        <v>251</v>
      </c>
      <c r="AB4" s="3" t="s">
        <v>252</v>
      </c>
      <c r="AC4" s="3" t="s">
        <v>253</v>
      </c>
    </row>
    <row r="5" customFormat="false" ht="35.05" hidden="false" customHeight="false" outlineLevel="0" collapsed="false">
      <c r="A5" s="17" t="s">
        <v>254</v>
      </c>
      <c r="B5" s="3" t="s">
        <v>255</v>
      </c>
      <c r="C5" s="3" t="s">
        <v>256</v>
      </c>
      <c r="D5" s="3" t="s">
        <v>257</v>
      </c>
      <c r="E5" s="3" t="s">
        <v>58</v>
      </c>
      <c r="F5" s="3" t="s">
        <v>59</v>
      </c>
      <c r="G5" s="3" t="s">
        <v>115</v>
      </c>
      <c r="H5" s="3" t="s">
        <v>116</v>
      </c>
      <c r="I5" s="3" t="n">
        <v>1</v>
      </c>
      <c r="J5" s="3" t="n">
        <v>2</v>
      </c>
      <c r="K5" s="3" t="s">
        <v>56</v>
      </c>
      <c r="L5" s="3" t="s">
        <v>240</v>
      </c>
      <c r="M5" s="3" t="s">
        <v>241</v>
      </c>
      <c r="N5" s="3" t="s">
        <v>258</v>
      </c>
      <c r="O5" s="3" t="s">
        <v>259</v>
      </c>
      <c r="P5" s="3" t="s">
        <v>243</v>
      </c>
      <c r="Q5" s="3" t="s">
        <v>260</v>
      </c>
      <c r="R5" s="3" t="s">
        <v>245</v>
      </c>
      <c r="S5" s="3" t="s">
        <v>261</v>
      </c>
      <c r="T5" s="3" t="s">
        <v>262</v>
      </c>
      <c r="U5" s="3" t="s">
        <v>247</v>
      </c>
      <c r="V5" s="3" t="s">
        <v>247</v>
      </c>
      <c r="W5" s="3" t="s">
        <v>247</v>
      </c>
      <c r="X5" s="3"/>
      <c r="Y5" s="3" t="s">
        <v>249</v>
      </c>
      <c r="Z5" s="3" t="s">
        <v>250</v>
      </c>
      <c r="AA5" s="3" t="s">
        <v>263</v>
      </c>
      <c r="AB5" s="3" t="s">
        <v>264</v>
      </c>
      <c r="AC5" s="3" t="s">
        <v>265</v>
      </c>
    </row>
    <row r="6" customFormat="false" ht="35.05" hidden="false" customHeight="false" outlineLevel="0" collapsed="false">
      <c r="A6" s="17" t="s">
        <v>266</v>
      </c>
      <c r="B6" s="3" t="s">
        <v>267</v>
      </c>
      <c r="C6" s="3" t="s">
        <v>268</v>
      </c>
      <c r="D6" s="3" t="s">
        <v>269</v>
      </c>
      <c r="E6" s="3" t="s">
        <v>58</v>
      </c>
      <c r="F6" s="3" t="s">
        <v>59</v>
      </c>
      <c r="G6" s="3" t="s">
        <v>121</v>
      </c>
      <c r="H6" s="3" t="s">
        <v>122</v>
      </c>
      <c r="I6" s="3" t="n">
        <v>1</v>
      </c>
      <c r="J6" s="3" t="n">
        <v>3</v>
      </c>
      <c r="K6" s="3" t="s">
        <v>56</v>
      </c>
      <c r="L6" s="3" t="s">
        <v>240</v>
      </c>
      <c r="M6" s="3" t="s">
        <v>241</v>
      </c>
      <c r="N6" s="3" t="s">
        <v>258</v>
      </c>
      <c r="O6" s="3" t="s">
        <v>259</v>
      </c>
      <c r="P6" s="3" t="s">
        <v>243</v>
      </c>
      <c r="Q6" s="3" t="s">
        <v>244</v>
      </c>
      <c r="R6" s="3" t="s">
        <v>245</v>
      </c>
      <c r="S6" s="3" t="s">
        <v>270</v>
      </c>
      <c r="T6" s="3"/>
      <c r="U6" s="3" t="s">
        <v>262</v>
      </c>
      <c r="V6" s="3" t="s">
        <v>247</v>
      </c>
      <c r="W6" s="3"/>
      <c r="X6" s="3"/>
      <c r="Y6" s="3" t="s">
        <v>249</v>
      </c>
      <c r="Z6" s="3" t="s">
        <v>250</v>
      </c>
      <c r="AA6" s="3" t="s">
        <v>271</v>
      </c>
      <c r="AB6" s="3" t="s">
        <v>272</v>
      </c>
      <c r="AC6" s="3" t="s">
        <v>273</v>
      </c>
    </row>
    <row r="7" customFormat="false" ht="23.85" hidden="false" customHeight="false" outlineLevel="0" collapsed="false">
      <c r="A7" s="17" t="s">
        <v>274</v>
      </c>
      <c r="B7" s="3" t="s">
        <v>275</v>
      </c>
      <c r="C7" s="3" t="s">
        <v>276</v>
      </c>
      <c r="D7" s="3" t="s">
        <v>277</v>
      </c>
      <c r="E7" s="3" t="s">
        <v>58</v>
      </c>
      <c r="F7" s="3" t="s">
        <v>59</v>
      </c>
      <c r="G7" s="3" t="s">
        <v>118</v>
      </c>
      <c r="H7" s="3" t="s">
        <v>119</v>
      </c>
      <c r="I7" s="3" t="n">
        <v>1</v>
      </c>
      <c r="J7" s="3" t="n">
        <v>4</v>
      </c>
      <c r="K7" s="3" t="s">
        <v>57</v>
      </c>
      <c r="L7" s="3" t="s">
        <v>240</v>
      </c>
      <c r="M7" s="3" t="s">
        <v>241</v>
      </c>
      <c r="N7" s="3" t="s">
        <v>258</v>
      </c>
      <c r="O7" s="3" t="s">
        <v>259</v>
      </c>
      <c r="P7" s="3" t="s">
        <v>278</v>
      </c>
      <c r="Q7" s="3" t="s">
        <v>244</v>
      </c>
      <c r="R7" s="3" t="s">
        <v>245</v>
      </c>
      <c r="S7" s="3"/>
      <c r="T7" s="3" t="s">
        <v>247</v>
      </c>
      <c r="U7" s="3"/>
      <c r="V7" s="3"/>
      <c r="W7" s="3"/>
      <c r="X7" s="3"/>
      <c r="Y7" s="3" t="s">
        <v>249</v>
      </c>
      <c r="Z7" s="3" t="s">
        <v>250</v>
      </c>
      <c r="AA7" s="3" t="s">
        <v>245</v>
      </c>
      <c r="AB7" s="3" t="s">
        <v>279</v>
      </c>
      <c r="AC7" s="3" t="s">
        <v>253</v>
      </c>
    </row>
    <row r="8" customFormat="false" ht="23.85" hidden="false" customHeight="false" outlineLevel="0" collapsed="false">
      <c r="A8" s="17" t="s">
        <v>280</v>
      </c>
      <c r="B8" s="3" t="s">
        <v>281</v>
      </c>
      <c r="C8" s="3" t="s">
        <v>282</v>
      </c>
      <c r="D8" s="3" t="s">
        <v>283</v>
      </c>
      <c r="E8" s="3" t="s">
        <v>58</v>
      </c>
      <c r="F8" s="3" t="s">
        <v>59</v>
      </c>
      <c r="G8" s="3" t="s">
        <v>118</v>
      </c>
      <c r="H8" s="3" t="s">
        <v>119</v>
      </c>
      <c r="I8" s="3" t="n">
        <v>1</v>
      </c>
      <c r="J8" s="3" t="n">
        <v>5</v>
      </c>
      <c r="K8" s="3" t="s">
        <v>57</v>
      </c>
      <c r="L8" s="3" t="s">
        <v>240</v>
      </c>
      <c r="M8" s="3" t="s">
        <v>241</v>
      </c>
      <c r="N8" s="3" t="s">
        <v>258</v>
      </c>
      <c r="O8" s="3" t="s">
        <v>259</v>
      </c>
      <c r="P8" s="3" t="s">
        <v>243</v>
      </c>
      <c r="Q8" s="3" t="s">
        <v>244</v>
      </c>
      <c r="R8" s="3" t="s">
        <v>245</v>
      </c>
      <c r="S8" s="3" t="s">
        <v>284</v>
      </c>
      <c r="T8" s="3" t="s">
        <v>247</v>
      </c>
      <c r="U8" s="3" t="s">
        <v>247</v>
      </c>
      <c r="V8" s="3"/>
      <c r="W8" s="3"/>
      <c r="X8" s="3"/>
      <c r="Y8" s="3" t="s">
        <v>249</v>
      </c>
      <c r="Z8" s="3" t="s">
        <v>250</v>
      </c>
      <c r="AA8" s="3" t="s">
        <v>245</v>
      </c>
      <c r="AB8" s="3" t="s">
        <v>285</v>
      </c>
      <c r="AC8" s="3" t="s">
        <v>265</v>
      </c>
    </row>
    <row r="9" customFormat="false" ht="35.05" hidden="false" customHeight="false" outlineLevel="0" collapsed="false">
      <c r="A9" s="17" t="s">
        <v>286</v>
      </c>
      <c r="B9" s="3" t="s">
        <v>287</v>
      </c>
      <c r="C9" s="3" t="s">
        <v>288</v>
      </c>
      <c r="D9" s="3" t="s">
        <v>289</v>
      </c>
      <c r="E9" s="3" t="s">
        <v>58</v>
      </c>
      <c r="F9" s="3" t="s">
        <v>59</v>
      </c>
      <c r="G9" s="3" t="s">
        <v>124</v>
      </c>
      <c r="H9" s="3" t="s">
        <v>125</v>
      </c>
      <c r="I9" s="3" t="n">
        <v>1</v>
      </c>
      <c r="J9" s="3" t="n">
        <v>6</v>
      </c>
      <c r="K9" s="3" t="s">
        <v>57</v>
      </c>
      <c r="L9" s="3" t="s">
        <v>240</v>
      </c>
      <c r="M9" s="3" t="s">
        <v>241</v>
      </c>
      <c r="N9" s="3" t="s">
        <v>258</v>
      </c>
      <c r="O9" s="3" t="s">
        <v>259</v>
      </c>
      <c r="P9" s="3" t="s">
        <v>243</v>
      </c>
      <c r="Q9" s="3" t="s">
        <v>244</v>
      </c>
      <c r="R9" s="3" t="s">
        <v>245</v>
      </c>
      <c r="S9" s="3" t="s">
        <v>290</v>
      </c>
      <c r="T9" s="3" t="s">
        <v>247</v>
      </c>
      <c r="U9" s="3" t="s">
        <v>247</v>
      </c>
      <c r="V9" s="3" t="s">
        <v>247</v>
      </c>
      <c r="W9" s="3"/>
      <c r="X9" s="3"/>
      <c r="Y9" s="3" t="s">
        <v>249</v>
      </c>
      <c r="Z9" s="3" t="s">
        <v>250</v>
      </c>
      <c r="AA9" s="3" t="s">
        <v>291</v>
      </c>
      <c r="AB9" s="3" t="s">
        <v>292</v>
      </c>
      <c r="AC9" s="3" t="s">
        <v>265</v>
      </c>
    </row>
    <row r="10" customFormat="false" ht="23.85" hidden="false" customHeight="false" outlineLevel="0" collapsed="false">
      <c r="A10" s="17" t="s">
        <v>293</v>
      </c>
      <c r="B10" s="3" t="s">
        <v>294</v>
      </c>
      <c r="C10" s="3" t="s">
        <v>295</v>
      </c>
      <c r="D10" s="3" t="s">
        <v>296</v>
      </c>
      <c r="E10" s="3" t="s">
        <v>58</v>
      </c>
      <c r="F10" s="3" t="s">
        <v>59</v>
      </c>
      <c r="G10" s="3" t="s">
        <v>121</v>
      </c>
      <c r="H10" s="3" t="s">
        <v>122</v>
      </c>
      <c r="I10" s="3" t="n">
        <v>1</v>
      </c>
      <c r="J10" s="3" t="n">
        <v>7</v>
      </c>
      <c r="K10" s="3" t="s">
        <v>57</v>
      </c>
      <c r="L10" s="3" t="s">
        <v>240</v>
      </c>
      <c r="M10" s="3" t="s">
        <v>241</v>
      </c>
      <c r="N10" s="3" t="s">
        <v>242</v>
      </c>
      <c r="O10" s="3" t="s">
        <v>242</v>
      </c>
      <c r="P10" s="3" t="s">
        <v>278</v>
      </c>
      <c r="Q10" s="3" t="s">
        <v>244</v>
      </c>
      <c r="R10" s="3" t="s">
        <v>245</v>
      </c>
      <c r="S10" s="3" t="s">
        <v>297</v>
      </c>
      <c r="T10" s="3"/>
      <c r="U10" s="3" t="s">
        <v>247</v>
      </c>
      <c r="V10" s="3" t="s">
        <v>247</v>
      </c>
      <c r="W10" s="3"/>
      <c r="X10" s="3" t="s">
        <v>248</v>
      </c>
      <c r="Y10" s="3" t="s">
        <v>249</v>
      </c>
      <c r="Z10" s="3" t="s">
        <v>250</v>
      </c>
      <c r="AA10" s="3" t="s">
        <v>298</v>
      </c>
      <c r="AB10" s="3" t="s">
        <v>299</v>
      </c>
      <c r="AC10" s="3" t="s">
        <v>253</v>
      </c>
    </row>
    <row r="11" customFormat="false" ht="23.85" hidden="false" customHeight="false" outlineLevel="0" collapsed="false">
      <c r="A11" s="17" t="s">
        <v>300</v>
      </c>
      <c r="B11" s="3" t="s">
        <v>301</v>
      </c>
      <c r="C11" s="3" t="s">
        <v>302</v>
      </c>
      <c r="D11" s="3" t="s">
        <v>303</v>
      </c>
      <c r="E11" s="3" t="s">
        <v>58</v>
      </c>
      <c r="F11" s="3" t="s">
        <v>59</v>
      </c>
      <c r="G11" s="3" t="s">
        <v>121</v>
      </c>
      <c r="H11" s="3" t="s">
        <v>122</v>
      </c>
      <c r="I11" s="3" t="n">
        <v>1</v>
      </c>
      <c r="J11" s="3" t="n">
        <v>8</v>
      </c>
      <c r="K11" s="3" t="s">
        <v>57</v>
      </c>
      <c r="L11" s="3" t="s">
        <v>240</v>
      </c>
      <c r="M11" s="3" t="s">
        <v>241</v>
      </c>
      <c r="N11" s="3" t="s">
        <v>242</v>
      </c>
      <c r="O11" s="3" t="s">
        <v>242</v>
      </c>
      <c r="P11" s="3" t="s">
        <v>243</v>
      </c>
      <c r="Q11" s="3" t="s">
        <v>244</v>
      </c>
      <c r="R11" s="3" t="s">
        <v>304</v>
      </c>
      <c r="S11" s="3" t="s">
        <v>305</v>
      </c>
      <c r="T11" s="3"/>
      <c r="U11" s="3" t="s">
        <v>247</v>
      </c>
      <c r="V11" s="3" t="s">
        <v>247</v>
      </c>
      <c r="W11" s="3"/>
      <c r="X11" s="3" t="s">
        <v>248</v>
      </c>
      <c r="Y11" s="3" t="s">
        <v>249</v>
      </c>
      <c r="Z11" s="3" t="s">
        <v>250</v>
      </c>
      <c r="AA11" s="3" t="s">
        <v>306</v>
      </c>
      <c r="AB11" s="3" t="s">
        <v>307</v>
      </c>
      <c r="AC11" s="3" t="s">
        <v>253</v>
      </c>
    </row>
    <row r="12" customFormat="false" ht="23.85" hidden="false" customHeight="false" outlineLevel="0" collapsed="false">
      <c r="A12" s="17" t="s">
        <v>308</v>
      </c>
      <c r="B12" s="3" t="s">
        <v>309</v>
      </c>
      <c r="C12" s="3" t="s">
        <v>310</v>
      </c>
      <c r="D12" s="3" t="s">
        <v>311</v>
      </c>
      <c r="E12" s="3" t="s">
        <v>58</v>
      </c>
      <c r="F12" s="3" t="s">
        <v>59</v>
      </c>
      <c r="G12" s="3" t="s">
        <v>127</v>
      </c>
      <c r="H12" s="3" t="s">
        <v>128</v>
      </c>
      <c r="I12" s="3" t="n">
        <v>1</v>
      </c>
      <c r="J12" s="3" t="n">
        <v>9</v>
      </c>
      <c r="K12" s="3" t="s">
        <v>57</v>
      </c>
      <c r="L12" s="3" t="s">
        <v>240</v>
      </c>
      <c r="M12" s="3" t="s">
        <v>241</v>
      </c>
      <c r="N12" s="3" t="s">
        <v>258</v>
      </c>
      <c r="O12" s="3" t="s">
        <v>259</v>
      </c>
      <c r="P12" s="3" t="s">
        <v>243</v>
      </c>
      <c r="Q12" s="3" t="s">
        <v>244</v>
      </c>
      <c r="R12" s="3" t="s">
        <v>245</v>
      </c>
      <c r="S12" s="3" t="s">
        <v>312</v>
      </c>
      <c r="T12" s="3" t="s">
        <v>247</v>
      </c>
      <c r="U12" s="3" t="s">
        <v>247</v>
      </c>
      <c r="V12" s="3"/>
      <c r="W12" s="3"/>
      <c r="X12" s="3"/>
      <c r="Y12" s="3" t="s">
        <v>249</v>
      </c>
      <c r="Z12" s="3" t="s">
        <v>250</v>
      </c>
      <c r="AA12" s="3" t="s">
        <v>245</v>
      </c>
      <c r="AB12" s="3" t="s">
        <v>245</v>
      </c>
      <c r="AC12" s="3" t="s">
        <v>313</v>
      </c>
    </row>
    <row r="13" customFormat="false" ht="23.85" hidden="false" customHeight="false" outlineLevel="0" collapsed="false">
      <c r="A13" s="18" t="s">
        <v>314</v>
      </c>
      <c r="B13" s="3" t="s">
        <v>315</v>
      </c>
      <c r="C13" s="3" t="s">
        <v>316</v>
      </c>
      <c r="D13" s="3" t="s">
        <v>317</v>
      </c>
      <c r="E13" s="3" t="s">
        <v>65</v>
      </c>
      <c r="F13" s="3" t="s">
        <v>66</v>
      </c>
      <c r="G13" s="3" t="s">
        <v>136</v>
      </c>
      <c r="H13" s="3" t="s">
        <v>137</v>
      </c>
      <c r="I13" s="3" t="n">
        <v>2</v>
      </c>
      <c r="J13" s="3" t="n">
        <v>10</v>
      </c>
      <c r="K13" s="3" t="s">
        <v>56</v>
      </c>
      <c r="L13" s="3" t="s">
        <v>240</v>
      </c>
      <c r="M13" s="3" t="s">
        <v>241</v>
      </c>
      <c r="N13" s="3" t="s">
        <v>318</v>
      </c>
      <c r="O13" s="3" t="s">
        <v>319</v>
      </c>
      <c r="P13" s="3" t="s">
        <v>243</v>
      </c>
      <c r="Q13" s="3" t="s">
        <v>244</v>
      </c>
      <c r="R13" s="3" t="s">
        <v>245</v>
      </c>
      <c r="S13" s="3" t="s">
        <v>320</v>
      </c>
      <c r="T13" s="3"/>
      <c r="U13" s="3" t="s">
        <v>247</v>
      </c>
      <c r="V13" s="3" t="s">
        <v>247</v>
      </c>
      <c r="W13" s="3"/>
      <c r="X13" s="3" t="s">
        <v>321</v>
      </c>
      <c r="Y13" s="3" t="s">
        <v>322</v>
      </c>
      <c r="Z13" s="3" t="s">
        <v>250</v>
      </c>
      <c r="AA13" s="3" t="s">
        <v>323</v>
      </c>
      <c r="AB13" s="3" t="s">
        <v>324</v>
      </c>
      <c r="AC13" s="3" t="s">
        <v>273</v>
      </c>
    </row>
    <row r="14" customFormat="false" ht="35.05" hidden="false" customHeight="false" outlineLevel="0" collapsed="false">
      <c r="A14" s="18" t="s">
        <v>325</v>
      </c>
      <c r="B14" s="3" t="s">
        <v>326</v>
      </c>
      <c r="C14" s="3" t="s">
        <v>327</v>
      </c>
      <c r="D14" s="3" t="s">
        <v>328</v>
      </c>
      <c r="E14" s="3" t="s">
        <v>65</v>
      </c>
      <c r="F14" s="3" t="s">
        <v>66</v>
      </c>
      <c r="G14" s="3" t="s">
        <v>136</v>
      </c>
      <c r="H14" s="3" t="s">
        <v>137</v>
      </c>
      <c r="I14" s="3" t="n">
        <v>2</v>
      </c>
      <c r="J14" s="3" t="n">
        <v>11</v>
      </c>
      <c r="K14" s="3" t="s">
        <v>56</v>
      </c>
      <c r="L14" s="3" t="s">
        <v>240</v>
      </c>
      <c r="M14" s="3" t="s">
        <v>241</v>
      </c>
      <c r="N14" s="3" t="s">
        <v>318</v>
      </c>
      <c r="O14" s="3" t="s">
        <v>319</v>
      </c>
      <c r="P14" s="3" t="s">
        <v>243</v>
      </c>
      <c r="Q14" s="3" t="s">
        <v>244</v>
      </c>
      <c r="R14" s="3" t="s">
        <v>245</v>
      </c>
      <c r="S14" s="3" t="s">
        <v>329</v>
      </c>
      <c r="T14" s="3"/>
      <c r="U14" s="3" t="s">
        <v>247</v>
      </c>
      <c r="V14" s="3" t="s">
        <v>247</v>
      </c>
      <c r="W14" s="3"/>
      <c r="X14" s="3" t="s">
        <v>321</v>
      </c>
      <c r="Y14" s="3" t="s">
        <v>322</v>
      </c>
      <c r="Z14" s="3" t="s">
        <v>250</v>
      </c>
      <c r="AA14" s="3" t="s">
        <v>330</v>
      </c>
      <c r="AB14" s="3" t="s">
        <v>331</v>
      </c>
      <c r="AC14" s="3" t="s">
        <v>273</v>
      </c>
    </row>
    <row r="15" customFormat="false" ht="35.05" hidden="false" customHeight="false" outlineLevel="0" collapsed="false">
      <c r="A15" s="18" t="s">
        <v>332</v>
      </c>
      <c r="B15" s="3" t="s">
        <v>333</v>
      </c>
      <c r="C15" s="3" t="s">
        <v>334</v>
      </c>
      <c r="D15" s="3" t="s">
        <v>335</v>
      </c>
      <c r="E15" s="3" t="s">
        <v>65</v>
      </c>
      <c r="F15" s="3" t="s">
        <v>66</v>
      </c>
      <c r="G15" s="3" t="s">
        <v>130</v>
      </c>
      <c r="H15" s="3" t="s">
        <v>131</v>
      </c>
      <c r="I15" s="3" t="n">
        <v>2</v>
      </c>
      <c r="J15" s="3" t="n">
        <v>12</v>
      </c>
      <c r="K15" s="3" t="s">
        <v>56</v>
      </c>
      <c r="L15" s="3" t="s">
        <v>336</v>
      </c>
      <c r="M15" s="3" t="s">
        <v>337</v>
      </c>
      <c r="N15" s="3" t="s">
        <v>318</v>
      </c>
      <c r="O15" s="3" t="s">
        <v>319</v>
      </c>
      <c r="P15" s="3" t="s">
        <v>243</v>
      </c>
      <c r="Q15" s="3" t="s">
        <v>244</v>
      </c>
      <c r="R15" s="3" t="s">
        <v>338</v>
      </c>
      <c r="S15" s="3" t="s">
        <v>339</v>
      </c>
      <c r="T15" s="3" t="s">
        <v>247</v>
      </c>
      <c r="U15" s="3" t="s">
        <v>247</v>
      </c>
      <c r="V15" s="3" t="s">
        <v>247</v>
      </c>
      <c r="W15" s="3"/>
      <c r="X15" s="3" t="s">
        <v>321</v>
      </c>
      <c r="Y15" s="3" t="s">
        <v>322</v>
      </c>
      <c r="Z15" s="3" t="s">
        <v>250</v>
      </c>
      <c r="AA15" s="3" t="s">
        <v>340</v>
      </c>
      <c r="AB15" s="3" t="s">
        <v>341</v>
      </c>
      <c r="AC15" s="3" t="s">
        <v>253</v>
      </c>
    </row>
    <row r="16" customFormat="false" ht="23.85" hidden="false" customHeight="false" outlineLevel="0" collapsed="false">
      <c r="A16" s="18" t="s">
        <v>342</v>
      </c>
      <c r="B16" s="3" t="s">
        <v>343</v>
      </c>
      <c r="C16" s="3" t="s">
        <v>344</v>
      </c>
      <c r="D16" s="3" t="s">
        <v>345</v>
      </c>
      <c r="E16" s="3" t="s">
        <v>65</v>
      </c>
      <c r="F16" s="3" t="s">
        <v>66</v>
      </c>
      <c r="G16" s="3" t="s">
        <v>133</v>
      </c>
      <c r="H16" s="3" t="s">
        <v>134</v>
      </c>
      <c r="I16" s="3" t="n">
        <v>2</v>
      </c>
      <c r="J16" s="3" t="n">
        <v>13</v>
      </c>
      <c r="K16" s="3" t="s">
        <v>56</v>
      </c>
      <c r="L16" s="3" t="s">
        <v>336</v>
      </c>
      <c r="M16" s="3" t="s">
        <v>337</v>
      </c>
      <c r="N16" s="3" t="s">
        <v>318</v>
      </c>
      <c r="O16" s="3" t="s">
        <v>319</v>
      </c>
      <c r="P16" s="3" t="s">
        <v>243</v>
      </c>
      <c r="Q16" s="3" t="s">
        <v>244</v>
      </c>
      <c r="R16" s="3" t="s">
        <v>245</v>
      </c>
      <c r="S16" s="3" t="s">
        <v>346</v>
      </c>
      <c r="T16" s="3" t="s">
        <v>247</v>
      </c>
      <c r="U16" s="3" t="s">
        <v>247</v>
      </c>
      <c r="V16" s="3" t="s">
        <v>247</v>
      </c>
      <c r="W16" s="3"/>
      <c r="X16" s="3" t="s">
        <v>321</v>
      </c>
      <c r="Y16" s="3" t="s">
        <v>322</v>
      </c>
      <c r="Z16" s="3" t="s">
        <v>250</v>
      </c>
      <c r="AA16" s="3" t="s">
        <v>347</v>
      </c>
      <c r="AB16" s="3" t="s">
        <v>348</v>
      </c>
      <c r="AC16" s="3" t="s">
        <v>253</v>
      </c>
    </row>
    <row r="17" customFormat="false" ht="23.85" hidden="false" customHeight="false" outlineLevel="0" collapsed="false">
      <c r="A17" s="18" t="s">
        <v>349</v>
      </c>
      <c r="B17" s="3" t="s">
        <v>350</v>
      </c>
      <c r="C17" s="3" t="s">
        <v>351</v>
      </c>
      <c r="D17" s="3" t="s">
        <v>352</v>
      </c>
      <c r="E17" s="3" t="s">
        <v>65</v>
      </c>
      <c r="F17" s="3" t="s">
        <v>66</v>
      </c>
      <c r="G17" s="3" t="s">
        <v>130</v>
      </c>
      <c r="H17" s="3" t="s">
        <v>131</v>
      </c>
      <c r="I17" s="3" t="n">
        <v>2</v>
      </c>
      <c r="J17" s="3" t="n">
        <v>14</v>
      </c>
      <c r="K17" s="3" t="s">
        <v>56</v>
      </c>
      <c r="L17" s="3" t="s">
        <v>336</v>
      </c>
      <c r="M17" s="3" t="s">
        <v>337</v>
      </c>
      <c r="N17" s="3" t="s">
        <v>318</v>
      </c>
      <c r="O17" s="3" t="s">
        <v>319</v>
      </c>
      <c r="P17" s="3" t="s">
        <v>243</v>
      </c>
      <c r="Q17" s="3" t="s">
        <v>353</v>
      </c>
      <c r="R17" s="3" t="s">
        <v>354</v>
      </c>
      <c r="S17" s="3" t="s">
        <v>355</v>
      </c>
      <c r="T17" s="3" t="s">
        <v>247</v>
      </c>
      <c r="U17" s="3" t="s">
        <v>247</v>
      </c>
      <c r="V17" s="3" t="s">
        <v>247</v>
      </c>
      <c r="W17" s="3" t="s">
        <v>247</v>
      </c>
      <c r="X17" s="3" t="s">
        <v>356</v>
      </c>
      <c r="Y17" s="3" t="s">
        <v>357</v>
      </c>
      <c r="Z17" s="3" t="s">
        <v>250</v>
      </c>
      <c r="AA17" s="3" t="s">
        <v>358</v>
      </c>
      <c r="AB17" s="3" t="s">
        <v>359</v>
      </c>
      <c r="AC17" s="3" t="s">
        <v>253</v>
      </c>
    </row>
    <row r="18" customFormat="false" ht="35.05" hidden="false" customHeight="false" outlineLevel="0" collapsed="false">
      <c r="A18" s="18" t="s">
        <v>360</v>
      </c>
      <c r="B18" s="3" t="s">
        <v>361</v>
      </c>
      <c r="C18" s="3" t="s">
        <v>362</v>
      </c>
      <c r="D18" s="3" t="s">
        <v>363</v>
      </c>
      <c r="E18" s="3" t="s">
        <v>65</v>
      </c>
      <c r="F18" s="3" t="s">
        <v>66</v>
      </c>
      <c r="G18" s="3" t="s">
        <v>130</v>
      </c>
      <c r="H18" s="3" t="s">
        <v>131</v>
      </c>
      <c r="I18" s="3" t="n">
        <v>2</v>
      </c>
      <c r="J18" s="3" t="n">
        <v>15</v>
      </c>
      <c r="K18" s="3" t="s">
        <v>56</v>
      </c>
      <c r="L18" s="3" t="s">
        <v>240</v>
      </c>
      <c r="M18" s="3" t="s">
        <v>241</v>
      </c>
      <c r="N18" s="3" t="s">
        <v>318</v>
      </c>
      <c r="O18" s="3" t="s">
        <v>319</v>
      </c>
      <c r="P18" s="3" t="s">
        <v>243</v>
      </c>
      <c r="Q18" s="3" t="s">
        <v>244</v>
      </c>
      <c r="R18" s="3" t="s">
        <v>245</v>
      </c>
      <c r="S18" s="3" t="s">
        <v>364</v>
      </c>
      <c r="T18" s="3" t="s">
        <v>247</v>
      </c>
      <c r="U18" s="3" t="s">
        <v>247</v>
      </c>
      <c r="V18" s="3" t="s">
        <v>247</v>
      </c>
      <c r="W18" s="3"/>
      <c r="X18" s="3" t="s">
        <v>365</v>
      </c>
      <c r="Y18" s="3" t="s">
        <v>249</v>
      </c>
      <c r="Z18" s="3" t="s">
        <v>250</v>
      </c>
      <c r="AA18" s="3" t="s">
        <v>366</v>
      </c>
      <c r="AB18" s="3" t="s">
        <v>367</v>
      </c>
      <c r="AC18" s="3" t="s">
        <v>253</v>
      </c>
    </row>
    <row r="19" customFormat="false" ht="23.85" hidden="false" customHeight="false" outlineLevel="0" collapsed="false">
      <c r="A19" s="18" t="s">
        <v>368</v>
      </c>
      <c r="B19" s="3" t="s">
        <v>369</v>
      </c>
      <c r="C19" s="3" t="s">
        <v>370</v>
      </c>
      <c r="D19" s="3" t="s">
        <v>371</v>
      </c>
      <c r="E19" s="3" t="s">
        <v>65</v>
      </c>
      <c r="F19" s="3" t="s">
        <v>66</v>
      </c>
      <c r="G19" s="3" t="s">
        <v>142</v>
      </c>
      <c r="H19" s="3" t="s">
        <v>143</v>
      </c>
      <c r="I19" s="3" t="n">
        <v>2</v>
      </c>
      <c r="J19" s="3" t="n">
        <v>16</v>
      </c>
      <c r="K19" s="3" t="s">
        <v>57</v>
      </c>
      <c r="L19" s="3" t="s">
        <v>240</v>
      </c>
      <c r="M19" s="3" t="s">
        <v>241</v>
      </c>
      <c r="N19" s="3" t="s">
        <v>372</v>
      </c>
      <c r="O19" s="3" t="s">
        <v>373</v>
      </c>
      <c r="P19" s="3" t="s">
        <v>243</v>
      </c>
      <c r="Q19" s="3" t="s">
        <v>374</v>
      </c>
      <c r="R19" s="3" t="s">
        <v>245</v>
      </c>
      <c r="S19" s="3"/>
      <c r="T19" s="3" t="s">
        <v>247</v>
      </c>
      <c r="U19" s="3"/>
      <c r="V19" s="3"/>
      <c r="W19" s="3"/>
      <c r="X19" s="3"/>
      <c r="Y19" s="3" t="s">
        <v>249</v>
      </c>
      <c r="Z19" s="3" t="s">
        <v>250</v>
      </c>
      <c r="AA19" s="3" t="s">
        <v>245</v>
      </c>
      <c r="AB19" s="3" t="s">
        <v>375</v>
      </c>
      <c r="AC19" s="3" t="s">
        <v>265</v>
      </c>
    </row>
    <row r="20" customFormat="false" ht="23.85" hidden="false" customHeight="false" outlineLevel="0" collapsed="false">
      <c r="A20" s="18" t="s">
        <v>376</v>
      </c>
      <c r="B20" s="3" t="s">
        <v>377</v>
      </c>
      <c r="C20" s="3" t="s">
        <v>378</v>
      </c>
      <c r="D20" s="3" t="s">
        <v>379</v>
      </c>
      <c r="E20" s="3" t="s">
        <v>65</v>
      </c>
      <c r="F20" s="3" t="s">
        <v>66</v>
      </c>
      <c r="G20" s="3" t="s">
        <v>142</v>
      </c>
      <c r="H20" s="3" t="s">
        <v>143</v>
      </c>
      <c r="I20" s="3" t="n">
        <v>2</v>
      </c>
      <c r="J20" s="3" t="n">
        <v>17</v>
      </c>
      <c r="K20" s="3" t="s">
        <v>57</v>
      </c>
      <c r="L20" s="3" t="s">
        <v>240</v>
      </c>
      <c r="M20" s="3" t="s">
        <v>241</v>
      </c>
      <c r="N20" s="3" t="s">
        <v>258</v>
      </c>
      <c r="O20" s="3" t="s">
        <v>259</v>
      </c>
      <c r="P20" s="3" t="s">
        <v>278</v>
      </c>
      <c r="Q20" s="3" t="s">
        <v>380</v>
      </c>
      <c r="R20" s="3" t="s">
        <v>245</v>
      </c>
      <c r="S20" s="3" t="s">
        <v>381</v>
      </c>
      <c r="T20" s="3"/>
      <c r="U20" s="3" t="s">
        <v>247</v>
      </c>
      <c r="V20" s="3" t="s">
        <v>247</v>
      </c>
      <c r="W20" s="3"/>
      <c r="X20" s="3" t="s">
        <v>365</v>
      </c>
      <c r="Y20" s="3" t="s">
        <v>382</v>
      </c>
      <c r="Z20" s="3" t="s">
        <v>250</v>
      </c>
      <c r="AA20" s="3" t="s">
        <v>383</v>
      </c>
      <c r="AB20" s="3" t="s">
        <v>384</v>
      </c>
      <c r="AC20" s="3" t="s">
        <v>265</v>
      </c>
    </row>
    <row r="21" customFormat="false" ht="23.85" hidden="false" customHeight="false" outlineLevel="0" collapsed="false">
      <c r="A21" s="18" t="s">
        <v>385</v>
      </c>
      <c r="B21" s="3" t="s">
        <v>386</v>
      </c>
      <c r="C21" s="3" t="s">
        <v>387</v>
      </c>
      <c r="D21" s="3" t="s">
        <v>388</v>
      </c>
      <c r="E21" s="3" t="s">
        <v>65</v>
      </c>
      <c r="F21" s="3" t="s">
        <v>66</v>
      </c>
      <c r="G21" s="3" t="s">
        <v>142</v>
      </c>
      <c r="H21" s="3" t="s">
        <v>143</v>
      </c>
      <c r="I21" s="3" t="n">
        <v>2</v>
      </c>
      <c r="J21" s="3" t="n">
        <v>18</v>
      </c>
      <c r="K21" s="3" t="s">
        <v>57</v>
      </c>
      <c r="L21" s="3" t="s">
        <v>336</v>
      </c>
      <c r="M21" s="3" t="s">
        <v>337</v>
      </c>
      <c r="N21" s="3" t="s">
        <v>318</v>
      </c>
      <c r="O21" s="3" t="s">
        <v>319</v>
      </c>
      <c r="P21" s="3" t="s">
        <v>278</v>
      </c>
      <c r="Q21" s="3" t="s">
        <v>244</v>
      </c>
      <c r="R21" s="3" t="s">
        <v>389</v>
      </c>
      <c r="S21" s="3" t="s">
        <v>390</v>
      </c>
      <c r="T21" s="3"/>
      <c r="U21" s="3" t="s">
        <v>247</v>
      </c>
      <c r="V21" s="3" t="s">
        <v>247</v>
      </c>
      <c r="W21" s="3"/>
      <c r="X21" s="3" t="s">
        <v>365</v>
      </c>
      <c r="Y21" s="3" t="s">
        <v>382</v>
      </c>
      <c r="Z21" s="3" t="s">
        <v>250</v>
      </c>
      <c r="AA21" s="3" t="s">
        <v>383</v>
      </c>
      <c r="AB21" s="3" t="s">
        <v>391</v>
      </c>
      <c r="AC21" s="3" t="s">
        <v>265</v>
      </c>
    </row>
    <row r="22" customFormat="false" ht="23.85" hidden="false" customHeight="false" outlineLevel="0" collapsed="false">
      <c r="A22" s="18" t="s">
        <v>392</v>
      </c>
      <c r="B22" s="3" t="s">
        <v>393</v>
      </c>
      <c r="C22" s="3" t="s">
        <v>394</v>
      </c>
      <c r="D22" s="3" t="s">
        <v>395</v>
      </c>
      <c r="E22" s="3" t="s">
        <v>65</v>
      </c>
      <c r="F22" s="3" t="s">
        <v>66</v>
      </c>
      <c r="G22" s="3" t="s">
        <v>139</v>
      </c>
      <c r="H22" s="3" t="s">
        <v>140</v>
      </c>
      <c r="I22" s="3" t="n">
        <v>2</v>
      </c>
      <c r="J22" s="3" t="n">
        <v>19</v>
      </c>
      <c r="K22" s="3" t="s">
        <v>57</v>
      </c>
      <c r="L22" s="3" t="s">
        <v>336</v>
      </c>
      <c r="M22" s="3" t="s">
        <v>337</v>
      </c>
      <c r="N22" s="3" t="s">
        <v>318</v>
      </c>
      <c r="O22" s="3" t="s">
        <v>319</v>
      </c>
      <c r="P22" s="3" t="s">
        <v>243</v>
      </c>
      <c r="Q22" s="3" t="s">
        <v>244</v>
      </c>
      <c r="R22" s="3" t="s">
        <v>245</v>
      </c>
      <c r="S22" s="3" t="s">
        <v>396</v>
      </c>
      <c r="T22" s="3"/>
      <c r="U22" s="3" t="s">
        <v>247</v>
      </c>
      <c r="V22" s="3" t="s">
        <v>247</v>
      </c>
      <c r="W22" s="3"/>
      <c r="X22" s="3" t="s">
        <v>397</v>
      </c>
      <c r="Y22" s="3" t="s">
        <v>249</v>
      </c>
      <c r="Z22" s="3" t="s">
        <v>250</v>
      </c>
      <c r="AA22" s="3" t="s">
        <v>398</v>
      </c>
      <c r="AB22" s="3" t="s">
        <v>399</v>
      </c>
      <c r="AC22" s="3" t="s">
        <v>253</v>
      </c>
    </row>
    <row r="23" customFormat="false" ht="23.85" hidden="false" customHeight="false" outlineLevel="0" collapsed="false">
      <c r="A23" s="18" t="s">
        <v>400</v>
      </c>
      <c r="B23" s="3" t="s">
        <v>401</v>
      </c>
      <c r="C23" s="3" t="s">
        <v>402</v>
      </c>
      <c r="D23" s="3" t="s">
        <v>403</v>
      </c>
      <c r="E23" s="3" t="s">
        <v>65</v>
      </c>
      <c r="F23" s="3" t="s">
        <v>66</v>
      </c>
      <c r="G23" s="3" t="s">
        <v>130</v>
      </c>
      <c r="H23" s="3" t="s">
        <v>131</v>
      </c>
      <c r="I23" s="3" t="n">
        <v>2</v>
      </c>
      <c r="J23" s="3" t="n">
        <v>20</v>
      </c>
      <c r="K23" s="3" t="s">
        <v>57</v>
      </c>
      <c r="L23" s="3" t="s">
        <v>240</v>
      </c>
      <c r="M23" s="3" t="s">
        <v>241</v>
      </c>
      <c r="N23" s="3" t="s">
        <v>258</v>
      </c>
      <c r="O23" s="3" t="s">
        <v>259</v>
      </c>
      <c r="P23" s="3" t="s">
        <v>243</v>
      </c>
      <c r="Q23" s="3" t="s">
        <v>244</v>
      </c>
      <c r="R23" s="3" t="s">
        <v>245</v>
      </c>
      <c r="S23" s="3" t="s">
        <v>312</v>
      </c>
      <c r="T23" s="3"/>
      <c r="U23" s="3" t="s">
        <v>247</v>
      </c>
      <c r="V23" s="3" t="s">
        <v>247</v>
      </c>
      <c r="W23" s="3"/>
      <c r="X23" s="3"/>
      <c r="Y23" s="3" t="s">
        <v>249</v>
      </c>
      <c r="Z23" s="3" t="s">
        <v>250</v>
      </c>
      <c r="AA23" s="3" t="s">
        <v>404</v>
      </c>
      <c r="AB23" s="3" t="s">
        <v>405</v>
      </c>
      <c r="AC23" s="3" t="s">
        <v>253</v>
      </c>
    </row>
    <row r="24" customFormat="false" ht="23.85" hidden="false" customHeight="false" outlineLevel="0" collapsed="false">
      <c r="A24" s="18" t="s">
        <v>406</v>
      </c>
      <c r="B24" s="3" t="s">
        <v>407</v>
      </c>
      <c r="C24" s="3" t="s">
        <v>408</v>
      </c>
      <c r="D24" s="3" t="s">
        <v>409</v>
      </c>
      <c r="E24" s="3" t="s">
        <v>65</v>
      </c>
      <c r="F24" s="3" t="s">
        <v>66</v>
      </c>
      <c r="G24" s="3" t="s">
        <v>139</v>
      </c>
      <c r="H24" s="3" t="s">
        <v>140</v>
      </c>
      <c r="I24" s="3" t="n">
        <v>2</v>
      </c>
      <c r="J24" s="3" t="n">
        <v>21</v>
      </c>
      <c r="K24" s="3" t="s">
        <v>57</v>
      </c>
      <c r="L24" s="3" t="s">
        <v>240</v>
      </c>
      <c r="M24" s="3" t="s">
        <v>241</v>
      </c>
      <c r="N24" s="3" t="s">
        <v>258</v>
      </c>
      <c r="O24" s="3" t="s">
        <v>259</v>
      </c>
      <c r="P24" s="3" t="s">
        <v>243</v>
      </c>
      <c r="Q24" s="3" t="s">
        <v>244</v>
      </c>
      <c r="R24" s="3" t="s">
        <v>245</v>
      </c>
      <c r="S24" s="3" t="s">
        <v>312</v>
      </c>
      <c r="T24" s="3"/>
      <c r="U24" s="3" t="s">
        <v>247</v>
      </c>
      <c r="V24" s="3"/>
      <c r="W24" s="3"/>
      <c r="X24" s="3"/>
      <c r="Y24" s="3" t="s">
        <v>249</v>
      </c>
      <c r="Z24" s="3" t="s">
        <v>250</v>
      </c>
      <c r="AA24" s="3" t="s">
        <v>245</v>
      </c>
      <c r="AB24" s="3" t="s">
        <v>410</v>
      </c>
      <c r="AC24" s="3" t="s">
        <v>253</v>
      </c>
    </row>
    <row r="25" customFormat="false" ht="23.85" hidden="false" customHeight="false" outlineLevel="0" collapsed="false">
      <c r="A25" s="18" t="s">
        <v>411</v>
      </c>
      <c r="B25" s="3" t="s">
        <v>412</v>
      </c>
      <c r="C25" s="3" t="s">
        <v>413</v>
      </c>
      <c r="D25" s="3" t="s">
        <v>414</v>
      </c>
      <c r="E25" s="3" t="s">
        <v>65</v>
      </c>
      <c r="F25" s="3" t="s">
        <v>66</v>
      </c>
      <c r="G25" s="3" t="s">
        <v>139</v>
      </c>
      <c r="H25" s="3" t="s">
        <v>140</v>
      </c>
      <c r="I25" s="3" t="n">
        <v>2</v>
      </c>
      <c r="J25" s="3" t="n">
        <v>22</v>
      </c>
      <c r="K25" s="3" t="s">
        <v>57</v>
      </c>
      <c r="L25" s="3" t="s">
        <v>336</v>
      </c>
      <c r="M25" s="3" t="s">
        <v>337</v>
      </c>
      <c r="N25" s="3" t="s">
        <v>318</v>
      </c>
      <c r="O25" s="3" t="s">
        <v>319</v>
      </c>
      <c r="P25" s="3" t="s">
        <v>243</v>
      </c>
      <c r="Q25" s="3" t="s">
        <v>244</v>
      </c>
      <c r="R25" s="3" t="s">
        <v>415</v>
      </c>
      <c r="S25" s="3" t="s">
        <v>312</v>
      </c>
      <c r="T25" s="3"/>
      <c r="U25" s="3" t="s">
        <v>247</v>
      </c>
      <c r="V25" s="3"/>
      <c r="W25" s="3"/>
      <c r="X25" s="3" t="s">
        <v>365</v>
      </c>
      <c r="Y25" s="3" t="s">
        <v>249</v>
      </c>
      <c r="Z25" s="3" t="s">
        <v>250</v>
      </c>
      <c r="AA25" s="3" t="s">
        <v>245</v>
      </c>
      <c r="AB25" s="3" t="s">
        <v>416</v>
      </c>
      <c r="AC25" s="3" t="s">
        <v>253</v>
      </c>
    </row>
    <row r="26" customFormat="false" ht="23.85" hidden="false" customHeight="false" outlineLevel="0" collapsed="false">
      <c r="A26" s="18" t="s">
        <v>417</v>
      </c>
      <c r="B26" s="3" t="s">
        <v>418</v>
      </c>
      <c r="C26" s="3" t="s">
        <v>419</v>
      </c>
      <c r="D26" s="3" t="s">
        <v>420</v>
      </c>
      <c r="E26" s="3" t="s">
        <v>65</v>
      </c>
      <c r="F26" s="3" t="s">
        <v>66</v>
      </c>
      <c r="G26" s="3" t="s">
        <v>142</v>
      </c>
      <c r="H26" s="3" t="s">
        <v>143</v>
      </c>
      <c r="I26" s="3" t="n">
        <v>2</v>
      </c>
      <c r="J26" s="3" t="n">
        <v>23</v>
      </c>
      <c r="K26" s="3" t="s">
        <v>57</v>
      </c>
      <c r="L26" s="3" t="s">
        <v>240</v>
      </c>
      <c r="M26" s="3" t="s">
        <v>241</v>
      </c>
      <c r="N26" s="3" t="s">
        <v>318</v>
      </c>
      <c r="O26" s="3" t="s">
        <v>319</v>
      </c>
      <c r="P26" s="3" t="s">
        <v>243</v>
      </c>
      <c r="Q26" s="3" t="s">
        <v>244</v>
      </c>
      <c r="R26" s="3" t="s">
        <v>245</v>
      </c>
      <c r="S26" s="3" t="s">
        <v>312</v>
      </c>
      <c r="T26" s="3" t="s">
        <v>247</v>
      </c>
      <c r="U26" s="3" t="s">
        <v>247</v>
      </c>
      <c r="V26" s="3"/>
      <c r="W26" s="3"/>
      <c r="X26" s="3" t="s">
        <v>365</v>
      </c>
      <c r="Y26" s="3" t="s">
        <v>249</v>
      </c>
      <c r="Z26" s="3" t="s">
        <v>250</v>
      </c>
      <c r="AA26" s="3" t="s">
        <v>245</v>
      </c>
      <c r="AB26" s="3" t="s">
        <v>421</v>
      </c>
      <c r="AC26" s="3" t="s">
        <v>253</v>
      </c>
    </row>
    <row r="27" customFormat="false" ht="35.05" hidden="false" customHeight="false" outlineLevel="0" collapsed="false">
      <c r="A27" s="19" t="s">
        <v>422</v>
      </c>
      <c r="B27" s="3" t="s">
        <v>423</v>
      </c>
      <c r="C27" s="3" t="s">
        <v>424</v>
      </c>
      <c r="D27" s="3" t="s">
        <v>425</v>
      </c>
      <c r="E27" s="3" t="s">
        <v>71</v>
      </c>
      <c r="F27" s="3" t="s">
        <v>72</v>
      </c>
      <c r="G27" s="3" t="s">
        <v>145</v>
      </c>
      <c r="H27" s="3" t="s">
        <v>146</v>
      </c>
      <c r="I27" s="3" t="n">
        <v>3</v>
      </c>
      <c r="J27" s="3" t="n">
        <v>24</v>
      </c>
      <c r="K27" s="3" t="s">
        <v>55</v>
      </c>
      <c r="L27" s="3" t="s">
        <v>336</v>
      </c>
      <c r="M27" s="3" t="s">
        <v>337</v>
      </c>
      <c r="N27" s="3" t="s">
        <v>426</v>
      </c>
      <c r="O27" s="3" t="s">
        <v>427</v>
      </c>
      <c r="P27" s="3" t="s">
        <v>243</v>
      </c>
      <c r="Q27" s="3" t="s">
        <v>244</v>
      </c>
      <c r="R27" s="3" t="s">
        <v>428</v>
      </c>
      <c r="S27" s="3" t="s">
        <v>429</v>
      </c>
      <c r="T27" s="3" t="s">
        <v>262</v>
      </c>
      <c r="U27" s="3" t="s">
        <v>262</v>
      </c>
      <c r="V27" s="3" t="s">
        <v>262</v>
      </c>
      <c r="W27" s="3" t="s">
        <v>262</v>
      </c>
      <c r="X27" s="3" t="s">
        <v>430</v>
      </c>
      <c r="Y27" s="3" t="s">
        <v>249</v>
      </c>
      <c r="Z27" s="3" t="s">
        <v>250</v>
      </c>
      <c r="AA27" s="3" t="s">
        <v>245</v>
      </c>
      <c r="AB27" s="3" t="s">
        <v>431</v>
      </c>
      <c r="AC27" s="3" t="s">
        <v>265</v>
      </c>
    </row>
    <row r="28" customFormat="false" ht="35.05" hidden="false" customHeight="false" outlineLevel="0" collapsed="false">
      <c r="A28" s="19" t="s">
        <v>432</v>
      </c>
      <c r="B28" s="3" t="s">
        <v>433</v>
      </c>
      <c r="C28" s="3" t="s">
        <v>434</v>
      </c>
      <c r="D28" s="3" t="s">
        <v>435</v>
      </c>
      <c r="E28" s="3" t="s">
        <v>71</v>
      </c>
      <c r="F28" s="3" t="s">
        <v>72</v>
      </c>
      <c r="G28" s="3" t="s">
        <v>148</v>
      </c>
      <c r="H28" s="3" t="s">
        <v>149</v>
      </c>
      <c r="I28" s="3" t="n">
        <v>3</v>
      </c>
      <c r="J28" s="3" t="n">
        <v>25</v>
      </c>
      <c r="K28" s="3" t="s">
        <v>56</v>
      </c>
      <c r="L28" s="3" t="s">
        <v>336</v>
      </c>
      <c r="M28" s="3" t="s">
        <v>337</v>
      </c>
      <c r="N28" s="3" t="s">
        <v>426</v>
      </c>
      <c r="O28" s="3" t="s">
        <v>427</v>
      </c>
      <c r="P28" s="3" t="s">
        <v>243</v>
      </c>
      <c r="Q28" s="3" t="s">
        <v>436</v>
      </c>
      <c r="R28" s="3" t="s">
        <v>437</v>
      </c>
      <c r="S28" s="3" t="s">
        <v>438</v>
      </c>
      <c r="T28" s="3" t="s">
        <v>247</v>
      </c>
      <c r="U28" s="3" t="s">
        <v>247</v>
      </c>
      <c r="V28" s="3" t="s">
        <v>247</v>
      </c>
      <c r="W28" s="3" t="s">
        <v>262</v>
      </c>
      <c r="X28" s="3"/>
      <c r="Y28" s="3" t="s">
        <v>249</v>
      </c>
      <c r="Z28" s="3" t="s">
        <v>250</v>
      </c>
      <c r="AA28" s="3" t="s">
        <v>245</v>
      </c>
      <c r="AB28" s="3" t="s">
        <v>439</v>
      </c>
      <c r="AC28" s="3" t="s">
        <v>265</v>
      </c>
    </row>
    <row r="29" customFormat="false" ht="23.85" hidden="false" customHeight="false" outlineLevel="0" collapsed="false">
      <c r="A29" s="19" t="s">
        <v>440</v>
      </c>
      <c r="B29" s="3" t="s">
        <v>441</v>
      </c>
      <c r="C29" s="3" t="s">
        <v>442</v>
      </c>
      <c r="D29" s="3" t="s">
        <v>443</v>
      </c>
      <c r="E29" s="3" t="s">
        <v>71</v>
      </c>
      <c r="F29" s="3" t="s">
        <v>72</v>
      </c>
      <c r="G29" s="3" t="s">
        <v>157</v>
      </c>
      <c r="H29" s="3" t="s">
        <v>158</v>
      </c>
      <c r="I29" s="3" t="n">
        <v>3</v>
      </c>
      <c r="J29" s="3" t="n">
        <v>26</v>
      </c>
      <c r="K29" s="3" t="s">
        <v>56</v>
      </c>
      <c r="L29" s="3" t="s">
        <v>240</v>
      </c>
      <c r="M29" s="3" t="s">
        <v>241</v>
      </c>
      <c r="N29" s="3" t="s">
        <v>258</v>
      </c>
      <c r="O29" s="3" t="s">
        <v>259</v>
      </c>
      <c r="P29" s="3" t="s">
        <v>243</v>
      </c>
      <c r="Q29" s="3" t="s">
        <v>244</v>
      </c>
      <c r="R29" s="3" t="s">
        <v>245</v>
      </c>
      <c r="S29" s="3" t="s">
        <v>444</v>
      </c>
      <c r="T29" s="3"/>
      <c r="U29" s="3"/>
      <c r="V29" s="3" t="s">
        <v>262</v>
      </c>
      <c r="W29" s="3"/>
      <c r="X29" s="3" t="s">
        <v>445</v>
      </c>
      <c r="Y29" s="3" t="s">
        <v>446</v>
      </c>
      <c r="Z29" s="3" t="s">
        <v>250</v>
      </c>
      <c r="AA29" s="3" t="s">
        <v>245</v>
      </c>
      <c r="AB29" s="3" t="s">
        <v>447</v>
      </c>
      <c r="AC29" s="3" t="s">
        <v>265</v>
      </c>
    </row>
    <row r="30" customFormat="false" ht="23.85" hidden="false" customHeight="false" outlineLevel="0" collapsed="false">
      <c r="A30" s="19" t="s">
        <v>448</v>
      </c>
      <c r="B30" s="3" t="s">
        <v>449</v>
      </c>
      <c r="C30" s="3" t="s">
        <v>450</v>
      </c>
      <c r="D30" s="3" t="s">
        <v>451</v>
      </c>
      <c r="E30" s="3" t="s">
        <v>71</v>
      </c>
      <c r="F30" s="3" t="s">
        <v>72</v>
      </c>
      <c r="G30" s="3" t="s">
        <v>157</v>
      </c>
      <c r="H30" s="3" t="s">
        <v>158</v>
      </c>
      <c r="I30" s="3" t="n">
        <v>3</v>
      </c>
      <c r="J30" s="3" t="n">
        <v>27</v>
      </c>
      <c r="K30" s="3" t="s">
        <v>56</v>
      </c>
      <c r="L30" s="3" t="s">
        <v>336</v>
      </c>
      <c r="M30" s="3" t="s">
        <v>337</v>
      </c>
      <c r="N30" s="3" t="s">
        <v>426</v>
      </c>
      <c r="O30" s="3" t="s">
        <v>427</v>
      </c>
      <c r="P30" s="3" t="s">
        <v>278</v>
      </c>
      <c r="Q30" s="3" t="s">
        <v>244</v>
      </c>
      <c r="R30" s="3" t="s">
        <v>245</v>
      </c>
      <c r="S30" s="3" t="s">
        <v>452</v>
      </c>
      <c r="T30" s="3"/>
      <c r="U30" s="3"/>
      <c r="V30" s="3" t="s">
        <v>262</v>
      </c>
      <c r="W30" s="3"/>
      <c r="X30" s="3" t="s">
        <v>445</v>
      </c>
      <c r="Y30" s="3" t="s">
        <v>446</v>
      </c>
      <c r="Z30" s="3" t="s">
        <v>250</v>
      </c>
      <c r="AA30" s="3" t="s">
        <v>453</v>
      </c>
      <c r="AB30" s="3" t="s">
        <v>454</v>
      </c>
      <c r="AC30" s="3" t="s">
        <v>273</v>
      </c>
    </row>
    <row r="31" customFormat="false" ht="35.05" hidden="false" customHeight="false" outlineLevel="0" collapsed="false">
      <c r="A31" s="19" t="s">
        <v>455</v>
      </c>
      <c r="B31" s="3" t="s">
        <v>456</v>
      </c>
      <c r="C31" s="3" t="s">
        <v>457</v>
      </c>
      <c r="D31" s="3" t="s">
        <v>458</v>
      </c>
      <c r="E31" s="3" t="s">
        <v>71</v>
      </c>
      <c r="F31" s="3" t="s">
        <v>72</v>
      </c>
      <c r="G31" s="3" t="s">
        <v>157</v>
      </c>
      <c r="H31" s="3" t="s">
        <v>158</v>
      </c>
      <c r="I31" s="3" t="n">
        <v>3</v>
      </c>
      <c r="J31" s="3" t="n">
        <v>28</v>
      </c>
      <c r="K31" s="3" t="s">
        <v>56</v>
      </c>
      <c r="L31" s="3" t="s">
        <v>336</v>
      </c>
      <c r="M31" s="3" t="s">
        <v>337</v>
      </c>
      <c r="N31" s="3" t="s">
        <v>318</v>
      </c>
      <c r="O31" s="3" t="s">
        <v>319</v>
      </c>
      <c r="P31" s="3" t="s">
        <v>243</v>
      </c>
      <c r="Q31" s="3" t="s">
        <v>244</v>
      </c>
      <c r="R31" s="3" t="s">
        <v>459</v>
      </c>
      <c r="S31" s="3" t="s">
        <v>460</v>
      </c>
      <c r="T31" s="3"/>
      <c r="U31" s="3"/>
      <c r="V31" s="3" t="s">
        <v>262</v>
      </c>
      <c r="W31" s="3"/>
      <c r="X31" s="3" t="s">
        <v>356</v>
      </c>
      <c r="Y31" s="3" t="s">
        <v>446</v>
      </c>
      <c r="Z31" s="3" t="s">
        <v>250</v>
      </c>
      <c r="AA31" s="3" t="s">
        <v>245</v>
      </c>
      <c r="AB31" s="3" t="s">
        <v>245</v>
      </c>
      <c r="AC31" s="3" t="s">
        <v>313</v>
      </c>
    </row>
    <row r="32" customFormat="false" ht="23.85" hidden="false" customHeight="false" outlineLevel="0" collapsed="false">
      <c r="A32" s="19" t="s">
        <v>461</v>
      </c>
      <c r="B32" s="3" t="s">
        <v>462</v>
      </c>
      <c r="C32" s="3" t="s">
        <v>463</v>
      </c>
      <c r="D32" s="3" t="s">
        <v>464</v>
      </c>
      <c r="E32" s="3" t="s">
        <v>71</v>
      </c>
      <c r="F32" s="3" t="s">
        <v>72</v>
      </c>
      <c r="G32" s="3" t="s">
        <v>148</v>
      </c>
      <c r="H32" s="3" t="s">
        <v>149</v>
      </c>
      <c r="I32" s="3" t="n">
        <v>3</v>
      </c>
      <c r="J32" s="3" t="n">
        <v>29</v>
      </c>
      <c r="K32" s="3" t="s">
        <v>56</v>
      </c>
      <c r="L32" s="3" t="s">
        <v>240</v>
      </c>
      <c r="M32" s="3" t="s">
        <v>241</v>
      </c>
      <c r="N32" s="3" t="s">
        <v>258</v>
      </c>
      <c r="O32" s="3" t="s">
        <v>259</v>
      </c>
      <c r="P32" s="3" t="s">
        <v>243</v>
      </c>
      <c r="Q32" s="3" t="s">
        <v>244</v>
      </c>
      <c r="R32" s="3" t="s">
        <v>245</v>
      </c>
      <c r="S32" s="3" t="s">
        <v>465</v>
      </c>
      <c r="T32" s="3"/>
      <c r="U32" s="3"/>
      <c r="V32" s="3"/>
      <c r="W32" s="3" t="s">
        <v>262</v>
      </c>
      <c r="X32" s="3"/>
      <c r="Y32" s="3" t="s">
        <v>249</v>
      </c>
      <c r="Z32" s="3" t="s">
        <v>250</v>
      </c>
      <c r="AA32" s="3" t="s">
        <v>245</v>
      </c>
      <c r="AB32" s="3" t="s">
        <v>245</v>
      </c>
      <c r="AC32" s="3" t="s">
        <v>313</v>
      </c>
    </row>
    <row r="33" customFormat="false" ht="23.85" hidden="false" customHeight="false" outlineLevel="0" collapsed="false">
      <c r="A33" s="19" t="s">
        <v>466</v>
      </c>
      <c r="B33" s="3" t="s">
        <v>467</v>
      </c>
      <c r="C33" s="3" t="s">
        <v>468</v>
      </c>
      <c r="D33" s="3" t="s">
        <v>469</v>
      </c>
      <c r="E33" s="3" t="s">
        <v>71</v>
      </c>
      <c r="F33" s="3" t="s">
        <v>72</v>
      </c>
      <c r="G33" s="3" t="s">
        <v>148</v>
      </c>
      <c r="H33" s="3" t="s">
        <v>149</v>
      </c>
      <c r="I33" s="3" t="n">
        <v>3</v>
      </c>
      <c r="J33" s="3" t="n">
        <v>30</v>
      </c>
      <c r="K33" s="3" t="s">
        <v>56</v>
      </c>
      <c r="L33" s="3" t="s">
        <v>336</v>
      </c>
      <c r="M33" s="3" t="s">
        <v>337</v>
      </c>
      <c r="N33" s="3" t="s">
        <v>470</v>
      </c>
      <c r="O33" s="3" t="s">
        <v>470</v>
      </c>
      <c r="P33" s="3" t="s">
        <v>243</v>
      </c>
      <c r="Q33" s="3" t="s">
        <v>471</v>
      </c>
      <c r="R33" s="3" t="s">
        <v>472</v>
      </c>
      <c r="S33" s="3"/>
      <c r="T33" s="3"/>
      <c r="U33" s="3"/>
      <c r="V33" s="3"/>
      <c r="W33" s="3" t="s">
        <v>262</v>
      </c>
      <c r="X33" s="3" t="s">
        <v>473</v>
      </c>
      <c r="Y33" s="3" t="s">
        <v>474</v>
      </c>
      <c r="Z33" s="3" t="s">
        <v>250</v>
      </c>
      <c r="AA33" s="3" t="s">
        <v>245</v>
      </c>
      <c r="AB33" s="3" t="s">
        <v>245</v>
      </c>
      <c r="AC33" s="3" t="s">
        <v>313</v>
      </c>
    </row>
    <row r="34" customFormat="false" ht="23.85" hidden="false" customHeight="false" outlineLevel="0" collapsed="false">
      <c r="A34" s="19" t="s">
        <v>475</v>
      </c>
      <c r="B34" s="3" t="s">
        <v>476</v>
      </c>
      <c r="C34" s="3" t="s">
        <v>477</v>
      </c>
      <c r="D34" s="3" t="s">
        <v>478</v>
      </c>
      <c r="E34" s="3" t="s">
        <v>71</v>
      </c>
      <c r="F34" s="3" t="s">
        <v>72</v>
      </c>
      <c r="G34" s="3" t="s">
        <v>151</v>
      </c>
      <c r="H34" s="3" t="s">
        <v>152</v>
      </c>
      <c r="I34" s="3" t="n">
        <v>3</v>
      </c>
      <c r="J34" s="3" t="n">
        <v>31</v>
      </c>
      <c r="K34" s="3" t="s">
        <v>56</v>
      </c>
      <c r="L34" s="3" t="s">
        <v>336</v>
      </c>
      <c r="M34" s="3" t="s">
        <v>337</v>
      </c>
      <c r="N34" s="3" t="s">
        <v>479</v>
      </c>
      <c r="O34" s="3" t="s">
        <v>480</v>
      </c>
      <c r="P34" s="3" t="s">
        <v>278</v>
      </c>
      <c r="Q34" s="3" t="s">
        <v>481</v>
      </c>
      <c r="R34" s="3" t="s">
        <v>245</v>
      </c>
      <c r="S34" s="3" t="s">
        <v>482</v>
      </c>
      <c r="T34" s="3"/>
      <c r="U34" s="3"/>
      <c r="V34" s="3"/>
      <c r="W34" s="3" t="s">
        <v>247</v>
      </c>
      <c r="X34" s="3" t="s">
        <v>365</v>
      </c>
      <c r="Y34" s="3" t="s">
        <v>249</v>
      </c>
      <c r="Z34" s="3" t="s">
        <v>250</v>
      </c>
      <c r="AA34" s="3" t="s">
        <v>245</v>
      </c>
      <c r="AB34" s="3" t="s">
        <v>245</v>
      </c>
      <c r="AC34" s="3" t="s">
        <v>313</v>
      </c>
    </row>
    <row r="35" customFormat="false" ht="23.85" hidden="false" customHeight="false" outlineLevel="0" collapsed="false">
      <c r="A35" s="19" t="s">
        <v>483</v>
      </c>
      <c r="B35" s="3" t="s">
        <v>484</v>
      </c>
      <c r="C35" s="3" t="s">
        <v>485</v>
      </c>
      <c r="D35" s="3" t="s">
        <v>486</v>
      </c>
      <c r="E35" s="3" t="s">
        <v>71</v>
      </c>
      <c r="F35" s="3" t="s">
        <v>72</v>
      </c>
      <c r="G35" s="3" t="s">
        <v>154</v>
      </c>
      <c r="H35" s="3" t="s">
        <v>155</v>
      </c>
      <c r="I35" s="3" t="n">
        <v>3</v>
      </c>
      <c r="J35" s="3" t="n">
        <v>32</v>
      </c>
      <c r="K35" s="3" t="s">
        <v>57</v>
      </c>
      <c r="L35" s="3" t="s">
        <v>336</v>
      </c>
      <c r="M35" s="3" t="s">
        <v>337</v>
      </c>
      <c r="N35" s="3" t="s">
        <v>426</v>
      </c>
      <c r="O35" s="3" t="s">
        <v>427</v>
      </c>
      <c r="P35" s="3" t="s">
        <v>243</v>
      </c>
      <c r="Q35" s="3" t="s">
        <v>244</v>
      </c>
      <c r="R35" s="3" t="s">
        <v>245</v>
      </c>
      <c r="S35" s="3" t="s">
        <v>487</v>
      </c>
      <c r="T35" s="3" t="s">
        <v>247</v>
      </c>
      <c r="U35" s="3"/>
      <c r="V35" s="3"/>
      <c r="W35" s="3"/>
      <c r="X35" s="3"/>
      <c r="Y35" s="3" t="s">
        <v>249</v>
      </c>
      <c r="Z35" s="3" t="s">
        <v>250</v>
      </c>
      <c r="AA35" s="3" t="s">
        <v>245</v>
      </c>
      <c r="AB35" s="3" t="s">
        <v>488</v>
      </c>
      <c r="AC35" s="3" t="s">
        <v>273</v>
      </c>
    </row>
    <row r="36" customFormat="false" ht="23.85" hidden="false" customHeight="false" outlineLevel="0" collapsed="false">
      <c r="A36" s="19" t="s">
        <v>489</v>
      </c>
      <c r="B36" s="3" t="s">
        <v>490</v>
      </c>
      <c r="C36" s="3" t="s">
        <v>491</v>
      </c>
      <c r="D36" s="3" t="s">
        <v>492</v>
      </c>
      <c r="E36" s="3" t="s">
        <v>71</v>
      </c>
      <c r="F36" s="3" t="s">
        <v>72</v>
      </c>
      <c r="G36" s="3" t="s">
        <v>151</v>
      </c>
      <c r="H36" s="3" t="s">
        <v>152</v>
      </c>
      <c r="I36" s="3" t="n">
        <v>3</v>
      </c>
      <c r="J36" s="3" t="n">
        <v>33</v>
      </c>
      <c r="K36" s="3" t="s">
        <v>57</v>
      </c>
      <c r="L36" s="3" t="s">
        <v>240</v>
      </c>
      <c r="M36" s="3" t="s">
        <v>241</v>
      </c>
      <c r="N36" s="3" t="s">
        <v>242</v>
      </c>
      <c r="O36" s="3" t="s">
        <v>242</v>
      </c>
      <c r="P36" s="3" t="s">
        <v>243</v>
      </c>
      <c r="Q36" s="3" t="s">
        <v>493</v>
      </c>
      <c r="R36" s="3" t="s">
        <v>494</v>
      </c>
      <c r="S36" s="3" t="s">
        <v>495</v>
      </c>
      <c r="T36" s="3"/>
      <c r="U36" s="3"/>
      <c r="V36" s="3"/>
      <c r="W36" s="3" t="s">
        <v>247</v>
      </c>
      <c r="X36" s="3" t="s">
        <v>496</v>
      </c>
      <c r="Y36" s="3" t="s">
        <v>249</v>
      </c>
      <c r="Z36" s="3" t="s">
        <v>250</v>
      </c>
      <c r="AA36" s="3" t="s">
        <v>245</v>
      </c>
      <c r="AB36" s="3" t="s">
        <v>245</v>
      </c>
      <c r="AC36" s="3" t="s">
        <v>313</v>
      </c>
    </row>
    <row r="37" customFormat="false" ht="23.85" hidden="false" customHeight="false" outlineLevel="0" collapsed="false">
      <c r="A37" s="20" t="s">
        <v>497</v>
      </c>
      <c r="B37" s="3" t="s">
        <v>498</v>
      </c>
      <c r="C37" s="3" t="s">
        <v>499</v>
      </c>
      <c r="D37" s="3" t="s">
        <v>500</v>
      </c>
      <c r="E37" s="3" t="s">
        <v>77</v>
      </c>
      <c r="F37" s="3" t="s">
        <v>78</v>
      </c>
      <c r="G37" s="3" t="s">
        <v>160</v>
      </c>
      <c r="H37" s="3" t="s">
        <v>161</v>
      </c>
      <c r="I37" s="3" t="n">
        <v>4</v>
      </c>
      <c r="J37" s="3" t="n">
        <v>34</v>
      </c>
      <c r="K37" s="3" t="s">
        <v>56</v>
      </c>
      <c r="L37" s="3" t="s">
        <v>240</v>
      </c>
      <c r="M37" s="3" t="s">
        <v>241</v>
      </c>
      <c r="N37" s="3" t="s">
        <v>258</v>
      </c>
      <c r="O37" s="3" t="s">
        <v>259</v>
      </c>
      <c r="P37" s="3" t="s">
        <v>243</v>
      </c>
      <c r="Q37" s="3" t="s">
        <v>244</v>
      </c>
      <c r="R37" s="3" t="s">
        <v>245</v>
      </c>
      <c r="S37" s="3" t="s">
        <v>501</v>
      </c>
      <c r="T37" s="3" t="s">
        <v>247</v>
      </c>
      <c r="U37" s="3" t="s">
        <v>262</v>
      </c>
      <c r="V37" s="3" t="s">
        <v>247</v>
      </c>
      <c r="W37" s="3"/>
      <c r="X37" s="3"/>
      <c r="Y37" s="3" t="s">
        <v>249</v>
      </c>
      <c r="Z37" s="3" t="s">
        <v>250</v>
      </c>
      <c r="AA37" s="3" t="s">
        <v>502</v>
      </c>
      <c r="AB37" s="3" t="s">
        <v>503</v>
      </c>
      <c r="AC37" s="3" t="s">
        <v>253</v>
      </c>
    </row>
    <row r="38" customFormat="false" ht="23.85" hidden="false" customHeight="false" outlineLevel="0" collapsed="false">
      <c r="A38" s="20" t="s">
        <v>504</v>
      </c>
      <c r="B38" s="3" t="s">
        <v>505</v>
      </c>
      <c r="C38" s="3" t="s">
        <v>506</v>
      </c>
      <c r="D38" s="3" t="s">
        <v>507</v>
      </c>
      <c r="E38" s="3" t="s">
        <v>77</v>
      </c>
      <c r="F38" s="3" t="s">
        <v>78</v>
      </c>
      <c r="G38" s="3" t="s">
        <v>160</v>
      </c>
      <c r="H38" s="3" t="s">
        <v>161</v>
      </c>
      <c r="I38" s="3" t="n">
        <v>4</v>
      </c>
      <c r="J38" s="3" t="n">
        <v>35</v>
      </c>
      <c r="K38" s="3" t="s">
        <v>56</v>
      </c>
      <c r="L38" s="3" t="s">
        <v>336</v>
      </c>
      <c r="M38" s="3" t="s">
        <v>337</v>
      </c>
      <c r="N38" s="3" t="s">
        <v>318</v>
      </c>
      <c r="O38" s="3" t="s">
        <v>319</v>
      </c>
      <c r="P38" s="3" t="s">
        <v>243</v>
      </c>
      <c r="Q38" s="3" t="s">
        <v>508</v>
      </c>
      <c r="R38" s="3" t="s">
        <v>509</v>
      </c>
      <c r="S38" s="3" t="s">
        <v>501</v>
      </c>
      <c r="T38" s="3" t="s">
        <v>247</v>
      </c>
      <c r="U38" s="3" t="s">
        <v>262</v>
      </c>
      <c r="V38" s="3" t="s">
        <v>247</v>
      </c>
      <c r="W38" s="3"/>
      <c r="X38" s="3" t="s">
        <v>365</v>
      </c>
      <c r="Y38" s="3" t="s">
        <v>249</v>
      </c>
      <c r="Z38" s="3" t="s">
        <v>250</v>
      </c>
      <c r="AA38" s="3" t="s">
        <v>510</v>
      </c>
      <c r="AB38" s="3" t="s">
        <v>511</v>
      </c>
      <c r="AC38" s="3" t="s">
        <v>253</v>
      </c>
    </row>
    <row r="39" customFormat="false" ht="23.85" hidden="false" customHeight="false" outlineLevel="0" collapsed="false">
      <c r="A39" s="20" t="s">
        <v>512</v>
      </c>
      <c r="B39" s="3" t="s">
        <v>513</v>
      </c>
      <c r="C39" s="3" t="s">
        <v>514</v>
      </c>
      <c r="D39" s="3" t="s">
        <v>515</v>
      </c>
      <c r="E39" s="3" t="s">
        <v>77</v>
      </c>
      <c r="F39" s="3" t="s">
        <v>78</v>
      </c>
      <c r="G39" s="3" t="s">
        <v>166</v>
      </c>
      <c r="H39" s="3" t="s">
        <v>167</v>
      </c>
      <c r="I39" s="3" t="n">
        <v>4</v>
      </c>
      <c r="J39" s="3" t="n">
        <v>36</v>
      </c>
      <c r="K39" s="3" t="s">
        <v>56</v>
      </c>
      <c r="L39" s="3" t="s">
        <v>336</v>
      </c>
      <c r="M39" s="3" t="s">
        <v>337</v>
      </c>
      <c r="N39" s="3" t="s">
        <v>318</v>
      </c>
      <c r="O39" s="3" t="s">
        <v>319</v>
      </c>
      <c r="P39" s="3" t="s">
        <v>243</v>
      </c>
      <c r="Q39" s="3" t="s">
        <v>244</v>
      </c>
      <c r="R39" s="3" t="s">
        <v>245</v>
      </c>
      <c r="S39" s="3" t="s">
        <v>516</v>
      </c>
      <c r="T39" s="3"/>
      <c r="U39" s="3" t="s">
        <v>247</v>
      </c>
      <c r="V39" s="3" t="s">
        <v>247</v>
      </c>
      <c r="W39" s="3"/>
      <c r="X39" s="3" t="s">
        <v>365</v>
      </c>
      <c r="Y39" s="3" t="s">
        <v>249</v>
      </c>
      <c r="Z39" s="3" t="s">
        <v>250</v>
      </c>
      <c r="AA39" s="3" t="s">
        <v>517</v>
      </c>
      <c r="AB39" s="3" t="s">
        <v>518</v>
      </c>
      <c r="AC39" s="3" t="s">
        <v>253</v>
      </c>
    </row>
    <row r="40" customFormat="false" ht="23.85" hidden="false" customHeight="false" outlineLevel="0" collapsed="false">
      <c r="A40" s="20" t="s">
        <v>519</v>
      </c>
      <c r="B40" s="3" t="s">
        <v>520</v>
      </c>
      <c r="C40" s="3" t="s">
        <v>521</v>
      </c>
      <c r="D40" s="3" t="s">
        <v>522</v>
      </c>
      <c r="E40" s="3" t="s">
        <v>77</v>
      </c>
      <c r="F40" s="3" t="s">
        <v>78</v>
      </c>
      <c r="G40" s="3" t="s">
        <v>163</v>
      </c>
      <c r="H40" s="3" t="s">
        <v>164</v>
      </c>
      <c r="I40" s="3" t="n">
        <v>4</v>
      </c>
      <c r="J40" s="3" t="n">
        <v>37</v>
      </c>
      <c r="K40" s="3" t="s">
        <v>57</v>
      </c>
      <c r="L40" s="3" t="s">
        <v>336</v>
      </c>
      <c r="M40" s="3" t="s">
        <v>337</v>
      </c>
      <c r="N40" s="3" t="s">
        <v>258</v>
      </c>
      <c r="O40" s="3" t="s">
        <v>259</v>
      </c>
      <c r="P40" s="3" t="s">
        <v>278</v>
      </c>
      <c r="Q40" s="3" t="s">
        <v>244</v>
      </c>
      <c r="R40" s="3" t="s">
        <v>245</v>
      </c>
      <c r="S40" s="3" t="s">
        <v>312</v>
      </c>
      <c r="T40" s="3"/>
      <c r="U40" s="3" t="s">
        <v>247</v>
      </c>
      <c r="V40" s="3" t="s">
        <v>247</v>
      </c>
      <c r="W40" s="3"/>
      <c r="X40" s="3"/>
      <c r="Y40" s="3" t="s">
        <v>249</v>
      </c>
      <c r="Z40" s="3" t="s">
        <v>250</v>
      </c>
      <c r="AA40" s="3" t="s">
        <v>523</v>
      </c>
      <c r="AB40" s="3" t="s">
        <v>524</v>
      </c>
      <c r="AC40" s="3" t="s">
        <v>253</v>
      </c>
    </row>
    <row r="41" customFormat="false" ht="23.85" hidden="false" customHeight="false" outlineLevel="0" collapsed="false">
      <c r="A41" s="20" t="s">
        <v>525</v>
      </c>
      <c r="B41" s="3" t="s">
        <v>526</v>
      </c>
      <c r="C41" s="3" t="s">
        <v>527</v>
      </c>
      <c r="D41" s="3" t="s">
        <v>528</v>
      </c>
      <c r="E41" s="3" t="s">
        <v>77</v>
      </c>
      <c r="F41" s="3" t="s">
        <v>78</v>
      </c>
      <c r="G41" s="3" t="s">
        <v>163</v>
      </c>
      <c r="H41" s="3" t="s">
        <v>164</v>
      </c>
      <c r="I41" s="3" t="n">
        <v>4</v>
      </c>
      <c r="J41" s="3" t="n">
        <v>38</v>
      </c>
      <c r="K41" s="3" t="s">
        <v>57</v>
      </c>
      <c r="L41" s="3" t="s">
        <v>336</v>
      </c>
      <c r="M41" s="3" t="s">
        <v>337</v>
      </c>
      <c r="N41" s="3" t="s">
        <v>318</v>
      </c>
      <c r="O41" s="3" t="s">
        <v>319</v>
      </c>
      <c r="P41" s="3" t="s">
        <v>278</v>
      </c>
      <c r="Q41" s="3" t="s">
        <v>244</v>
      </c>
      <c r="R41" s="3" t="s">
        <v>529</v>
      </c>
      <c r="S41" s="3" t="s">
        <v>312</v>
      </c>
      <c r="T41" s="3"/>
      <c r="U41" s="3" t="s">
        <v>247</v>
      </c>
      <c r="V41" s="3" t="s">
        <v>247</v>
      </c>
      <c r="W41" s="3"/>
      <c r="X41" s="3" t="s">
        <v>365</v>
      </c>
      <c r="Y41" s="3" t="s">
        <v>249</v>
      </c>
      <c r="Z41" s="3" t="s">
        <v>250</v>
      </c>
      <c r="AA41" s="3" t="s">
        <v>530</v>
      </c>
      <c r="AB41" s="3" t="s">
        <v>531</v>
      </c>
      <c r="AC41" s="3" t="s">
        <v>253</v>
      </c>
    </row>
    <row r="42" customFormat="false" ht="15" hidden="false" customHeight="false" outlineLevel="0" collapsed="false">
      <c r="A42" s="20" t="s">
        <v>532</v>
      </c>
      <c r="B42" s="3" t="s">
        <v>533</v>
      </c>
      <c r="C42" s="3" t="s">
        <v>534</v>
      </c>
      <c r="D42" s="3" t="s">
        <v>535</v>
      </c>
      <c r="E42" s="3" t="s">
        <v>77</v>
      </c>
      <c r="F42" s="3" t="s">
        <v>78</v>
      </c>
      <c r="G42" s="3" t="s">
        <v>160</v>
      </c>
      <c r="H42" s="3" t="s">
        <v>161</v>
      </c>
      <c r="I42" s="3" t="n">
        <v>4</v>
      </c>
      <c r="J42" s="3" t="n">
        <v>39</v>
      </c>
      <c r="K42" s="3" t="s">
        <v>57</v>
      </c>
      <c r="L42" s="3" t="s">
        <v>240</v>
      </c>
      <c r="M42" s="3" t="s">
        <v>241</v>
      </c>
      <c r="N42" s="3" t="s">
        <v>242</v>
      </c>
      <c r="O42" s="3" t="s">
        <v>242</v>
      </c>
      <c r="P42" s="3" t="s">
        <v>243</v>
      </c>
      <c r="Q42" s="3" t="s">
        <v>244</v>
      </c>
      <c r="R42" s="3" t="s">
        <v>509</v>
      </c>
      <c r="S42" s="3" t="s">
        <v>536</v>
      </c>
      <c r="T42" s="3"/>
      <c r="U42" s="3" t="s">
        <v>247</v>
      </c>
      <c r="V42" s="3" t="s">
        <v>247</v>
      </c>
      <c r="W42" s="3"/>
      <c r="X42" s="3" t="s">
        <v>248</v>
      </c>
      <c r="Y42" s="3" t="s">
        <v>537</v>
      </c>
      <c r="Z42" s="3" t="s">
        <v>250</v>
      </c>
      <c r="AA42" s="3" t="s">
        <v>538</v>
      </c>
      <c r="AB42" s="3" t="s">
        <v>539</v>
      </c>
      <c r="AC42" s="3" t="s">
        <v>253</v>
      </c>
    </row>
    <row r="43" customFormat="false" ht="23.85" hidden="false" customHeight="false" outlineLevel="0" collapsed="false">
      <c r="A43" s="20" t="s">
        <v>540</v>
      </c>
      <c r="B43" s="3" t="s">
        <v>541</v>
      </c>
      <c r="C43" s="3" t="s">
        <v>542</v>
      </c>
      <c r="D43" s="3" t="s">
        <v>543</v>
      </c>
      <c r="E43" s="3" t="s">
        <v>77</v>
      </c>
      <c r="F43" s="3" t="s">
        <v>78</v>
      </c>
      <c r="G43" s="3" t="s">
        <v>169</v>
      </c>
      <c r="H43" s="3" t="s">
        <v>170</v>
      </c>
      <c r="I43" s="3" t="n">
        <v>4</v>
      </c>
      <c r="J43" s="3" t="n">
        <v>40</v>
      </c>
      <c r="K43" s="3" t="s">
        <v>57</v>
      </c>
      <c r="L43" s="3" t="s">
        <v>336</v>
      </c>
      <c r="M43" s="3" t="s">
        <v>337</v>
      </c>
      <c r="N43" s="3" t="s">
        <v>258</v>
      </c>
      <c r="O43" s="3" t="s">
        <v>259</v>
      </c>
      <c r="P43" s="3" t="s">
        <v>278</v>
      </c>
      <c r="Q43" s="3" t="s">
        <v>244</v>
      </c>
      <c r="R43" s="3" t="s">
        <v>245</v>
      </c>
      <c r="S43" s="3" t="s">
        <v>544</v>
      </c>
      <c r="T43" s="3"/>
      <c r="U43" s="3" t="s">
        <v>247</v>
      </c>
      <c r="V43" s="3" t="s">
        <v>247</v>
      </c>
      <c r="W43" s="3"/>
      <c r="X43" s="3"/>
      <c r="Y43" s="3" t="s">
        <v>249</v>
      </c>
      <c r="Z43" s="3" t="s">
        <v>250</v>
      </c>
      <c r="AA43" s="3" t="s">
        <v>545</v>
      </c>
      <c r="AB43" s="3" t="s">
        <v>546</v>
      </c>
      <c r="AC43" s="3" t="s">
        <v>253</v>
      </c>
    </row>
    <row r="44" customFormat="false" ht="23.85" hidden="false" customHeight="false" outlineLevel="0" collapsed="false">
      <c r="A44" s="20" t="s">
        <v>547</v>
      </c>
      <c r="B44" s="3" t="s">
        <v>548</v>
      </c>
      <c r="C44" s="3" t="s">
        <v>549</v>
      </c>
      <c r="D44" s="3" t="s">
        <v>550</v>
      </c>
      <c r="E44" s="3" t="s">
        <v>77</v>
      </c>
      <c r="F44" s="3" t="s">
        <v>78</v>
      </c>
      <c r="G44" s="3" t="s">
        <v>166</v>
      </c>
      <c r="H44" s="3" t="s">
        <v>167</v>
      </c>
      <c r="I44" s="3" t="n">
        <v>4</v>
      </c>
      <c r="J44" s="3" t="n">
        <v>41</v>
      </c>
      <c r="K44" s="3" t="s">
        <v>57</v>
      </c>
      <c r="L44" s="3" t="s">
        <v>240</v>
      </c>
      <c r="M44" s="3" t="s">
        <v>241</v>
      </c>
      <c r="N44" s="3" t="s">
        <v>258</v>
      </c>
      <c r="O44" s="3" t="s">
        <v>259</v>
      </c>
      <c r="P44" s="3" t="s">
        <v>243</v>
      </c>
      <c r="Q44" s="3" t="s">
        <v>244</v>
      </c>
      <c r="R44" s="3" t="s">
        <v>245</v>
      </c>
      <c r="S44" s="3" t="s">
        <v>551</v>
      </c>
      <c r="T44" s="3"/>
      <c r="U44" s="3" t="s">
        <v>247</v>
      </c>
      <c r="V44" s="3" t="s">
        <v>247</v>
      </c>
      <c r="W44" s="3"/>
      <c r="X44" s="3"/>
      <c r="Y44" s="3" t="s">
        <v>249</v>
      </c>
      <c r="Z44" s="3" t="s">
        <v>250</v>
      </c>
      <c r="AA44" s="3" t="s">
        <v>552</v>
      </c>
      <c r="AB44" s="3" t="s">
        <v>553</v>
      </c>
      <c r="AC44" s="3" t="s">
        <v>253</v>
      </c>
    </row>
    <row r="45" customFormat="false" ht="15" hidden="false" customHeight="false" outlineLevel="0" collapsed="false">
      <c r="A45" s="20" t="s">
        <v>554</v>
      </c>
      <c r="B45" s="3" t="s">
        <v>555</v>
      </c>
      <c r="C45" s="3" t="s">
        <v>556</v>
      </c>
      <c r="D45" s="3" t="s">
        <v>557</v>
      </c>
      <c r="E45" s="3" t="s">
        <v>77</v>
      </c>
      <c r="F45" s="3" t="s">
        <v>78</v>
      </c>
      <c r="G45" s="3" t="s">
        <v>166</v>
      </c>
      <c r="H45" s="3" t="s">
        <v>167</v>
      </c>
      <c r="I45" s="3" t="n">
        <v>4</v>
      </c>
      <c r="J45" s="3" t="n">
        <v>42</v>
      </c>
      <c r="K45" s="3" t="s">
        <v>57</v>
      </c>
      <c r="L45" s="3" t="s">
        <v>240</v>
      </c>
      <c r="M45" s="3" t="s">
        <v>241</v>
      </c>
      <c r="N45" s="3" t="s">
        <v>258</v>
      </c>
      <c r="O45" s="3" t="s">
        <v>259</v>
      </c>
      <c r="P45" s="3" t="s">
        <v>243</v>
      </c>
      <c r="Q45" s="3" t="s">
        <v>244</v>
      </c>
      <c r="R45" s="3" t="s">
        <v>245</v>
      </c>
      <c r="S45" s="3" t="s">
        <v>558</v>
      </c>
      <c r="T45" s="3"/>
      <c r="U45" s="3" t="s">
        <v>247</v>
      </c>
      <c r="V45" s="3" t="s">
        <v>247</v>
      </c>
      <c r="W45" s="3"/>
      <c r="X45" s="3"/>
      <c r="Y45" s="3" t="s">
        <v>249</v>
      </c>
      <c r="Z45" s="3" t="s">
        <v>250</v>
      </c>
      <c r="AA45" s="3" t="s">
        <v>559</v>
      </c>
      <c r="AB45" s="3" t="s">
        <v>560</v>
      </c>
      <c r="AC45" s="3" t="s">
        <v>253</v>
      </c>
    </row>
    <row r="46" customFormat="false" ht="23.85" hidden="false" customHeight="false" outlineLevel="0" collapsed="false">
      <c r="A46" s="20" t="s">
        <v>561</v>
      </c>
      <c r="B46" s="3" t="s">
        <v>562</v>
      </c>
      <c r="C46" s="3" t="s">
        <v>563</v>
      </c>
      <c r="D46" s="3" t="s">
        <v>564</v>
      </c>
      <c r="E46" s="3" t="s">
        <v>77</v>
      </c>
      <c r="F46" s="3" t="s">
        <v>78</v>
      </c>
      <c r="G46" s="3" t="s">
        <v>160</v>
      </c>
      <c r="H46" s="3" t="s">
        <v>161</v>
      </c>
      <c r="I46" s="3" t="n">
        <v>4</v>
      </c>
      <c r="J46" s="3" t="n">
        <v>43</v>
      </c>
      <c r="K46" s="3" t="s">
        <v>57</v>
      </c>
      <c r="L46" s="3" t="s">
        <v>240</v>
      </c>
      <c r="M46" s="3" t="s">
        <v>241</v>
      </c>
      <c r="N46" s="3" t="s">
        <v>565</v>
      </c>
      <c r="O46" s="3" t="s">
        <v>566</v>
      </c>
      <c r="P46" s="3" t="s">
        <v>243</v>
      </c>
      <c r="Q46" s="3" t="s">
        <v>567</v>
      </c>
      <c r="R46" s="3" t="s">
        <v>245</v>
      </c>
      <c r="S46" s="3" t="s">
        <v>312</v>
      </c>
      <c r="T46" s="3"/>
      <c r="U46" s="3" t="s">
        <v>247</v>
      </c>
      <c r="V46" s="3" t="s">
        <v>247</v>
      </c>
      <c r="W46" s="3"/>
      <c r="X46" s="3"/>
      <c r="Y46" s="3" t="s">
        <v>249</v>
      </c>
      <c r="Z46" s="3" t="s">
        <v>250</v>
      </c>
      <c r="AA46" s="3" t="s">
        <v>568</v>
      </c>
      <c r="AB46" s="3" t="s">
        <v>569</v>
      </c>
      <c r="AC46" s="3" t="s">
        <v>265</v>
      </c>
    </row>
    <row r="47" customFormat="false" ht="23.85" hidden="false" customHeight="false" outlineLevel="0" collapsed="false">
      <c r="A47" s="21" t="s">
        <v>570</v>
      </c>
      <c r="B47" s="3" t="s">
        <v>571</v>
      </c>
      <c r="C47" s="3" t="s">
        <v>572</v>
      </c>
      <c r="D47" s="3" t="s">
        <v>573</v>
      </c>
      <c r="E47" s="3" t="s">
        <v>82</v>
      </c>
      <c r="F47" s="3" t="s">
        <v>83</v>
      </c>
      <c r="G47" s="3" t="s">
        <v>172</v>
      </c>
      <c r="H47" s="3" t="s">
        <v>173</v>
      </c>
      <c r="I47" s="3" t="n">
        <v>5</v>
      </c>
      <c r="J47" s="3" t="n">
        <v>44</v>
      </c>
      <c r="K47" s="3" t="s">
        <v>56</v>
      </c>
      <c r="L47" s="3" t="s">
        <v>240</v>
      </c>
      <c r="M47" s="3" t="s">
        <v>241</v>
      </c>
      <c r="N47" s="3" t="s">
        <v>318</v>
      </c>
      <c r="O47" s="3" t="s">
        <v>319</v>
      </c>
      <c r="P47" s="3" t="s">
        <v>278</v>
      </c>
      <c r="Q47" s="3" t="s">
        <v>244</v>
      </c>
      <c r="R47" s="3" t="s">
        <v>245</v>
      </c>
      <c r="S47" s="3" t="s">
        <v>574</v>
      </c>
      <c r="T47" s="3"/>
      <c r="U47" s="3" t="s">
        <v>247</v>
      </c>
      <c r="V47" s="3" t="s">
        <v>247</v>
      </c>
      <c r="W47" s="3"/>
      <c r="X47" s="3" t="s">
        <v>575</v>
      </c>
      <c r="Y47" s="3" t="s">
        <v>249</v>
      </c>
      <c r="Z47" s="3" t="s">
        <v>576</v>
      </c>
      <c r="AA47" s="3" t="s">
        <v>577</v>
      </c>
      <c r="AB47" s="3" t="s">
        <v>578</v>
      </c>
      <c r="AC47" s="3" t="s">
        <v>253</v>
      </c>
    </row>
    <row r="48" customFormat="false" ht="35.05" hidden="false" customHeight="false" outlineLevel="0" collapsed="false">
      <c r="A48" s="21" t="s">
        <v>579</v>
      </c>
      <c r="B48" s="3" t="s">
        <v>580</v>
      </c>
      <c r="C48" s="3" t="s">
        <v>581</v>
      </c>
      <c r="D48" s="3" t="s">
        <v>582</v>
      </c>
      <c r="E48" s="3" t="s">
        <v>82</v>
      </c>
      <c r="F48" s="3" t="s">
        <v>83</v>
      </c>
      <c r="G48" s="3" t="s">
        <v>175</v>
      </c>
      <c r="H48" s="3" t="s">
        <v>176</v>
      </c>
      <c r="I48" s="3" t="n">
        <v>5</v>
      </c>
      <c r="J48" s="3" t="n">
        <v>45</v>
      </c>
      <c r="K48" s="3" t="s">
        <v>56</v>
      </c>
      <c r="L48" s="3" t="s">
        <v>240</v>
      </c>
      <c r="M48" s="3" t="s">
        <v>241</v>
      </c>
      <c r="N48" s="3" t="s">
        <v>318</v>
      </c>
      <c r="O48" s="3" t="s">
        <v>319</v>
      </c>
      <c r="P48" s="3" t="s">
        <v>243</v>
      </c>
      <c r="Q48" s="3" t="s">
        <v>244</v>
      </c>
      <c r="R48" s="3" t="s">
        <v>245</v>
      </c>
      <c r="S48" s="3" t="s">
        <v>583</v>
      </c>
      <c r="T48" s="3"/>
      <c r="U48" s="3" t="s">
        <v>247</v>
      </c>
      <c r="V48" s="3" t="s">
        <v>247</v>
      </c>
      <c r="W48" s="3" t="s">
        <v>247</v>
      </c>
      <c r="X48" s="3" t="s">
        <v>321</v>
      </c>
      <c r="Y48" s="3" t="s">
        <v>322</v>
      </c>
      <c r="Z48" s="3" t="s">
        <v>250</v>
      </c>
      <c r="AA48" s="3" t="s">
        <v>584</v>
      </c>
      <c r="AB48" s="3" t="s">
        <v>585</v>
      </c>
      <c r="AC48" s="3" t="s">
        <v>253</v>
      </c>
    </row>
    <row r="49" customFormat="false" ht="23.85" hidden="false" customHeight="false" outlineLevel="0" collapsed="false">
      <c r="A49" s="21" t="s">
        <v>586</v>
      </c>
      <c r="B49" s="3" t="s">
        <v>587</v>
      </c>
      <c r="C49" s="3" t="s">
        <v>588</v>
      </c>
      <c r="D49" s="3" t="s">
        <v>589</v>
      </c>
      <c r="E49" s="3" t="s">
        <v>82</v>
      </c>
      <c r="F49" s="3" t="s">
        <v>83</v>
      </c>
      <c r="G49" s="3" t="s">
        <v>175</v>
      </c>
      <c r="H49" s="3" t="s">
        <v>176</v>
      </c>
      <c r="I49" s="3" t="n">
        <v>5</v>
      </c>
      <c r="J49" s="3" t="n">
        <v>46</v>
      </c>
      <c r="K49" s="3" t="s">
        <v>56</v>
      </c>
      <c r="L49" s="3" t="s">
        <v>240</v>
      </c>
      <c r="M49" s="3" t="s">
        <v>241</v>
      </c>
      <c r="N49" s="3" t="s">
        <v>318</v>
      </c>
      <c r="O49" s="3" t="s">
        <v>319</v>
      </c>
      <c r="P49" s="3" t="s">
        <v>243</v>
      </c>
      <c r="Q49" s="3" t="s">
        <v>244</v>
      </c>
      <c r="R49" s="3" t="s">
        <v>245</v>
      </c>
      <c r="S49" s="3" t="s">
        <v>590</v>
      </c>
      <c r="T49" s="3"/>
      <c r="U49" s="3" t="s">
        <v>247</v>
      </c>
      <c r="V49" s="3" t="s">
        <v>247</v>
      </c>
      <c r="W49" s="3" t="s">
        <v>247</v>
      </c>
      <c r="X49" s="3" t="s">
        <v>321</v>
      </c>
      <c r="Y49" s="3" t="s">
        <v>322</v>
      </c>
      <c r="Z49" s="3" t="s">
        <v>250</v>
      </c>
      <c r="AA49" s="3" t="s">
        <v>591</v>
      </c>
      <c r="AB49" s="3" t="s">
        <v>592</v>
      </c>
      <c r="AC49" s="3" t="s">
        <v>253</v>
      </c>
    </row>
    <row r="50" customFormat="false" ht="23.85" hidden="false" customHeight="false" outlineLevel="0" collapsed="false">
      <c r="A50" s="21" t="s">
        <v>593</v>
      </c>
      <c r="B50" s="3" t="s">
        <v>594</v>
      </c>
      <c r="C50" s="3" t="s">
        <v>595</v>
      </c>
      <c r="D50" s="3" t="s">
        <v>596</v>
      </c>
      <c r="E50" s="3" t="s">
        <v>82</v>
      </c>
      <c r="F50" s="3" t="s">
        <v>83</v>
      </c>
      <c r="G50" s="3" t="s">
        <v>178</v>
      </c>
      <c r="H50" s="3" t="s">
        <v>179</v>
      </c>
      <c r="I50" s="3" t="n">
        <v>5</v>
      </c>
      <c r="J50" s="3" t="n">
        <v>47</v>
      </c>
      <c r="K50" s="3" t="s">
        <v>57</v>
      </c>
      <c r="L50" s="3" t="s">
        <v>336</v>
      </c>
      <c r="M50" s="3" t="s">
        <v>337</v>
      </c>
      <c r="N50" s="3" t="s">
        <v>479</v>
      </c>
      <c r="O50" s="3" t="s">
        <v>480</v>
      </c>
      <c r="P50" s="3" t="s">
        <v>278</v>
      </c>
      <c r="Q50" s="3" t="s">
        <v>597</v>
      </c>
      <c r="R50" s="3" t="s">
        <v>245</v>
      </c>
      <c r="S50" s="3" t="s">
        <v>598</v>
      </c>
      <c r="T50" s="3"/>
      <c r="U50" s="3" t="s">
        <v>247</v>
      </c>
      <c r="V50" s="3" t="s">
        <v>247</v>
      </c>
      <c r="W50" s="3" t="s">
        <v>247</v>
      </c>
      <c r="X50" s="3"/>
      <c r="Y50" s="3" t="s">
        <v>249</v>
      </c>
      <c r="Z50" s="3" t="s">
        <v>250</v>
      </c>
      <c r="AA50" s="3" t="s">
        <v>599</v>
      </c>
      <c r="AB50" s="3" t="s">
        <v>600</v>
      </c>
      <c r="AC50" s="3" t="s">
        <v>265</v>
      </c>
    </row>
    <row r="51" customFormat="false" ht="23.85" hidden="false" customHeight="false" outlineLevel="0" collapsed="false">
      <c r="A51" s="21" t="s">
        <v>601</v>
      </c>
      <c r="B51" s="3" t="s">
        <v>602</v>
      </c>
      <c r="C51" s="3" t="s">
        <v>603</v>
      </c>
      <c r="D51" s="3" t="s">
        <v>604</v>
      </c>
      <c r="E51" s="3" t="s">
        <v>82</v>
      </c>
      <c r="F51" s="3" t="s">
        <v>83</v>
      </c>
      <c r="G51" s="3" t="s">
        <v>181</v>
      </c>
      <c r="H51" s="3" t="s">
        <v>182</v>
      </c>
      <c r="I51" s="3" t="n">
        <v>5</v>
      </c>
      <c r="J51" s="3" t="n">
        <v>48</v>
      </c>
      <c r="K51" s="3" t="s">
        <v>57</v>
      </c>
      <c r="L51" s="3" t="s">
        <v>336</v>
      </c>
      <c r="M51" s="3" t="s">
        <v>337</v>
      </c>
      <c r="N51" s="3" t="s">
        <v>426</v>
      </c>
      <c r="O51" s="3" t="s">
        <v>427</v>
      </c>
      <c r="P51" s="3" t="s">
        <v>278</v>
      </c>
      <c r="Q51" s="3" t="s">
        <v>244</v>
      </c>
      <c r="R51" s="3" t="s">
        <v>245</v>
      </c>
      <c r="S51" s="3" t="s">
        <v>598</v>
      </c>
      <c r="T51" s="3"/>
      <c r="U51" s="3" t="s">
        <v>247</v>
      </c>
      <c r="V51" s="3" t="s">
        <v>247</v>
      </c>
      <c r="W51" s="3" t="s">
        <v>247</v>
      </c>
      <c r="X51" s="3"/>
      <c r="Y51" s="3" t="s">
        <v>249</v>
      </c>
      <c r="Z51" s="3" t="s">
        <v>250</v>
      </c>
      <c r="AA51" s="3" t="s">
        <v>605</v>
      </c>
      <c r="AB51" s="3" t="s">
        <v>606</v>
      </c>
      <c r="AC51" s="3" t="s">
        <v>265</v>
      </c>
    </row>
    <row r="52" customFormat="false" ht="23.85" hidden="false" customHeight="false" outlineLevel="0" collapsed="false">
      <c r="A52" s="21" t="s">
        <v>607</v>
      </c>
      <c r="B52" s="3" t="s">
        <v>608</v>
      </c>
      <c r="C52" s="3" t="s">
        <v>609</v>
      </c>
      <c r="D52" s="3" t="s">
        <v>610</v>
      </c>
      <c r="E52" s="3" t="s">
        <v>82</v>
      </c>
      <c r="F52" s="3" t="s">
        <v>83</v>
      </c>
      <c r="G52" s="3" t="s">
        <v>181</v>
      </c>
      <c r="H52" s="3" t="s">
        <v>182</v>
      </c>
      <c r="I52" s="3" t="n">
        <v>5</v>
      </c>
      <c r="J52" s="3" t="n">
        <v>49</v>
      </c>
      <c r="K52" s="3" t="s">
        <v>57</v>
      </c>
      <c r="L52" s="3" t="s">
        <v>336</v>
      </c>
      <c r="M52" s="3" t="s">
        <v>337</v>
      </c>
      <c r="N52" s="3" t="s">
        <v>565</v>
      </c>
      <c r="O52" s="3" t="s">
        <v>566</v>
      </c>
      <c r="P52" s="3" t="s">
        <v>278</v>
      </c>
      <c r="Q52" s="3" t="s">
        <v>567</v>
      </c>
      <c r="R52" s="3" t="s">
        <v>611</v>
      </c>
      <c r="S52" s="3" t="s">
        <v>598</v>
      </c>
      <c r="T52" s="3"/>
      <c r="U52" s="3" t="s">
        <v>247</v>
      </c>
      <c r="V52" s="3" t="s">
        <v>247</v>
      </c>
      <c r="W52" s="3" t="s">
        <v>247</v>
      </c>
      <c r="X52" s="3" t="s">
        <v>612</v>
      </c>
      <c r="Y52" s="3" t="s">
        <v>613</v>
      </c>
      <c r="Z52" s="3" t="s">
        <v>250</v>
      </c>
      <c r="AA52" s="3" t="s">
        <v>614</v>
      </c>
      <c r="AB52" s="3" t="s">
        <v>615</v>
      </c>
      <c r="AC52" s="3" t="s">
        <v>265</v>
      </c>
    </row>
    <row r="53" customFormat="false" ht="23.85" hidden="false" customHeight="false" outlineLevel="0" collapsed="false">
      <c r="A53" s="21" t="s">
        <v>616</v>
      </c>
      <c r="B53" s="3" t="s">
        <v>617</v>
      </c>
      <c r="C53" s="3" t="s">
        <v>618</v>
      </c>
      <c r="D53" s="3" t="s">
        <v>619</v>
      </c>
      <c r="E53" s="3" t="s">
        <v>82</v>
      </c>
      <c r="F53" s="3" t="s">
        <v>83</v>
      </c>
      <c r="G53" s="3" t="s">
        <v>178</v>
      </c>
      <c r="H53" s="3" t="s">
        <v>179</v>
      </c>
      <c r="I53" s="3" t="n">
        <v>5</v>
      </c>
      <c r="J53" s="3" t="n">
        <v>50</v>
      </c>
      <c r="K53" s="3" t="s">
        <v>57</v>
      </c>
      <c r="L53" s="3" t="s">
        <v>336</v>
      </c>
      <c r="M53" s="3" t="s">
        <v>337</v>
      </c>
      <c r="N53" s="3" t="s">
        <v>620</v>
      </c>
      <c r="O53" s="3" t="s">
        <v>566</v>
      </c>
      <c r="P53" s="3" t="s">
        <v>243</v>
      </c>
      <c r="Q53" s="3" t="s">
        <v>567</v>
      </c>
      <c r="R53" s="3" t="s">
        <v>245</v>
      </c>
      <c r="S53" s="3" t="s">
        <v>598</v>
      </c>
      <c r="T53" s="3"/>
      <c r="U53" s="3" t="s">
        <v>247</v>
      </c>
      <c r="V53" s="3" t="s">
        <v>247</v>
      </c>
      <c r="W53" s="3" t="s">
        <v>247</v>
      </c>
      <c r="X53" s="3" t="s">
        <v>612</v>
      </c>
      <c r="Y53" s="3" t="s">
        <v>621</v>
      </c>
      <c r="Z53" s="3" t="s">
        <v>622</v>
      </c>
      <c r="AA53" s="3" t="s">
        <v>623</v>
      </c>
      <c r="AB53" s="3" t="s">
        <v>624</v>
      </c>
      <c r="AC53" s="3" t="s">
        <v>265</v>
      </c>
    </row>
    <row r="54" customFormat="false" ht="23.85" hidden="false" customHeight="false" outlineLevel="0" collapsed="false">
      <c r="A54" s="21" t="s">
        <v>625</v>
      </c>
      <c r="B54" s="3" t="s">
        <v>626</v>
      </c>
      <c r="C54" s="3" t="s">
        <v>627</v>
      </c>
      <c r="D54" s="3" t="s">
        <v>628</v>
      </c>
      <c r="E54" s="3" t="s">
        <v>82</v>
      </c>
      <c r="F54" s="3" t="s">
        <v>83</v>
      </c>
      <c r="G54" s="3" t="s">
        <v>172</v>
      </c>
      <c r="H54" s="3" t="s">
        <v>173</v>
      </c>
      <c r="I54" s="3" t="n">
        <v>5</v>
      </c>
      <c r="J54" s="3" t="n">
        <v>51</v>
      </c>
      <c r="K54" s="3" t="s">
        <v>57</v>
      </c>
      <c r="L54" s="3" t="s">
        <v>240</v>
      </c>
      <c r="M54" s="3" t="s">
        <v>241</v>
      </c>
      <c r="N54" s="3" t="s">
        <v>318</v>
      </c>
      <c r="O54" s="3" t="s">
        <v>319</v>
      </c>
      <c r="P54" s="3" t="s">
        <v>278</v>
      </c>
      <c r="Q54" s="3" t="s">
        <v>244</v>
      </c>
      <c r="R54" s="3" t="s">
        <v>245</v>
      </c>
      <c r="S54" s="3" t="s">
        <v>598</v>
      </c>
      <c r="T54" s="3"/>
      <c r="U54" s="3" t="s">
        <v>247</v>
      </c>
      <c r="V54" s="3" t="s">
        <v>247</v>
      </c>
      <c r="W54" s="3"/>
      <c r="X54" s="3"/>
      <c r="Y54" s="3" t="s">
        <v>249</v>
      </c>
      <c r="Z54" s="3" t="s">
        <v>576</v>
      </c>
      <c r="AA54" s="3" t="s">
        <v>629</v>
      </c>
      <c r="AB54" s="3" t="s">
        <v>630</v>
      </c>
      <c r="AC54" s="3" t="s">
        <v>253</v>
      </c>
    </row>
    <row r="55" customFormat="false" ht="23.85" hidden="false" customHeight="false" outlineLevel="0" collapsed="false">
      <c r="A55" s="22" t="s">
        <v>631</v>
      </c>
      <c r="B55" s="3" t="s">
        <v>632</v>
      </c>
      <c r="C55" s="3" t="s">
        <v>633</v>
      </c>
      <c r="D55" s="3" t="s">
        <v>634</v>
      </c>
      <c r="E55" s="3" t="s">
        <v>88</v>
      </c>
      <c r="F55" s="3" t="s">
        <v>89</v>
      </c>
      <c r="G55" s="3" t="s">
        <v>184</v>
      </c>
      <c r="H55" s="3" t="s">
        <v>185</v>
      </c>
      <c r="I55" s="3" t="n">
        <v>6</v>
      </c>
      <c r="J55" s="3" t="n">
        <v>52</v>
      </c>
      <c r="K55" s="3" t="s">
        <v>56</v>
      </c>
      <c r="L55" s="3" t="s">
        <v>240</v>
      </c>
      <c r="M55" s="3" t="s">
        <v>241</v>
      </c>
      <c r="N55" s="3" t="s">
        <v>258</v>
      </c>
      <c r="O55" s="3" t="s">
        <v>259</v>
      </c>
      <c r="P55" s="3" t="s">
        <v>243</v>
      </c>
      <c r="Q55" s="3" t="s">
        <v>244</v>
      </c>
      <c r="R55" s="3" t="s">
        <v>245</v>
      </c>
      <c r="S55" s="3" t="s">
        <v>635</v>
      </c>
      <c r="T55" s="3" t="s">
        <v>247</v>
      </c>
      <c r="U55" s="3" t="s">
        <v>247</v>
      </c>
      <c r="V55" s="3"/>
      <c r="W55" s="3" t="s">
        <v>247</v>
      </c>
      <c r="X55" s="3" t="s">
        <v>636</v>
      </c>
      <c r="Y55" s="3" t="s">
        <v>249</v>
      </c>
      <c r="Z55" s="3" t="s">
        <v>250</v>
      </c>
      <c r="AA55" s="3" t="s">
        <v>637</v>
      </c>
      <c r="AB55" s="3" t="s">
        <v>638</v>
      </c>
      <c r="AC55" s="3" t="s">
        <v>253</v>
      </c>
    </row>
    <row r="56" customFormat="false" ht="23.85" hidden="false" customHeight="false" outlineLevel="0" collapsed="false">
      <c r="A56" s="22" t="s">
        <v>639</v>
      </c>
      <c r="B56" s="3" t="s">
        <v>640</v>
      </c>
      <c r="C56" s="3" t="s">
        <v>641</v>
      </c>
      <c r="D56" s="3" t="s">
        <v>642</v>
      </c>
      <c r="E56" s="3" t="s">
        <v>88</v>
      </c>
      <c r="F56" s="3" t="s">
        <v>89</v>
      </c>
      <c r="G56" s="3" t="s">
        <v>184</v>
      </c>
      <c r="H56" s="3" t="s">
        <v>185</v>
      </c>
      <c r="I56" s="3" t="n">
        <v>6</v>
      </c>
      <c r="J56" s="3" t="n">
        <v>53</v>
      </c>
      <c r="K56" s="3" t="s">
        <v>57</v>
      </c>
      <c r="L56" s="3" t="s">
        <v>336</v>
      </c>
      <c r="M56" s="3" t="s">
        <v>337</v>
      </c>
      <c r="N56" s="3" t="s">
        <v>565</v>
      </c>
      <c r="O56" s="3" t="s">
        <v>566</v>
      </c>
      <c r="P56" s="3" t="s">
        <v>243</v>
      </c>
      <c r="Q56" s="3" t="s">
        <v>567</v>
      </c>
      <c r="R56" s="3" t="s">
        <v>643</v>
      </c>
      <c r="S56" s="3" t="s">
        <v>644</v>
      </c>
      <c r="T56" s="3" t="s">
        <v>247</v>
      </c>
      <c r="U56" s="3" t="s">
        <v>247</v>
      </c>
      <c r="V56" s="3"/>
      <c r="W56" s="3" t="s">
        <v>247</v>
      </c>
      <c r="X56" s="3" t="s">
        <v>645</v>
      </c>
      <c r="Y56" s="3" t="s">
        <v>621</v>
      </c>
      <c r="Z56" s="3" t="s">
        <v>250</v>
      </c>
      <c r="AA56" s="3" t="s">
        <v>245</v>
      </c>
      <c r="AB56" s="3" t="s">
        <v>646</v>
      </c>
      <c r="AC56" s="3" t="s">
        <v>253</v>
      </c>
    </row>
    <row r="57" customFormat="false" ht="23.85" hidden="false" customHeight="false" outlineLevel="0" collapsed="false">
      <c r="A57" s="22" t="s">
        <v>647</v>
      </c>
      <c r="B57" s="3" t="s">
        <v>648</v>
      </c>
      <c r="C57" s="3" t="s">
        <v>649</v>
      </c>
      <c r="D57" s="3" t="s">
        <v>650</v>
      </c>
      <c r="E57" s="3" t="s">
        <v>88</v>
      </c>
      <c r="F57" s="3" t="s">
        <v>89</v>
      </c>
      <c r="G57" s="3" t="s">
        <v>184</v>
      </c>
      <c r="H57" s="3" t="s">
        <v>185</v>
      </c>
      <c r="I57" s="3" t="n">
        <v>6</v>
      </c>
      <c r="J57" s="3" t="n">
        <v>54</v>
      </c>
      <c r="K57" s="3" t="s">
        <v>57</v>
      </c>
      <c r="L57" s="3" t="s">
        <v>336</v>
      </c>
      <c r="M57" s="3" t="s">
        <v>337</v>
      </c>
      <c r="N57" s="3" t="s">
        <v>565</v>
      </c>
      <c r="O57" s="3" t="s">
        <v>566</v>
      </c>
      <c r="P57" s="3" t="s">
        <v>243</v>
      </c>
      <c r="Q57" s="3" t="s">
        <v>567</v>
      </c>
      <c r="R57" s="3" t="s">
        <v>643</v>
      </c>
      <c r="S57" s="3" t="s">
        <v>644</v>
      </c>
      <c r="T57" s="3" t="s">
        <v>247</v>
      </c>
      <c r="U57" s="3" t="s">
        <v>247</v>
      </c>
      <c r="V57" s="3"/>
      <c r="W57" s="3" t="s">
        <v>247</v>
      </c>
      <c r="X57" s="3" t="s">
        <v>645</v>
      </c>
      <c r="Y57" s="3" t="s">
        <v>621</v>
      </c>
      <c r="Z57" s="3" t="s">
        <v>250</v>
      </c>
      <c r="AA57" s="3" t="s">
        <v>245</v>
      </c>
      <c r="AB57" s="3" t="s">
        <v>651</v>
      </c>
      <c r="AC57" s="3" t="s">
        <v>253</v>
      </c>
    </row>
    <row r="58" customFormat="false" ht="15" hidden="false" customHeight="false" outlineLevel="0" collapsed="false">
      <c r="A58" s="22" t="s">
        <v>652</v>
      </c>
      <c r="B58" s="3" t="s">
        <v>653</v>
      </c>
      <c r="C58" s="3" t="s">
        <v>654</v>
      </c>
      <c r="D58" s="3" t="s">
        <v>655</v>
      </c>
      <c r="E58" s="3" t="s">
        <v>88</v>
      </c>
      <c r="F58" s="3" t="s">
        <v>89</v>
      </c>
      <c r="G58" s="3" t="s">
        <v>184</v>
      </c>
      <c r="H58" s="3" t="s">
        <v>185</v>
      </c>
      <c r="I58" s="3" t="n">
        <v>6</v>
      </c>
      <c r="J58" s="3" t="n">
        <v>55</v>
      </c>
      <c r="K58" s="3" t="s">
        <v>57</v>
      </c>
      <c r="L58" s="3" t="s">
        <v>240</v>
      </c>
      <c r="M58" s="3" t="s">
        <v>241</v>
      </c>
      <c r="N58" s="3" t="s">
        <v>426</v>
      </c>
      <c r="O58" s="3" t="s">
        <v>427</v>
      </c>
      <c r="P58" s="3" t="s">
        <v>278</v>
      </c>
      <c r="Q58" s="3" t="s">
        <v>244</v>
      </c>
      <c r="R58" s="3" t="s">
        <v>643</v>
      </c>
      <c r="S58" s="3" t="s">
        <v>644</v>
      </c>
      <c r="T58" s="3" t="s">
        <v>247</v>
      </c>
      <c r="U58" s="3"/>
      <c r="V58" s="3"/>
      <c r="W58" s="3" t="s">
        <v>247</v>
      </c>
      <c r="X58" s="3"/>
      <c r="Y58" s="3" t="s">
        <v>249</v>
      </c>
      <c r="Z58" s="3" t="s">
        <v>250</v>
      </c>
      <c r="AA58" s="3" t="s">
        <v>245</v>
      </c>
      <c r="AB58" s="3" t="s">
        <v>656</v>
      </c>
      <c r="AC58" s="3" t="s">
        <v>265</v>
      </c>
    </row>
    <row r="59" customFormat="false" ht="46.25" hidden="false" customHeight="false" outlineLevel="0" collapsed="false">
      <c r="A59" s="23" t="s">
        <v>657</v>
      </c>
      <c r="B59" s="3" t="s">
        <v>658</v>
      </c>
      <c r="C59" s="3" t="s">
        <v>659</v>
      </c>
      <c r="D59" s="3" t="s">
        <v>660</v>
      </c>
      <c r="E59" s="3" t="s">
        <v>94</v>
      </c>
      <c r="F59" s="3" t="s">
        <v>95</v>
      </c>
      <c r="G59" s="3" t="s">
        <v>187</v>
      </c>
      <c r="H59" s="3" t="s">
        <v>188</v>
      </c>
      <c r="I59" s="3" t="n">
        <v>7</v>
      </c>
      <c r="J59" s="3" t="n">
        <v>56</v>
      </c>
      <c r="K59" s="3" t="s">
        <v>55</v>
      </c>
      <c r="L59" s="3" t="s">
        <v>661</v>
      </c>
      <c r="M59" s="3" t="s">
        <v>337</v>
      </c>
      <c r="N59" s="3" t="s">
        <v>662</v>
      </c>
      <c r="O59" s="3" t="s">
        <v>663</v>
      </c>
      <c r="P59" s="3" t="s">
        <v>278</v>
      </c>
      <c r="Q59" s="3" t="s">
        <v>244</v>
      </c>
      <c r="R59" s="3" t="s">
        <v>664</v>
      </c>
      <c r="S59" s="3" t="s">
        <v>312</v>
      </c>
      <c r="T59" s="3" t="s">
        <v>262</v>
      </c>
      <c r="U59" s="3" t="s">
        <v>262</v>
      </c>
      <c r="V59" s="3" t="s">
        <v>262</v>
      </c>
      <c r="W59" s="3" t="s">
        <v>262</v>
      </c>
      <c r="X59" s="3" t="s">
        <v>665</v>
      </c>
      <c r="Y59" s="3" t="s">
        <v>666</v>
      </c>
      <c r="Z59" s="3" t="s">
        <v>250</v>
      </c>
      <c r="AA59" s="3" t="s">
        <v>667</v>
      </c>
      <c r="AB59" s="3" t="s">
        <v>668</v>
      </c>
      <c r="AC59" s="3" t="s">
        <v>253</v>
      </c>
    </row>
    <row r="60" customFormat="false" ht="46.25" hidden="false" customHeight="false" outlineLevel="0" collapsed="false">
      <c r="A60" s="23" t="s">
        <v>669</v>
      </c>
      <c r="B60" s="3" t="s">
        <v>670</v>
      </c>
      <c r="C60" s="3" t="s">
        <v>671</v>
      </c>
      <c r="D60" s="3" t="s">
        <v>672</v>
      </c>
      <c r="E60" s="3" t="s">
        <v>94</v>
      </c>
      <c r="F60" s="3" t="s">
        <v>95</v>
      </c>
      <c r="G60" s="3" t="s">
        <v>190</v>
      </c>
      <c r="H60" s="3" t="s">
        <v>191</v>
      </c>
      <c r="I60" s="3" t="n">
        <v>7</v>
      </c>
      <c r="J60" s="3" t="n">
        <v>57</v>
      </c>
      <c r="K60" s="3" t="s">
        <v>55</v>
      </c>
      <c r="L60" s="3" t="s">
        <v>661</v>
      </c>
      <c r="M60" s="3" t="s">
        <v>337</v>
      </c>
      <c r="N60" s="3" t="s">
        <v>673</v>
      </c>
      <c r="O60" s="3" t="s">
        <v>319</v>
      </c>
      <c r="P60" s="3" t="s">
        <v>278</v>
      </c>
      <c r="Q60" s="3" t="s">
        <v>244</v>
      </c>
      <c r="R60" s="3" t="s">
        <v>245</v>
      </c>
      <c r="S60" s="3" t="s">
        <v>312</v>
      </c>
      <c r="T60" s="3" t="s">
        <v>262</v>
      </c>
      <c r="U60" s="3" t="s">
        <v>262</v>
      </c>
      <c r="V60" s="3" t="s">
        <v>262</v>
      </c>
      <c r="W60" s="3" t="s">
        <v>262</v>
      </c>
      <c r="X60" s="3" t="s">
        <v>674</v>
      </c>
      <c r="Y60" s="3" t="s">
        <v>675</v>
      </c>
      <c r="Z60" s="3" t="s">
        <v>250</v>
      </c>
      <c r="AA60" s="3" t="s">
        <v>676</v>
      </c>
      <c r="AB60" s="3" t="s">
        <v>677</v>
      </c>
      <c r="AC60" s="3" t="s">
        <v>265</v>
      </c>
    </row>
    <row r="61" customFormat="false" ht="46.25" hidden="false" customHeight="false" outlineLevel="0" collapsed="false">
      <c r="A61" s="23" t="s">
        <v>678</v>
      </c>
      <c r="B61" s="3" t="s">
        <v>679</v>
      </c>
      <c r="C61" s="3" t="s">
        <v>680</v>
      </c>
      <c r="D61" s="3" t="s">
        <v>681</v>
      </c>
      <c r="E61" s="3" t="s">
        <v>94</v>
      </c>
      <c r="F61" s="3" t="s">
        <v>95</v>
      </c>
      <c r="G61" s="3" t="s">
        <v>193</v>
      </c>
      <c r="H61" s="3" t="s">
        <v>194</v>
      </c>
      <c r="I61" s="3" t="n">
        <v>7</v>
      </c>
      <c r="J61" s="3" t="n">
        <v>58</v>
      </c>
      <c r="K61" s="3" t="s">
        <v>56</v>
      </c>
      <c r="L61" s="3" t="s">
        <v>240</v>
      </c>
      <c r="M61" s="3" t="s">
        <v>241</v>
      </c>
      <c r="N61" s="3" t="s">
        <v>372</v>
      </c>
      <c r="O61" s="3" t="s">
        <v>373</v>
      </c>
      <c r="P61" s="3" t="s">
        <v>243</v>
      </c>
      <c r="Q61" s="3" t="s">
        <v>374</v>
      </c>
      <c r="R61" s="3" t="s">
        <v>245</v>
      </c>
      <c r="S61" s="3"/>
      <c r="T61" s="3" t="s">
        <v>247</v>
      </c>
      <c r="U61" s="3"/>
      <c r="V61" s="3"/>
      <c r="W61" s="3"/>
      <c r="X61" s="3"/>
      <c r="Y61" s="3" t="s">
        <v>249</v>
      </c>
      <c r="Z61" s="3" t="s">
        <v>250</v>
      </c>
      <c r="AA61" s="3" t="s">
        <v>383</v>
      </c>
      <c r="AB61" s="3" t="s">
        <v>245</v>
      </c>
      <c r="AC61" s="3" t="s">
        <v>313</v>
      </c>
    </row>
    <row r="62" customFormat="false" ht="23.85" hidden="false" customHeight="false" outlineLevel="0" collapsed="false">
      <c r="A62" s="24" t="s">
        <v>682</v>
      </c>
      <c r="B62" s="3" t="s">
        <v>683</v>
      </c>
      <c r="C62" s="3" t="s">
        <v>684</v>
      </c>
      <c r="D62" s="3" t="s">
        <v>685</v>
      </c>
      <c r="E62" s="3" t="s">
        <v>99</v>
      </c>
      <c r="F62" s="3" t="s">
        <v>100</v>
      </c>
      <c r="G62" s="3" t="s">
        <v>196</v>
      </c>
      <c r="H62" s="3" t="s">
        <v>197</v>
      </c>
      <c r="I62" s="3" t="n">
        <v>8</v>
      </c>
      <c r="J62" s="3" t="n">
        <v>59</v>
      </c>
      <c r="K62" s="3" t="s">
        <v>56</v>
      </c>
      <c r="L62" s="3" t="s">
        <v>336</v>
      </c>
      <c r="M62" s="3" t="s">
        <v>337</v>
      </c>
      <c r="N62" s="3" t="s">
        <v>686</v>
      </c>
      <c r="O62" s="3" t="s">
        <v>259</v>
      </c>
      <c r="P62" s="3" t="s">
        <v>278</v>
      </c>
      <c r="Q62" s="3" t="s">
        <v>244</v>
      </c>
      <c r="R62" s="3" t="s">
        <v>245</v>
      </c>
      <c r="S62" s="3" t="s">
        <v>312</v>
      </c>
      <c r="T62" s="3" t="s">
        <v>247</v>
      </c>
      <c r="U62" s="3"/>
      <c r="V62" s="3"/>
      <c r="W62" s="3"/>
      <c r="X62" s="3"/>
      <c r="Y62" s="3" t="s">
        <v>249</v>
      </c>
      <c r="Z62" s="3" t="s">
        <v>250</v>
      </c>
      <c r="AA62" s="3" t="s">
        <v>245</v>
      </c>
      <c r="AB62" s="3" t="s">
        <v>687</v>
      </c>
      <c r="AC62" s="3" t="s">
        <v>265</v>
      </c>
    </row>
    <row r="63" customFormat="false" ht="23.85" hidden="false" customHeight="false" outlineLevel="0" collapsed="false">
      <c r="A63" s="24" t="s">
        <v>688</v>
      </c>
      <c r="B63" s="3" t="s">
        <v>689</v>
      </c>
      <c r="C63" s="3" t="s">
        <v>690</v>
      </c>
      <c r="D63" s="3" t="s">
        <v>691</v>
      </c>
      <c r="E63" s="3" t="s">
        <v>99</v>
      </c>
      <c r="F63" s="3" t="s">
        <v>100</v>
      </c>
      <c r="G63" s="3" t="s">
        <v>199</v>
      </c>
      <c r="H63" s="3" t="s">
        <v>200</v>
      </c>
      <c r="I63" s="3" t="n">
        <v>8</v>
      </c>
      <c r="J63" s="3" t="n">
        <v>60</v>
      </c>
      <c r="K63" s="3" t="s">
        <v>57</v>
      </c>
      <c r="L63" s="3" t="s">
        <v>240</v>
      </c>
      <c r="M63" s="3" t="s">
        <v>241</v>
      </c>
      <c r="N63" s="3" t="s">
        <v>258</v>
      </c>
      <c r="O63" s="3" t="s">
        <v>259</v>
      </c>
      <c r="P63" s="3" t="s">
        <v>278</v>
      </c>
      <c r="Q63" s="3" t="s">
        <v>692</v>
      </c>
      <c r="R63" s="3" t="s">
        <v>245</v>
      </c>
      <c r="S63" s="3" t="s">
        <v>693</v>
      </c>
      <c r="T63" s="3" t="s">
        <v>247</v>
      </c>
      <c r="U63" s="3" t="s">
        <v>247</v>
      </c>
      <c r="V63" s="3" t="s">
        <v>247</v>
      </c>
      <c r="W63" s="3" t="s">
        <v>247</v>
      </c>
      <c r="X63" s="3" t="s">
        <v>694</v>
      </c>
      <c r="Y63" s="3" t="s">
        <v>249</v>
      </c>
      <c r="Z63" s="3" t="s">
        <v>250</v>
      </c>
      <c r="AA63" s="3" t="s">
        <v>245</v>
      </c>
      <c r="AB63" s="3" t="s">
        <v>695</v>
      </c>
      <c r="AC63" s="3" t="s">
        <v>265</v>
      </c>
    </row>
    <row r="64" customFormat="false" ht="23.85" hidden="false" customHeight="false" outlineLevel="0" collapsed="false">
      <c r="A64" s="24" t="s">
        <v>696</v>
      </c>
      <c r="B64" s="3" t="s">
        <v>697</v>
      </c>
      <c r="C64" s="3" t="s">
        <v>698</v>
      </c>
      <c r="D64" s="3" t="s">
        <v>699</v>
      </c>
      <c r="E64" s="3" t="s">
        <v>99</v>
      </c>
      <c r="F64" s="3" t="s">
        <v>100</v>
      </c>
      <c r="G64" s="3" t="s">
        <v>196</v>
      </c>
      <c r="H64" s="3" t="s">
        <v>197</v>
      </c>
      <c r="I64" s="3" t="n">
        <v>8</v>
      </c>
      <c r="J64" s="3" t="n">
        <v>61</v>
      </c>
      <c r="K64" s="3" t="s">
        <v>57</v>
      </c>
      <c r="L64" s="3" t="s">
        <v>336</v>
      </c>
      <c r="M64" s="3" t="s">
        <v>337</v>
      </c>
      <c r="N64" s="3" t="s">
        <v>242</v>
      </c>
      <c r="O64" s="3" t="s">
        <v>242</v>
      </c>
      <c r="P64" s="3" t="s">
        <v>278</v>
      </c>
      <c r="Q64" s="3" t="s">
        <v>244</v>
      </c>
      <c r="R64" s="3" t="s">
        <v>245</v>
      </c>
      <c r="S64" s="3" t="s">
        <v>312</v>
      </c>
      <c r="T64" s="3" t="s">
        <v>247</v>
      </c>
      <c r="U64" s="3"/>
      <c r="V64" s="3"/>
      <c r="W64" s="3"/>
      <c r="X64" s="3" t="s">
        <v>496</v>
      </c>
      <c r="Y64" s="3" t="s">
        <v>249</v>
      </c>
      <c r="Z64" s="3" t="s">
        <v>250</v>
      </c>
      <c r="AA64" s="3" t="s">
        <v>245</v>
      </c>
      <c r="AB64" s="3" t="s">
        <v>245</v>
      </c>
      <c r="AC64" s="3" t="s">
        <v>313</v>
      </c>
    </row>
    <row r="65" customFormat="false" ht="46.25" hidden="false" customHeight="false" outlineLevel="0" collapsed="false">
      <c r="A65" s="25" t="s">
        <v>700</v>
      </c>
      <c r="B65" s="3" t="s">
        <v>701</v>
      </c>
      <c r="C65" s="3" t="s">
        <v>702</v>
      </c>
      <c r="D65" s="3" t="s">
        <v>703</v>
      </c>
      <c r="E65" s="3" t="s">
        <v>105</v>
      </c>
      <c r="F65" s="3" t="s">
        <v>106</v>
      </c>
      <c r="G65" s="3" t="s">
        <v>202</v>
      </c>
      <c r="H65" s="3" t="s">
        <v>203</v>
      </c>
      <c r="I65" s="3" t="n">
        <v>9</v>
      </c>
      <c r="J65" s="3" t="n">
        <v>62</v>
      </c>
      <c r="K65" s="3" t="s">
        <v>55</v>
      </c>
      <c r="L65" s="3" t="s">
        <v>240</v>
      </c>
      <c r="M65" s="3" t="s">
        <v>241</v>
      </c>
      <c r="N65" s="3" t="s">
        <v>242</v>
      </c>
      <c r="O65" s="3" t="s">
        <v>242</v>
      </c>
      <c r="P65" s="3" t="s">
        <v>243</v>
      </c>
      <c r="Q65" s="3" t="s">
        <v>704</v>
      </c>
      <c r="R65" s="3" t="s">
        <v>245</v>
      </c>
      <c r="S65" s="3" t="s">
        <v>705</v>
      </c>
      <c r="T65" s="3" t="s">
        <v>262</v>
      </c>
      <c r="U65" s="3" t="s">
        <v>262</v>
      </c>
      <c r="V65" s="3" t="s">
        <v>262</v>
      </c>
      <c r="W65" s="3" t="s">
        <v>262</v>
      </c>
      <c r="X65" s="3" t="s">
        <v>706</v>
      </c>
      <c r="Y65" s="3" t="s">
        <v>322</v>
      </c>
      <c r="Z65" s="3" t="s">
        <v>250</v>
      </c>
      <c r="AA65" s="3" t="s">
        <v>707</v>
      </c>
      <c r="AB65" s="3" t="s">
        <v>708</v>
      </c>
      <c r="AC65" s="3" t="s">
        <v>709</v>
      </c>
    </row>
    <row r="66" customFormat="false" ht="35.05" hidden="false" customHeight="false" outlineLevel="0" collapsed="false">
      <c r="A66" s="25" t="s">
        <v>710</v>
      </c>
      <c r="B66" s="3" t="s">
        <v>711</v>
      </c>
      <c r="C66" s="3" t="s">
        <v>712</v>
      </c>
      <c r="D66" s="3" t="s">
        <v>713</v>
      </c>
      <c r="E66" s="3" t="s">
        <v>105</v>
      </c>
      <c r="F66" s="3" t="s">
        <v>106</v>
      </c>
      <c r="G66" s="3" t="s">
        <v>205</v>
      </c>
      <c r="H66" s="3" t="s">
        <v>206</v>
      </c>
      <c r="I66" s="3" t="n">
        <v>9</v>
      </c>
      <c r="J66" s="3" t="n">
        <v>63</v>
      </c>
      <c r="K66" s="3" t="s">
        <v>55</v>
      </c>
      <c r="L66" s="3" t="s">
        <v>336</v>
      </c>
      <c r="M66" s="3" t="s">
        <v>337</v>
      </c>
      <c r="N66" s="3" t="s">
        <v>714</v>
      </c>
      <c r="O66" s="3" t="s">
        <v>242</v>
      </c>
      <c r="P66" s="3" t="s">
        <v>243</v>
      </c>
      <c r="Q66" s="3" t="s">
        <v>244</v>
      </c>
      <c r="R66" s="3" t="s">
        <v>245</v>
      </c>
      <c r="S66" s="3" t="s">
        <v>715</v>
      </c>
      <c r="T66" s="3" t="s">
        <v>247</v>
      </c>
      <c r="U66" s="3" t="s">
        <v>262</v>
      </c>
      <c r="V66" s="3" t="s">
        <v>262</v>
      </c>
      <c r="W66" s="3" t="s">
        <v>262</v>
      </c>
      <c r="X66" s="3" t="s">
        <v>716</v>
      </c>
      <c r="Y66" s="3" t="s">
        <v>249</v>
      </c>
      <c r="Z66" s="3" t="s">
        <v>250</v>
      </c>
      <c r="AA66" s="3" t="s">
        <v>245</v>
      </c>
      <c r="AB66" s="3" t="s">
        <v>717</v>
      </c>
      <c r="AC66" s="3" t="s">
        <v>265</v>
      </c>
    </row>
    <row r="67" customFormat="false" ht="23.85" hidden="false" customHeight="false" outlineLevel="0" collapsed="false">
      <c r="A67" s="25" t="s">
        <v>718</v>
      </c>
      <c r="B67" s="3" t="s">
        <v>719</v>
      </c>
      <c r="C67" s="3" t="s">
        <v>720</v>
      </c>
      <c r="D67" s="3" t="s">
        <v>721</v>
      </c>
      <c r="E67" s="3" t="s">
        <v>105</v>
      </c>
      <c r="F67" s="3" t="s">
        <v>106</v>
      </c>
      <c r="G67" s="3" t="s">
        <v>208</v>
      </c>
      <c r="H67" s="3" t="s">
        <v>209</v>
      </c>
      <c r="I67" s="3" t="n">
        <v>9</v>
      </c>
      <c r="J67" s="3" t="n">
        <v>64</v>
      </c>
      <c r="K67" s="3" t="s">
        <v>56</v>
      </c>
      <c r="L67" s="3" t="s">
        <v>240</v>
      </c>
      <c r="M67" s="3" t="s">
        <v>241</v>
      </c>
      <c r="N67" s="3" t="s">
        <v>258</v>
      </c>
      <c r="O67" s="3" t="s">
        <v>259</v>
      </c>
      <c r="P67" s="3" t="s">
        <v>243</v>
      </c>
      <c r="Q67" s="3" t="s">
        <v>722</v>
      </c>
      <c r="R67" s="3" t="s">
        <v>245</v>
      </c>
      <c r="S67" s="3" t="s">
        <v>723</v>
      </c>
      <c r="T67" s="3"/>
      <c r="U67" s="3" t="s">
        <v>247</v>
      </c>
      <c r="V67" s="3" t="s">
        <v>247</v>
      </c>
      <c r="W67" s="3"/>
      <c r="X67" s="3"/>
      <c r="Y67" s="3" t="s">
        <v>249</v>
      </c>
      <c r="Z67" s="3" t="s">
        <v>250</v>
      </c>
      <c r="AA67" s="3" t="s">
        <v>724</v>
      </c>
      <c r="AB67" s="3" t="s">
        <v>725</v>
      </c>
      <c r="AC67" s="3" t="s">
        <v>273</v>
      </c>
    </row>
    <row r="68" customFormat="false" ht="23.85" hidden="false" customHeight="false" outlineLevel="0" collapsed="false">
      <c r="A68" s="25" t="s">
        <v>726</v>
      </c>
      <c r="B68" s="3" t="s">
        <v>727</v>
      </c>
      <c r="C68" s="3" t="s">
        <v>728</v>
      </c>
      <c r="D68" s="3" t="s">
        <v>729</v>
      </c>
      <c r="E68" s="3" t="s">
        <v>105</v>
      </c>
      <c r="F68" s="3" t="s">
        <v>106</v>
      </c>
      <c r="G68" s="3" t="s">
        <v>208</v>
      </c>
      <c r="H68" s="3" t="s">
        <v>209</v>
      </c>
      <c r="I68" s="3" t="n">
        <v>9</v>
      </c>
      <c r="J68" s="3" t="n">
        <v>65</v>
      </c>
      <c r="K68" s="3" t="s">
        <v>56</v>
      </c>
      <c r="L68" s="3" t="s">
        <v>240</v>
      </c>
      <c r="M68" s="3" t="s">
        <v>241</v>
      </c>
      <c r="N68" s="3" t="s">
        <v>730</v>
      </c>
      <c r="O68" s="3" t="s">
        <v>731</v>
      </c>
      <c r="P68" s="3" t="s">
        <v>243</v>
      </c>
      <c r="Q68" s="3" t="s">
        <v>244</v>
      </c>
      <c r="R68" s="3" t="s">
        <v>245</v>
      </c>
      <c r="S68" s="3" t="s">
        <v>312</v>
      </c>
      <c r="T68" s="3"/>
      <c r="U68" s="3" t="s">
        <v>247</v>
      </c>
      <c r="V68" s="3" t="s">
        <v>247</v>
      </c>
      <c r="W68" s="3"/>
      <c r="X68" s="3"/>
      <c r="Y68" s="3" t="s">
        <v>249</v>
      </c>
      <c r="Z68" s="3" t="s">
        <v>250</v>
      </c>
      <c r="AA68" s="3" t="s">
        <v>732</v>
      </c>
      <c r="AB68" s="3" t="s">
        <v>733</v>
      </c>
      <c r="AC68" s="3" t="s">
        <v>273</v>
      </c>
    </row>
    <row r="69" customFormat="false" ht="35.05" hidden="false" customHeight="false" outlineLevel="0" collapsed="false">
      <c r="A69" s="25" t="s">
        <v>734</v>
      </c>
      <c r="B69" s="3" t="s">
        <v>735</v>
      </c>
      <c r="C69" s="3" t="s">
        <v>736</v>
      </c>
      <c r="D69" s="3" t="s">
        <v>737</v>
      </c>
      <c r="E69" s="3" t="s">
        <v>105</v>
      </c>
      <c r="F69" s="3" t="s">
        <v>106</v>
      </c>
      <c r="G69" s="3" t="s">
        <v>205</v>
      </c>
      <c r="H69" s="3" t="s">
        <v>206</v>
      </c>
      <c r="I69" s="3" t="n">
        <v>9</v>
      </c>
      <c r="J69" s="3" t="n">
        <v>66</v>
      </c>
      <c r="K69" s="3" t="s">
        <v>56</v>
      </c>
      <c r="L69" s="3" t="s">
        <v>336</v>
      </c>
      <c r="M69" s="3" t="s">
        <v>337</v>
      </c>
      <c r="N69" s="3" t="s">
        <v>620</v>
      </c>
      <c r="O69" s="3" t="s">
        <v>566</v>
      </c>
      <c r="P69" s="3" t="s">
        <v>243</v>
      </c>
      <c r="Q69" s="3" t="s">
        <v>738</v>
      </c>
      <c r="R69" s="3" t="s">
        <v>245</v>
      </c>
      <c r="S69" s="3" t="s">
        <v>536</v>
      </c>
      <c r="T69" s="3"/>
      <c r="U69" s="3" t="s">
        <v>247</v>
      </c>
      <c r="V69" s="3" t="s">
        <v>247</v>
      </c>
      <c r="W69" s="3" t="s">
        <v>247</v>
      </c>
      <c r="X69" s="3" t="s">
        <v>739</v>
      </c>
      <c r="Y69" s="3" t="s">
        <v>621</v>
      </c>
      <c r="Z69" s="3" t="s">
        <v>622</v>
      </c>
      <c r="AA69" s="3" t="s">
        <v>740</v>
      </c>
      <c r="AB69" s="3" t="s">
        <v>741</v>
      </c>
      <c r="AC69" s="3" t="s">
        <v>265</v>
      </c>
    </row>
    <row r="70" customFormat="false" ht="35.05" hidden="false" customHeight="false" outlineLevel="0" collapsed="false">
      <c r="A70" s="25" t="s">
        <v>742</v>
      </c>
      <c r="B70" s="3" t="s">
        <v>743</v>
      </c>
      <c r="C70" s="3" t="s">
        <v>744</v>
      </c>
      <c r="D70" s="3" t="s">
        <v>745</v>
      </c>
      <c r="E70" s="3" t="s">
        <v>105</v>
      </c>
      <c r="F70" s="3" t="s">
        <v>106</v>
      </c>
      <c r="G70" s="3" t="s">
        <v>202</v>
      </c>
      <c r="H70" s="3" t="s">
        <v>203</v>
      </c>
      <c r="I70" s="3" t="n">
        <v>9</v>
      </c>
      <c r="J70" s="3" t="n">
        <v>67</v>
      </c>
      <c r="K70" s="3" t="s">
        <v>57</v>
      </c>
      <c r="L70" s="3" t="s">
        <v>240</v>
      </c>
      <c r="M70" s="3" t="s">
        <v>241</v>
      </c>
      <c r="N70" s="3" t="s">
        <v>242</v>
      </c>
      <c r="O70" s="3" t="s">
        <v>242</v>
      </c>
      <c r="P70" s="3" t="s">
        <v>243</v>
      </c>
      <c r="Q70" s="3" t="s">
        <v>746</v>
      </c>
      <c r="R70" s="3" t="s">
        <v>245</v>
      </c>
      <c r="S70" s="3" t="s">
        <v>747</v>
      </c>
      <c r="T70" s="3" t="s">
        <v>247</v>
      </c>
      <c r="U70" s="3" t="s">
        <v>247</v>
      </c>
      <c r="V70" s="3" t="s">
        <v>247</v>
      </c>
      <c r="W70" s="3" t="s">
        <v>247</v>
      </c>
      <c r="X70" s="3"/>
      <c r="Y70" s="3" t="s">
        <v>249</v>
      </c>
      <c r="Z70" s="3" t="s">
        <v>250</v>
      </c>
      <c r="AA70" s="3" t="s">
        <v>748</v>
      </c>
      <c r="AB70" s="3" t="s">
        <v>749</v>
      </c>
      <c r="AC70" s="3" t="s">
        <v>253</v>
      </c>
    </row>
  </sheetData>
  <dataValidations count="2">
    <dataValidation allowBlank="true" errorStyle="stop" operator="between" showDropDown="false" showErrorMessage="false" showInputMessage="false" sqref="T4:W70" type="list">
      <formula1>"M,C"</formula1>
      <formula2>0</formula2>
    </dataValidation>
    <dataValidation allowBlank="false" errorStyle="stop" operator="between" showDropDown="false" showErrorMessage="false" showInputMessage="false" sqref="K4:K70" type="list">
      <formula1>"T1,T2,T3"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26"/>
    <col collapsed="false" customWidth="true" hidden="false" outlineLevel="0" max="4" min="4" style="0" width="8"/>
  </cols>
  <sheetData>
    <row r="1" customFormat="false" ht="15" hidden="false" customHeight="false" outlineLevel="0" collapsed="false">
      <c r="A1" s="5" t="s">
        <v>750</v>
      </c>
    </row>
    <row r="3" customFormat="false" ht="30" hidden="false" customHeight="true" outlineLevel="0" collapsed="false">
      <c r="A3" s="6" t="s">
        <v>213</v>
      </c>
      <c r="B3" s="6" t="s">
        <v>751</v>
      </c>
      <c r="C3" s="6" t="s">
        <v>752</v>
      </c>
      <c r="D3" s="6" t="s">
        <v>753</v>
      </c>
    </row>
    <row r="4" customFormat="false" ht="15" hidden="false" customHeight="false" outlineLevel="0" collapsed="false">
      <c r="A4" s="3" t="s">
        <v>236</v>
      </c>
      <c r="B4" s="3" t="s">
        <v>754</v>
      </c>
      <c r="C4" s="3" t="s">
        <v>755</v>
      </c>
      <c r="D4" s="3" t="n">
        <v>1</v>
      </c>
    </row>
    <row r="5" customFormat="false" ht="15" hidden="false" customHeight="false" outlineLevel="0" collapsed="false">
      <c r="A5" s="3" t="s">
        <v>236</v>
      </c>
      <c r="B5" s="3" t="s">
        <v>756</v>
      </c>
      <c r="C5" s="3" t="s">
        <v>693</v>
      </c>
      <c r="D5" s="3" t="n">
        <v>2</v>
      </c>
    </row>
    <row r="6" customFormat="false" ht="15" hidden="false" customHeight="false" outlineLevel="0" collapsed="false">
      <c r="A6" s="3" t="s">
        <v>236</v>
      </c>
      <c r="B6" s="3" t="s">
        <v>757</v>
      </c>
      <c r="C6" s="3" t="s">
        <v>758</v>
      </c>
      <c r="D6" s="3" t="n">
        <v>3</v>
      </c>
    </row>
    <row r="7" customFormat="false" ht="15" hidden="false" customHeight="false" outlineLevel="0" collapsed="false">
      <c r="A7" s="3" t="s">
        <v>236</v>
      </c>
      <c r="B7" s="3" t="s">
        <v>759</v>
      </c>
      <c r="C7" s="3" t="s">
        <v>284</v>
      </c>
      <c r="D7" s="3" t="n">
        <v>4</v>
      </c>
    </row>
    <row r="8" customFormat="false" ht="15" hidden="false" customHeight="false" outlineLevel="0" collapsed="false">
      <c r="A8" s="3" t="s">
        <v>254</v>
      </c>
      <c r="B8" s="3" t="s">
        <v>760</v>
      </c>
      <c r="C8" s="3" t="s">
        <v>761</v>
      </c>
      <c r="D8" s="3" t="n">
        <v>1</v>
      </c>
    </row>
    <row r="9" customFormat="false" ht="15" hidden="false" customHeight="false" outlineLevel="0" collapsed="false">
      <c r="A9" s="3" t="s">
        <v>254</v>
      </c>
      <c r="B9" s="3" t="s">
        <v>762</v>
      </c>
      <c r="C9" s="3" t="s">
        <v>763</v>
      </c>
      <c r="D9" s="3" t="n">
        <v>2</v>
      </c>
    </row>
    <row r="10" customFormat="false" ht="15" hidden="false" customHeight="false" outlineLevel="0" collapsed="false">
      <c r="A10" s="3" t="s">
        <v>266</v>
      </c>
      <c r="B10" s="3" t="s">
        <v>764</v>
      </c>
      <c r="C10" s="3" t="s">
        <v>765</v>
      </c>
      <c r="D10" s="3" t="n">
        <v>1</v>
      </c>
    </row>
    <row r="11" customFormat="false" ht="15" hidden="false" customHeight="false" outlineLevel="0" collapsed="false">
      <c r="A11" s="3" t="s">
        <v>266</v>
      </c>
      <c r="B11" s="3" t="s">
        <v>766</v>
      </c>
      <c r="C11" s="3" t="s">
        <v>312</v>
      </c>
      <c r="D11" s="3" t="n">
        <v>2</v>
      </c>
    </row>
    <row r="12" customFormat="false" ht="15" hidden="false" customHeight="false" outlineLevel="0" collapsed="false">
      <c r="A12" s="3" t="s">
        <v>280</v>
      </c>
      <c r="B12" s="3" t="s">
        <v>759</v>
      </c>
      <c r="C12" s="3" t="s">
        <v>284</v>
      </c>
      <c r="D12" s="3" t="n">
        <v>1</v>
      </c>
    </row>
    <row r="13" customFormat="false" ht="15" hidden="false" customHeight="false" outlineLevel="0" collapsed="false">
      <c r="A13" s="3" t="s">
        <v>286</v>
      </c>
      <c r="B13" s="3" t="s">
        <v>767</v>
      </c>
      <c r="C13" s="3" t="s">
        <v>290</v>
      </c>
      <c r="D13" s="3" t="n">
        <v>1</v>
      </c>
    </row>
    <row r="14" customFormat="false" ht="15" hidden="false" customHeight="false" outlineLevel="0" collapsed="false">
      <c r="A14" s="3" t="s">
        <v>293</v>
      </c>
      <c r="B14" s="3" t="s">
        <v>754</v>
      </c>
      <c r="C14" s="3" t="s">
        <v>755</v>
      </c>
      <c r="D14" s="3" t="n">
        <v>1</v>
      </c>
    </row>
    <row r="15" customFormat="false" ht="15" hidden="false" customHeight="false" outlineLevel="0" collapsed="false">
      <c r="A15" s="3" t="s">
        <v>293</v>
      </c>
      <c r="B15" s="3" t="s">
        <v>756</v>
      </c>
      <c r="C15" s="3" t="s">
        <v>693</v>
      </c>
      <c r="D15" s="3" t="n">
        <v>2</v>
      </c>
    </row>
    <row r="16" customFormat="false" ht="15" hidden="false" customHeight="false" outlineLevel="0" collapsed="false">
      <c r="A16" s="3" t="s">
        <v>293</v>
      </c>
      <c r="B16" s="3" t="s">
        <v>768</v>
      </c>
      <c r="C16" s="3" t="s">
        <v>769</v>
      </c>
      <c r="D16" s="3" t="n">
        <v>3</v>
      </c>
    </row>
    <row r="17" customFormat="false" ht="15" hidden="false" customHeight="false" outlineLevel="0" collapsed="false">
      <c r="A17" s="3" t="s">
        <v>300</v>
      </c>
      <c r="B17" s="3" t="s">
        <v>754</v>
      </c>
      <c r="C17" s="3" t="s">
        <v>755</v>
      </c>
      <c r="D17" s="3" t="n">
        <v>1</v>
      </c>
    </row>
    <row r="18" customFormat="false" ht="15" hidden="false" customHeight="false" outlineLevel="0" collapsed="false">
      <c r="A18" s="3" t="s">
        <v>300</v>
      </c>
      <c r="B18" s="3" t="s">
        <v>756</v>
      </c>
      <c r="C18" s="3" t="s">
        <v>693</v>
      </c>
      <c r="D18" s="3" t="n">
        <v>2</v>
      </c>
    </row>
    <row r="19" customFormat="false" ht="15" hidden="false" customHeight="false" outlineLevel="0" collapsed="false">
      <c r="A19" s="3" t="s">
        <v>300</v>
      </c>
      <c r="B19" s="3" t="s">
        <v>770</v>
      </c>
      <c r="C19" s="3" t="s">
        <v>771</v>
      </c>
      <c r="D19" s="3" t="n">
        <v>3</v>
      </c>
    </row>
    <row r="20" customFormat="false" ht="15" hidden="false" customHeight="false" outlineLevel="0" collapsed="false">
      <c r="A20" s="3" t="s">
        <v>300</v>
      </c>
      <c r="B20" s="3" t="s">
        <v>764</v>
      </c>
      <c r="C20" s="3" t="s">
        <v>765</v>
      </c>
      <c r="D20" s="3" t="n">
        <v>4</v>
      </c>
    </row>
    <row r="21" customFormat="false" ht="15" hidden="false" customHeight="false" outlineLevel="0" collapsed="false">
      <c r="A21" s="3" t="s">
        <v>308</v>
      </c>
      <c r="B21" s="3" t="s">
        <v>766</v>
      </c>
      <c r="C21" s="3" t="s">
        <v>312</v>
      </c>
      <c r="D21" s="3" t="n">
        <v>1</v>
      </c>
    </row>
    <row r="22" customFormat="false" ht="15" hidden="false" customHeight="false" outlineLevel="0" collapsed="false">
      <c r="A22" s="3" t="s">
        <v>314</v>
      </c>
      <c r="B22" s="3" t="s">
        <v>772</v>
      </c>
      <c r="C22" s="3" t="s">
        <v>773</v>
      </c>
      <c r="D22" s="3" t="n">
        <v>1</v>
      </c>
    </row>
    <row r="23" customFormat="false" ht="15" hidden="false" customHeight="false" outlineLevel="0" collapsed="false">
      <c r="A23" s="3" t="s">
        <v>314</v>
      </c>
      <c r="B23" s="3" t="s">
        <v>774</v>
      </c>
      <c r="C23" s="3" t="s">
        <v>396</v>
      </c>
      <c r="D23" s="3" t="n">
        <v>2</v>
      </c>
    </row>
    <row r="24" customFormat="false" ht="15" hidden="false" customHeight="false" outlineLevel="0" collapsed="false">
      <c r="A24" s="3" t="s">
        <v>314</v>
      </c>
      <c r="B24" s="3" t="s">
        <v>775</v>
      </c>
      <c r="C24" s="3" t="s">
        <v>460</v>
      </c>
      <c r="D24" s="3" t="n">
        <v>3</v>
      </c>
    </row>
    <row r="25" customFormat="false" ht="15" hidden="false" customHeight="false" outlineLevel="0" collapsed="false">
      <c r="A25" s="3" t="s">
        <v>325</v>
      </c>
      <c r="B25" s="3" t="s">
        <v>776</v>
      </c>
      <c r="C25" s="3" t="s">
        <v>777</v>
      </c>
      <c r="D25" s="3" t="n">
        <v>1</v>
      </c>
    </row>
    <row r="26" customFormat="false" ht="15" hidden="false" customHeight="false" outlineLevel="0" collapsed="false">
      <c r="A26" s="3" t="s">
        <v>325</v>
      </c>
      <c r="B26" s="3" t="s">
        <v>774</v>
      </c>
      <c r="C26" s="3" t="s">
        <v>396</v>
      </c>
      <c r="D26" s="3" t="n">
        <v>2</v>
      </c>
    </row>
    <row r="27" customFormat="false" ht="15" hidden="false" customHeight="false" outlineLevel="0" collapsed="false">
      <c r="A27" s="3" t="s">
        <v>325</v>
      </c>
      <c r="B27" s="3" t="s">
        <v>775</v>
      </c>
      <c r="C27" s="3" t="s">
        <v>460</v>
      </c>
      <c r="D27" s="3" t="n">
        <v>3</v>
      </c>
    </row>
    <row r="28" customFormat="false" ht="15" hidden="false" customHeight="false" outlineLevel="0" collapsed="false">
      <c r="A28" s="3" t="s">
        <v>332</v>
      </c>
      <c r="B28" s="3" t="s">
        <v>778</v>
      </c>
      <c r="C28" s="3" t="s">
        <v>364</v>
      </c>
      <c r="D28" s="3" t="n">
        <v>1</v>
      </c>
    </row>
    <row r="29" customFormat="false" ht="15" hidden="false" customHeight="false" outlineLevel="0" collapsed="false">
      <c r="A29" s="3" t="s">
        <v>332</v>
      </c>
      <c r="B29" s="3" t="s">
        <v>774</v>
      </c>
      <c r="C29" s="3" t="s">
        <v>396</v>
      </c>
      <c r="D29" s="3" t="n">
        <v>2</v>
      </c>
    </row>
    <row r="30" customFormat="false" ht="15" hidden="false" customHeight="false" outlineLevel="0" collapsed="false">
      <c r="A30" s="3" t="s">
        <v>332</v>
      </c>
      <c r="B30" s="3" t="s">
        <v>775</v>
      </c>
      <c r="C30" s="3" t="s">
        <v>460</v>
      </c>
      <c r="D30" s="3" t="n">
        <v>3</v>
      </c>
    </row>
    <row r="31" customFormat="false" ht="15" hidden="false" customHeight="false" outlineLevel="0" collapsed="false">
      <c r="A31" s="3" t="s">
        <v>342</v>
      </c>
      <c r="B31" s="3" t="s">
        <v>779</v>
      </c>
      <c r="C31" s="3" t="s">
        <v>780</v>
      </c>
      <c r="D31" s="3" t="n">
        <v>1</v>
      </c>
    </row>
    <row r="32" customFormat="false" ht="15" hidden="false" customHeight="false" outlineLevel="0" collapsed="false">
      <c r="A32" s="3" t="s">
        <v>342</v>
      </c>
      <c r="B32" s="3" t="s">
        <v>774</v>
      </c>
      <c r="C32" s="3" t="s">
        <v>396</v>
      </c>
      <c r="D32" s="3" t="n">
        <v>2</v>
      </c>
    </row>
    <row r="33" customFormat="false" ht="15" hidden="false" customHeight="false" outlineLevel="0" collapsed="false">
      <c r="A33" s="3" t="s">
        <v>342</v>
      </c>
      <c r="B33" s="3" t="s">
        <v>775</v>
      </c>
      <c r="C33" s="3" t="s">
        <v>460</v>
      </c>
      <c r="D33" s="3" t="n">
        <v>3</v>
      </c>
    </row>
    <row r="34" customFormat="false" ht="15" hidden="false" customHeight="false" outlineLevel="0" collapsed="false">
      <c r="A34" s="3" t="s">
        <v>349</v>
      </c>
      <c r="B34" s="3" t="s">
        <v>781</v>
      </c>
      <c r="C34" s="3" t="s">
        <v>782</v>
      </c>
      <c r="D34" s="3" t="n">
        <v>1</v>
      </c>
    </row>
    <row r="35" customFormat="false" ht="15" hidden="false" customHeight="false" outlineLevel="0" collapsed="false">
      <c r="A35" s="3" t="s">
        <v>349</v>
      </c>
      <c r="B35" s="3" t="s">
        <v>774</v>
      </c>
      <c r="C35" s="3" t="s">
        <v>396</v>
      </c>
      <c r="D35" s="3" t="n">
        <v>2</v>
      </c>
    </row>
    <row r="36" customFormat="false" ht="15" hidden="false" customHeight="false" outlineLevel="0" collapsed="false">
      <c r="A36" s="3" t="s">
        <v>360</v>
      </c>
      <c r="B36" s="3" t="s">
        <v>778</v>
      </c>
      <c r="C36" s="3" t="s">
        <v>364</v>
      </c>
      <c r="D36" s="3" t="n">
        <v>1</v>
      </c>
    </row>
    <row r="37" customFormat="false" ht="15" hidden="false" customHeight="false" outlineLevel="0" collapsed="false">
      <c r="A37" s="3" t="s">
        <v>376</v>
      </c>
      <c r="B37" s="3" t="s">
        <v>783</v>
      </c>
      <c r="C37" s="3" t="s">
        <v>784</v>
      </c>
      <c r="D37" s="3" t="n">
        <v>1</v>
      </c>
    </row>
    <row r="38" customFormat="false" ht="15" hidden="false" customHeight="false" outlineLevel="0" collapsed="false">
      <c r="A38" s="3" t="s">
        <v>376</v>
      </c>
      <c r="B38" s="3" t="s">
        <v>785</v>
      </c>
      <c r="C38" s="3" t="s">
        <v>390</v>
      </c>
      <c r="D38" s="3" t="n">
        <v>2</v>
      </c>
    </row>
    <row r="39" customFormat="false" ht="15" hidden="false" customHeight="false" outlineLevel="0" collapsed="false">
      <c r="A39" s="3" t="s">
        <v>385</v>
      </c>
      <c r="B39" s="3" t="s">
        <v>785</v>
      </c>
      <c r="C39" s="3" t="s">
        <v>390</v>
      </c>
      <c r="D39" s="3" t="n">
        <v>1</v>
      </c>
    </row>
    <row r="40" customFormat="false" ht="15" hidden="false" customHeight="false" outlineLevel="0" collapsed="false">
      <c r="A40" s="3" t="s">
        <v>392</v>
      </c>
      <c r="B40" s="3" t="s">
        <v>774</v>
      </c>
      <c r="C40" s="3" t="s">
        <v>396</v>
      </c>
      <c r="D40" s="3" t="n">
        <v>1</v>
      </c>
    </row>
    <row r="41" customFormat="false" ht="15" hidden="false" customHeight="false" outlineLevel="0" collapsed="false">
      <c r="A41" s="3" t="s">
        <v>400</v>
      </c>
      <c r="B41" s="3" t="s">
        <v>766</v>
      </c>
      <c r="C41" s="3" t="s">
        <v>312</v>
      </c>
      <c r="D41" s="3" t="n">
        <v>1</v>
      </c>
    </row>
    <row r="42" customFormat="false" ht="15" hidden="false" customHeight="false" outlineLevel="0" collapsed="false">
      <c r="A42" s="3" t="s">
        <v>406</v>
      </c>
      <c r="B42" s="3" t="s">
        <v>766</v>
      </c>
      <c r="C42" s="3" t="s">
        <v>312</v>
      </c>
      <c r="D42" s="3" t="n">
        <v>1</v>
      </c>
    </row>
    <row r="43" customFormat="false" ht="15" hidden="false" customHeight="false" outlineLevel="0" collapsed="false">
      <c r="A43" s="3" t="s">
        <v>411</v>
      </c>
      <c r="B43" s="3" t="s">
        <v>766</v>
      </c>
      <c r="C43" s="3" t="s">
        <v>312</v>
      </c>
      <c r="D43" s="3" t="n">
        <v>1</v>
      </c>
    </row>
    <row r="44" customFormat="false" ht="15" hidden="false" customHeight="false" outlineLevel="0" collapsed="false">
      <c r="A44" s="3" t="s">
        <v>417</v>
      </c>
      <c r="B44" s="3" t="s">
        <v>766</v>
      </c>
      <c r="C44" s="3" t="s">
        <v>312</v>
      </c>
      <c r="D44" s="3" t="n">
        <v>1</v>
      </c>
    </row>
    <row r="45" customFormat="false" ht="15" hidden="false" customHeight="false" outlineLevel="0" collapsed="false">
      <c r="A45" s="3" t="s">
        <v>422</v>
      </c>
      <c r="B45" s="3" t="s">
        <v>786</v>
      </c>
      <c r="C45" s="3" t="s">
        <v>487</v>
      </c>
      <c r="D45" s="3" t="n">
        <v>1</v>
      </c>
    </row>
    <row r="46" customFormat="false" ht="15" hidden="false" customHeight="false" outlineLevel="0" collapsed="false">
      <c r="A46" s="3" t="s">
        <v>422</v>
      </c>
      <c r="B46" s="3" t="s">
        <v>787</v>
      </c>
      <c r="C46" s="3" t="s">
        <v>788</v>
      </c>
      <c r="D46" s="3" t="n">
        <v>2</v>
      </c>
    </row>
    <row r="47" customFormat="false" ht="15" hidden="false" customHeight="false" outlineLevel="0" collapsed="false">
      <c r="A47" s="3" t="s">
        <v>432</v>
      </c>
      <c r="B47" s="3" t="s">
        <v>789</v>
      </c>
      <c r="C47" s="3" t="s">
        <v>790</v>
      </c>
      <c r="D47" s="3" t="n">
        <v>1</v>
      </c>
    </row>
    <row r="48" customFormat="false" ht="15" hidden="false" customHeight="false" outlineLevel="0" collapsed="false">
      <c r="A48" s="3" t="s">
        <v>432</v>
      </c>
      <c r="B48" s="3" t="s">
        <v>791</v>
      </c>
      <c r="C48" s="3" t="s">
        <v>792</v>
      </c>
      <c r="D48" s="3" t="n">
        <v>2</v>
      </c>
    </row>
    <row r="49" customFormat="false" ht="15" hidden="false" customHeight="false" outlineLevel="0" collapsed="false">
      <c r="A49" s="3" t="s">
        <v>440</v>
      </c>
      <c r="B49" s="3" t="s">
        <v>793</v>
      </c>
      <c r="C49" s="3" t="s">
        <v>794</v>
      </c>
      <c r="D49" s="3" t="n">
        <v>1</v>
      </c>
    </row>
    <row r="50" customFormat="false" ht="15" hidden="false" customHeight="false" outlineLevel="0" collapsed="false">
      <c r="A50" s="3" t="s">
        <v>440</v>
      </c>
      <c r="B50" s="3" t="s">
        <v>754</v>
      </c>
      <c r="C50" s="3" t="s">
        <v>755</v>
      </c>
      <c r="D50" s="3" t="n">
        <v>2</v>
      </c>
    </row>
    <row r="51" customFormat="false" ht="15" hidden="false" customHeight="false" outlineLevel="0" collapsed="false">
      <c r="A51" s="3" t="s">
        <v>440</v>
      </c>
      <c r="B51" s="3" t="s">
        <v>756</v>
      </c>
      <c r="C51" s="3" t="s">
        <v>693</v>
      </c>
      <c r="D51" s="3" t="n">
        <v>3</v>
      </c>
    </row>
    <row r="52" customFormat="false" ht="15" hidden="false" customHeight="false" outlineLevel="0" collapsed="false">
      <c r="A52" s="3" t="s">
        <v>448</v>
      </c>
      <c r="B52" s="3" t="s">
        <v>775</v>
      </c>
      <c r="C52" s="3" t="s">
        <v>460</v>
      </c>
      <c r="D52" s="3" t="n">
        <v>1</v>
      </c>
    </row>
    <row r="53" customFormat="false" ht="15" hidden="false" customHeight="false" outlineLevel="0" collapsed="false">
      <c r="A53" s="3" t="s">
        <v>448</v>
      </c>
      <c r="B53" s="3" t="s">
        <v>793</v>
      </c>
      <c r="C53" s="3" t="s">
        <v>794</v>
      </c>
      <c r="D53" s="3" t="n">
        <v>2</v>
      </c>
    </row>
    <row r="54" customFormat="false" ht="15" hidden="false" customHeight="false" outlineLevel="0" collapsed="false">
      <c r="A54" s="3" t="s">
        <v>448</v>
      </c>
      <c r="B54" s="3" t="s">
        <v>754</v>
      </c>
      <c r="C54" s="3" t="s">
        <v>755</v>
      </c>
      <c r="D54" s="3" t="n">
        <v>3</v>
      </c>
    </row>
    <row r="55" customFormat="false" ht="15" hidden="false" customHeight="false" outlineLevel="0" collapsed="false">
      <c r="A55" s="3" t="s">
        <v>448</v>
      </c>
      <c r="B55" s="3" t="s">
        <v>756</v>
      </c>
      <c r="C55" s="3" t="s">
        <v>693</v>
      </c>
      <c r="D55" s="3" t="n">
        <v>4</v>
      </c>
    </row>
    <row r="56" customFormat="false" ht="15" hidden="false" customHeight="false" outlineLevel="0" collapsed="false">
      <c r="A56" s="3" t="s">
        <v>455</v>
      </c>
      <c r="B56" s="3" t="s">
        <v>775</v>
      </c>
      <c r="C56" s="3" t="s">
        <v>460</v>
      </c>
      <c r="D56" s="3" t="n">
        <v>1</v>
      </c>
    </row>
    <row r="57" customFormat="false" ht="15" hidden="false" customHeight="false" outlineLevel="0" collapsed="false">
      <c r="A57" s="3" t="s">
        <v>461</v>
      </c>
      <c r="B57" s="3" t="s">
        <v>795</v>
      </c>
      <c r="C57" s="3" t="s">
        <v>796</v>
      </c>
      <c r="D57" s="3" t="n">
        <v>1</v>
      </c>
    </row>
    <row r="58" customFormat="false" ht="15" hidden="false" customHeight="false" outlineLevel="0" collapsed="false">
      <c r="A58" s="3" t="s">
        <v>461</v>
      </c>
      <c r="B58" s="3" t="s">
        <v>791</v>
      </c>
      <c r="C58" s="3" t="s">
        <v>792</v>
      </c>
      <c r="D58" s="3" t="n">
        <v>2</v>
      </c>
    </row>
    <row r="59" customFormat="false" ht="15" hidden="false" customHeight="false" outlineLevel="0" collapsed="false">
      <c r="A59" s="3" t="s">
        <v>475</v>
      </c>
      <c r="B59" s="3" t="s">
        <v>797</v>
      </c>
      <c r="C59" s="3" t="s">
        <v>482</v>
      </c>
      <c r="D59" s="3" t="n">
        <v>1</v>
      </c>
    </row>
    <row r="60" customFormat="false" ht="15" hidden="false" customHeight="false" outlineLevel="0" collapsed="false">
      <c r="A60" s="3" t="s">
        <v>483</v>
      </c>
      <c r="B60" s="3" t="s">
        <v>786</v>
      </c>
      <c r="C60" s="3" t="s">
        <v>487</v>
      </c>
      <c r="D60" s="3" t="n">
        <v>1</v>
      </c>
    </row>
    <row r="61" customFormat="false" ht="15" hidden="false" customHeight="false" outlineLevel="0" collapsed="false">
      <c r="A61" s="3" t="s">
        <v>489</v>
      </c>
      <c r="B61" s="3" t="s">
        <v>754</v>
      </c>
      <c r="C61" s="3" t="s">
        <v>755</v>
      </c>
      <c r="D61" s="3" t="n">
        <v>1</v>
      </c>
    </row>
    <row r="62" customFormat="false" ht="15" hidden="false" customHeight="false" outlineLevel="0" collapsed="false">
      <c r="A62" s="3" t="s">
        <v>489</v>
      </c>
      <c r="B62" s="3" t="s">
        <v>797</v>
      </c>
      <c r="C62" s="3" t="s">
        <v>482</v>
      </c>
      <c r="D62" s="3" t="n">
        <v>2</v>
      </c>
    </row>
    <row r="63" customFormat="false" ht="15" hidden="false" customHeight="false" outlineLevel="0" collapsed="false">
      <c r="A63" s="3" t="s">
        <v>497</v>
      </c>
      <c r="B63" s="3" t="s">
        <v>798</v>
      </c>
      <c r="C63" s="3" t="s">
        <v>501</v>
      </c>
      <c r="D63" s="3" t="n">
        <v>1</v>
      </c>
    </row>
    <row r="64" customFormat="false" ht="15" hidden="false" customHeight="false" outlineLevel="0" collapsed="false">
      <c r="A64" s="3" t="s">
        <v>504</v>
      </c>
      <c r="B64" s="3" t="s">
        <v>798</v>
      </c>
      <c r="C64" s="3" t="s">
        <v>501</v>
      </c>
      <c r="D64" s="3" t="n">
        <v>1</v>
      </c>
    </row>
    <row r="65" customFormat="false" ht="15" hidden="false" customHeight="false" outlineLevel="0" collapsed="false">
      <c r="A65" s="3" t="s">
        <v>512</v>
      </c>
      <c r="B65" s="3" t="s">
        <v>799</v>
      </c>
      <c r="C65" s="3" t="s">
        <v>516</v>
      </c>
      <c r="D65" s="3" t="n">
        <v>1</v>
      </c>
    </row>
    <row r="66" customFormat="false" ht="15" hidden="false" customHeight="false" outlineLevel="0" collapsed="false">
      <c r="A66" s="3" t="s">
        <v>519</v>
      </c>
      <c r="B66" s="3" t="s">
        <v>766</v>
      </c>
      <c r="C66" s="3" t="s">
        <v>312</v>
      </c>
      <c r="D66" s="3" t="n">
        <v>1</v>
      </c>
    </row>
    <row r="67" customFormat="false" ht="15" hidden="false" customHeight="false" outlineLevel="0" collapsed="false">
      <c r="A67" s="3" t="s">
        <v>525</v>
      </c>
      <c r="B67" s="3" t="s">
        <v>766</v>
      </c>
      <c r="C67" s="3" t="s">
        <v>312</v>
      </c>
      <c r="D67" s="3" t="n">
        <v>1</v>
      </c>
    </row>
    <row r="68" customFormat="false" ht="15" hidden="false" customHeight="false" outlineLevel="0" collapsed="false">
      <c r="A68" s="3" t="s">
        <v>532</v>
      </c>
      <c r="B68" s="3" t="s">
        <v>754</v>
      </c>
      <c r="C68" s="3" t="s">
        <v>755</v>
      </c>
      <c r="D68" s="3" t="n">
        <v>1</v>
      </c>
    </row>
    <row r="69" customFormat="false" ht="15" hidden="false" customHeight="false" outlineLevel="0" collapsed="false">
      <c r="A69" s="3" t="s">
        <v>532</v>
      </c>
      <c r="B69" s="3" t="s">
        <v>756</v>
      </c>
      <c r="C69" s="3" t="s">
        <v>693</v>
      </c>
      <c r="D69" s="3" t="n">
        <v>2</v>
      </c>
    </row>
    <row r="70" customFormat="false" ht="15" hidden="false" customHeight="false" outlineLevel="0" collapsed="false">
      <c r="A70" s="3" t="s">
        <v>540</v>
      </c>
      <c r="B70" s="3" t="s">
        <v>800</v>
      </c>
      <c r="C70" s="3" t="s">
        <v>544</v>
      </c>
      <c r="D70" s="3" t="n">
        <v>1</v>
      </c>
    </row>
    <row r="71" customFormat="false" ht="15" hidden="false" customHeight="false" outlineLevel="0" collapsed="false">
      <c r="A71" s="3" t="s">
        <v>547</v>
      </c>
      <c r="B71" s="3" t="s">
        <v>801</v>
      </c>
      <c r="C71" s="3" t="s">
        <v>551</v>
      </c>
      <c r="D71" s="3" t="n">
        <v>1</v>
      </c>
    </row>
    <row r="72" customFormat="false" ht="15" hidden="false" customHeight="false" outlineLevel="0" collapsed="false">
      <c r="A72" s="3" t="s">
        <v>554</v>
      </c>
      <c r="B72" s="3" t="s">
        <v>799</v>
      </c>
      <c r="C72" s="3" t="s">
        <v>516</v>
      </c>
      <c r="D72" s="3" t="n">
        <v>1</v>
      </c>
    </row>
    <row r="73" customFormat="false" ht="15" hidden="false" customHeight="false" outlineLevel="0" collapsed="false">
      <c r="A73" s="3" t="s">
        <v>554</v>
      </c>
      <c r="B73" s="3" t="s">
        <v>802</v>
      </c>
      <c r="C73" s="3" t="s">
        <v>803</v>
      </c>
      <c r="D73" s="3" t="n">
        <v>2</v>
      </c>
    </row>
    <row r="74" customFormat="false" ht="15" hidden="false" customHeight="false" outlineLevel="0" collapsed="false">
      <c r="A74" s="3" t="s">
        <v>561</v>
      </c>
      <c r="B74" s="3" t="s">
        <v>766</v>
      </c>
      <c r="C74" s="3" t="s">
        <v>312</v>
      </c>
      <c r="D74" s="3" t="n">
        <v>1</v>
      </c>
    </row>
    <row r="75" customFormat="false" ht="15" hidden="false" customHeight="false" outlineLevel="0" collapsed="false">
      <c r="A75" s="3" t="s">
        <v>570</v>
      </c>
      <c r="B75" s="3" t="s">
        <v>804</v>
      </c>
      <c r="C75" s="3" t="s">
        <v>598</v>
      </c>
      <c r="D75" s="3" t="n">
        <v>1</v>
      </c>
    </row>
    <row r="76" customFormat="false" ht="15" hidden="false" customHeight="false" outlineLevel="0" collapsed="false">
      <c r="A76" s="3" t="s">
        <v>570</v>
      </c>
      <c r="B76" s="3" t="s">
        <v>766</v>
      </c>
      <c r="C76" s="3" t="s">
        <v>312</v>
      </c>
      <c r="D76" s="3" t="n">
        <v>2</v>
      </c>
    </row>
    <row r="77" customFormat="false" ht="15" hidden="false" customHeight="false" outlineLevel="0" collapsed="false">
      <c r="A77" s="3" t="s">
        <v>579</v>
      </c>
      <c r="B77" s="3" t="s">
        <v>804</v>
      </c>
      <c r="C77" s="3" t="s">
        <v>598</v>
      </c>
      <c r="D77" s="3" t="n">
        <v>1</v>
      </c>
    </row>
    <row r="78" customFormat="false" ht="15" hidden="false" customHeight="false" outlineLevel="0" collapsed="false">
      <c r="A78" s="3" t="s">
        <v>579</v>
      </c>
      <c r="B78" s="3" t="s">
        <v>774</v>
      </c>
      <c r="C78" s="3" t="s">
        <v>396</v>
      </c>
      <c r="D78" s="3" t="n">
        <v>2</v>
      </c>
    </row>
    <row r="79" customFormat="false" ht="15" hidden="false" customHeight="false" outlineLevel="0" collapsed="false">
      <c r="A79" s="3" t="s">
        <v>579</v>
      </c>
      <c r="B79" s="3" t="s">
        <v>775</v>
      </c>
      <c r="C79" s="3" t="s">
        <v>460</v>
      </c>
      <c r="D79" s="3" t="n">
        <v>3</v>
      </c>
    </row>
    <row r="80" customFormat="false" ht="15" hidden="false" customHeight="false" outlineLevel="0" collapsed="false">
      <c r="A80" s="3" t="s">
        <v>586</v>
      </c>
      <c r="B80" s="3" t="s">
        <v>774</v>
      </c>
      <c r="C80" s="3" t="s">
        <v>396</v>
      </c>
      <c r="D80" s="3" t="n">
        <v>1</v>
      </c>
    </row>
    <row r="81" customFormat="false" ht="15" hidden="false" customHeight="false" outlineLevel="0" collapsed="false">
      <c r="A81" s="3" t="s">
        <v>586</v>
      </c>
      <c r="B81" s="3" t="s">
        <v>775</v>
      </c>
      <c r="C81" s="3" t="s">
        <v>460</v>
      </c>
      <c r="D81" s="3" t="n">
        <v>2</v>
      </c>
    </row>
    <row r="82" customFormat="false" ht="15" hidden="false" customHeight="false" outlineLevel="0" collapsed="false">
      <c r="A82" s="3" t="s">
        <v>593</v>
      </c>
      <c r="B82" s="3" t="s">
        <v>804</v>
      </c>
      <c r="C82" s="3" t="s">
        <v>598</v>
      </c>
      <c r="D82" s="3" t="n">
        <v>1</v>
      </c>
    </row>
    <row r="83" customFormat="false" ht="15" hidden="false" customHeight="false" outlineLevel="0" collapsed="false">
      <c r="A83" s="3" t="s">
        <v>601</v>
      </c>
      <c r="B83" s="3" t="s">
        <v>804</v>
      </c>
      <c r="C83" s="3" t="s">
        <v>598</v>
      </c>
      <c r="D83" s="3" t="n">
        <v>1</v>
      </c>
    </row>
    <row r="84" customFormat="false" ht="15" hidden="false" customHeight="false" outlineLevel="0" collapsed="false">
      <c r="A84" s="3" t="s">
        <v>607</v>
      </c>
      <c r="B84" s="3" t="s">
        <v>804</v>
      </c>
      <c r="C84" s="3" t="s">
        <v>598</v>
      </c>
      <c r="D84" s="3" t="n">
        <v>1</v>
      </c>
    </row>
    <row r="85" customFormat="false" ht="15" hidden="false" customHeight="false" outlineLevel="0" collapsed="false">
      <c r="A85" s="3" t="s">
        <v>616</v>
      </c>
      <c r="B85" s="3" t="s">
        <v>804</v>
      </c>
      <c r="C85" s="3" t="s">
        <v>598</v>
      </c>
      <c r="D85" s="3" t="n">
        <v>1</v>
      </c>
    </row>
    <row r="86" customFormat="false" ht="15" hidden="false" customHeight="false" outlineLevel="0" collapsed="false">
      <c r="A86" s="3" t="s">
        <v>625</v>
      </c>
      <c r="B86" s="3" t="s">
        <v>804</v>
      </c>
      <c r="C86" s="3" t="s">
        <v>598</v>
      </c>
      <c r="D86" s="3" t="n">
        <v>1</v>
      </c>
    </row>
    <row r="87" customFormat="false" ht="15" hidden="false" customHeight="false" outlineLevel="0" collapsed="false">
      <c r="A87" s="3" t="s">
        <v>631</v>
      </c>
      <c r="B87" s="3" t="s">
        <v>805</v>
      </c>
      <c r="C87" s="3" t="s">
        <v>644</v>
      </c>
      <c r="D87" s="3" t="n">
        <v>1</v>
      </c>
    </row>
    <row r="88" customFormat="false" ht="15" hidden="false" customHeight="false" outlineLevel="0" collapsed="false">
      <c r="A88" s="3" t="s">
        <v>631</v>
      </c>
      <c r="B88" s="3" t="s">
        <v>766</v>
      </c>
      <c r="C88" s="3" t="s">
        <v>312</v>
      </c>
      <c r="D88" s="3" t="n">
        <v>2</v>
      </c>
    </row>
    <row r="89" customFormat="false" ht="15" hidden="false" customHeight="false" outlineLevel="0" collapsed="false">
      <c r="A89" s="3" t="s">
        <v>639</v>
      </c>
      <c r="B89" s="3" t="s">
        <v>805</v>
      </c>
      <c r="C89" s="3" t="s">
        <v>644</v>
      </c>
      <c r="D89" s="3" t="n">
        <v>1</v>
      </c>
    </row>
    <row r="90" customFormat="false" ht="15" hidden="false" customHeight="false" outlineLevel="0" collapsed="false">
      <c r="A90" s="3" t="s">
        <v>647</v>
      </c>
      <c r="B90" s="3" t="s">
        <v>805</v>
      </c>
      <c r="C90" s="3" t="s">
        <v>644</v>
      </c>
      <c r="D90" s="3" t="n">
        <v>1</v>
      </c>
    </row>
    <row r="91" customFormat="false" ht="15" hidden="false" customHeight="false" outlineLevel="0" collapsed="false">
      <c r="A91" s="3" t="s">
        <v>652</v>
      </c>
      <c r="B91" s="3" t="s">
        <v>805</v>
      </c>
      <c r="C91" s="3" t="s">
        <v>644</v>
      </c>
      <c r="D91" s="3" t="n">
        <v>1</v>
      </c>
    </row>
    <row r="92" customFormat="false" ht="15" hidden="false" customHeight="false" outlineLevel="0" collapsed="false">
      <c r="A92" s="3" t="s">
        <v>657</v>
      </c>
      <c r="B92" s="3" t="s">
        <v>766</v>
      </c>
      <c r="C92" s="3" t="s">
        <v>312</v>
      </c>
      <c r="D92" s="3" t="n">
        <v>1</v>
      </c>
    </row>
    <row r="93" customFormat="false" ht="15" hidden="false" customHeight="false" outlineLevel="0" collapsed="false">
      <c r="A93" s="3" t="s">
        <v>669</v>
      </c>
      <c r="B93" s="3" t="s">
        <v>766</v>
      </c>
      <c r="C93" s="3" t="s">
        <v>312</v>
      </c>
      <c r="D93" s="3" t="n">
        <v>1</v>
      </c>
    </row>
    <row r="94" customFormat="false" ht="15" hidden="false" customHeight="false" outlineLevel="0" collapsed="false">
      <c r="A94" s="3" t="s">
        <v>682</v>
      </c>
      <c r="B94" s="3" t="s">
        <v>766</v>
      </c>
      <c r="C94" s="3" t="s">
        <v>312</v>
      </c>
      <c r="D94" s="3" t="n">
        <v>1</v>
      </c>
    </row>
    <row r="95" customFormat="false" ht="15" hidden="false" customHeight="false" outlineLevel="0" collapsed="false">
      <c r="A95" s="3" t="s">
        <v>688</v>
      </c>
      <c r="B95" s="3" t="s">
        <v>756</v>
      </c>
      <c r="C95" s="3" t="s">
        <v>693</v>
      </c>
      <c r="D95" s="3" t="n">
        <v>1</v>
      </c>
    </row>
    <row r="96" customFormat="false" ht="15" hidden="false" customHeight="false" outlineLevel="0" collapsed="false">
      <c r="A96" s="3" t="s">
        <v>696</v>
      </c>
      <c r="B96" s="3" t="s">
        <v>766</v>
      </c>
      <c r="C96" s="3" t="s">
        <v>312</v>
      </c>
      <c r="D96" s="3" t="n">
        <v>1</v>
      </c>
    </row>
    <row r="97" customFormat="false" ht="15" hidden="false" customHeight="false" outlineLevel="0" collapsed="false">
      <c r="A97" s="3" t="s">
        <v>700</v>
      </c>
      <c r="B97" s="3" t="s">
        <v>754</v>
      </c>
      <c r="C97" s="3" t="s">
        <v>755</v>
      </c>
      <c r="D97" s="3" t="n">
        <v>1</v>
      </c>
    </row>
    <row r="98" customFormat="false" ht="15" hidden="false" customHeight="false" outlineLevel="0" collapsed="false">
      <c r="A98" s="3" t="s">
        <v>700</v>
      </c>
      <c r="B98" s="3" t="s">
        <v>756</v>
      </c>
      <c r="C98" s="3" t="s">
        <v>693</v>
      </c>
      <c r="D98" s="3" t="n">
        <v>2</v>
      </c>
    </row>
    <row r="99" customFormat="false" ht="15" hidden="false" customHeight="false" outlineLevel="0" collapsed="false">
      <c r="A99" s="3" t="s">
        <v>700</v>
      </c>
      <c r="B99" s="3" t="s">
        <v>806</v>
      </c>
      <c r="C99" s="3" t="s">
        <v>807</v>
      </c>
      <c r="D99" s="3" t="n">
        <v>3</v>
      </c>
    </row>
    <row r="100" customFormat="false" ht="15" hidden="false" customHeight="false" outlineLevel="0" collapsed="false">
      <c r="A100" s="3" t="s">
        <v>700</v>
      </c>
      <c r="B100" s="3" t="s">
        <v>793</v>
      </c>
      <c r="C100" s="3" t="s">
        <v>794</v>
      </c>
      <c r="D100" s="3" t="n">
        <v>4</v>
      </c>
    </row>
    <row r="101" customFormat="false" ht="15" hidden="false" customHeight="false" outlineLevel="0" collapsed="false">
      <c r="A101" s="3" t="s">
        <v>700</v>
      </c>
      <c r="B101" s="3" t="s">
        <v>766</v>
      </c>
      <c r="C101" s="3" t="s">
        <v>312</v>
      </c>
      <c r="D101" s="3" t="n">
        <v>5</v>
      </c>
    </row>
    <row r="102" customFormat="false" ht="15" hidden="false" customHeight="false" outlineLevel="0" collapsed="false">
      <c r="A102" s="3" t="s">
        <v>710</v>
      </c>
      <c r="B102" s="3" t="s">
        <v>754</v>
      </c>
      <c r="C102" s="3" t="s">
        <v>755</v>
      </c>
      <c r="D102" s="3" t="n">
        <v>1</v>
      </c>
    </row>
    <row r="103" customFormat="false" ht="15" hidden="false" customHeight="false" outlineLevel="0" collapsed="false">
      <c r="A103" s="3" t="s">
        <v>710</v>
      </c>
      <c r="B103" s="3" t="s">
        <v>791</v>
      </c>
      <c r="C103" s="3" t="s">
        <v>792</v>
      </c>
      <c r="D103" s="3" t="n">
        <v>2</v>
      </c>
    </row>
    <row r="104" customFormat="false" ht="15" hidden="false" customHeight="false" outlineLevel="0" collapsed="false">
      <c r="A104" s="3" t="s">
        <v>718</v>
      </c>
      <c r="B104" s="3" t="s">
        <v>808</v>
      </c>
      <c r="C104" s="3" t="s">
        <v>809</v>
      </c>
      <c r="D104" s="3" t="n">
        <v>1</v>
      </c>
    </row>
    <row r="105" customFormat="false" ht="15" hidden="false" customHeight="false" outlineLevel="0" collapsed="false">
      <c r="A105" s="3" t="s">
        <v>718</v>
      </c>
      <c r="B105" s="3" t="s">
        <v>810</v>
      </c>
      <c r="C105" s="3" t="s">
        <v>811</v>
      </c>
      <c r="D105" s="3" t="n">
        <v>2</v>
      </c>
    </row>
    <row r="106" customFormat="false" ht="15" hidden="false" customHeight="false" outlineLevel="0" collapsed="false">
      <c r="A106" s="3" t="s">
        <v>718</v>
      </c>
      <c r="B106" s="3" t="s">
        <v>766</v>
      </c>
      <c r="C106" s="3" t="s">
        <v>312</v>
      </c>
      <c r="D106" s="3" t="n">
        <v>3</v>
      </c>
    </row>
    <row r="107" customFormat="false" ht="15" hidden="false" customHeight="false" outlineLevel="0" collapsed="false">
      <c r="A107" s="3" t="s">
        <v>726</v>
      </c>
      <c r="B107" s="3" t="s">
        <v>766</v>
      </c>
      <c r="C107" s="3" t="s">
        <v>312</v>
      </c>
      <c r="D107" s="3" t="n">
        <v>1</v>
      </c>
    </row>
    <row r="108" customFormat="false" ht="15" hidden="false" customHeight="false" outlineLevel="0" collapsed="false">
      <c r="A108" s="3" t="s">
        <v>734</v>
      </c>
      <c r="B108" s="3" t="s">
        <v>754</v>
      </c>
      <c r="C108" s="3" t="s">
        <v>755</v>
      </c>
      <c r="D108" s="3" t="n">
        <v>1</v>
      </c>
    </row>
    <row r="109" customFormat="false" ht="15" hidden="false" customHeight="false" outlineLevel="0" collapsed="false">
      <c r="A109" s="3" t="s">
        <v>734</v>
      </c>
      <c r="B109" s="3" t="s">
        <v>756</v>
      </c>
      <c r="C109" s="3" t="s">
        <v>693</v>
      </c>
      <c r="D109" s="3" t="n">
        <v>2</v>
      </c>
    </row>
    <row r="110" customFormat="false" ht="15" hidden="false" customHeight="false" outlineLevel="0" collapsed="false">
      <c r="A110" s="3" t="s">
        <v>742</v>
      </c>
      <c r="B110" s="3" t="s">
        <v>812</v>
      </c>
      <c r="C110" s="3" t="s">
        <v>813</v>
      </c>
      <c r="D110" s="3" t="n">
        <v>1</v>
      </c>
    </row>
    <row r="111" customFormat="false" ht="15" hidden="false" customHeight="false" outlineLevel="0" collapsed="false">
      <c r="A111" s="3" t="s">
        <v>742</v>
      </c>
      <c r="B111" s="3" t="s">
        <v>766</v>
      </c>
      <c r="C111" s="3" t="s">
        <v>312</v>
      </c>
      <c r="D111" s="3" t="n">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3" min="3" style="0" width="30"/>
    <col collapsed="false" customWidth="true" hidden="false" outlineLevel="0" max="4" min="4" style="0" width="90"/>
    <col collapsed="false" customWidth="true" hidden="false" outlineLevel="0" max="5" min="5" style="0" width="14"/>
  </cols>
  <sheetData>
    <row r="1" customFormat="false" ht="15" hidden="false" customHeight="false" outlineLevel="0" collapsed="false">
      <c r="A1" s="5" t="s">
        <v>814</v>
      </c>
    </row>
    <row r="2" customFormat="false" ht="15" hidden="false" customHeight="false" outlineLevel="0" collapsed="false">
      <c r="A2" s="16" t="s">
        <v>815</v>
      </c>
    </row>
    <row r="3" customFormat="false" ht="30" hidden="false" customHeight="true" outlineLevel="0" collapsed="false">
      <c r="A3" s="6" t="s">
        <v>751</v>
      </c>
      <c r="B3" s="6" t="s">
        <v>752</v>
      </c>
      <c r="C3" s="6" t="s">
        <v>816</v>
      </c>
      <c r="D3" s="6" t="s">
        <v>817</v>
      </c>
      <c r="E3" s="6" t="s">
        <v>818</v>
      </c>
    </row>
    <row r="4" customFormat="false" ht="15" hidden="false" customHeight="false" outlineLevel="0" collapsed="false">
      <c r="A4" s="3" t="s">
        <v>754</v>
      </c>
      <c r="B4" s="3" t="s">
        <v>755</v>
      </c>
      <c r="C4" s="3" t="s">
        <v>819</v>
      </c>
      <c r="D4" s="3" t="s">
        <v>820</v>
      </c>
      <c r="E4" s="3" t="n">
        <f aca="false">COUNTIFS(04_IndicatorDisaggregations!$B$4:$B$111,A4)</f>
        <v>10</v>
      </c>
    </row>
    <row r="5" customFormat="false" ht="15" hidden="false" customHeight="false" outlineLevel="0" collapsed="false">
      <c r="A5" s="3" t="s">
        <v>756</v>
      </c>
      <c r="B5" s="3" t="s">
        <v>693</v>
      </c>
      <c r="C5" s="3" t="s">
        <v>821</v>
      </c>
      <c r="D5" s="3" t="s">
        <v>822</v>
      </c>
      <c r="E5" s="3" t="n">
        <f aca="false">COUNTIFS(04_IndicatorDisaggregations!$B$4:$B$111,A5)</f>
        <v>9</v>
      </c>
    </row>
    <row r="6" customFormat="false" ht="15" hidden="false" customHeight="false" outlineLevel="0" collapsed="false">
      <c r="A6" s="3" t="s">
        <v>766</v>
      </c>
      <c r="B6" s="3" t="s">
        <v>312</v>
      </c>
      <c r="C6" s="3" t="s">
        <v>823</v>
      </c>
      <c r="D6" s="3" t="s">
        <v>824</v>
      </c>
      <c r="E6" s="3" t="n">
        <f aca="false">COUNTIFS(04_IndicatorDisaggregations!$B$4:$B$111,A6)</f>
        <v>19</v>
      </c>
    </row>
    <row r="7" customFormat="false" ht="15" hidden="false" customHeight="false" outlineLevel="0" collapsed="false">
      <c r="A7" s="3" t="s">
        <v>806</v>
      </c>
      <c r="B7" s="3" t="s">
        <v>807</v>
      </c>
      <c r="C7" s="3" t="s">
        <v>825</v>
      </c>
      <c r="D7" s="3" t="s">
        <v>826</v>
      </c>
      <c r="E7" s="3" t="n">
        <f aca="false">COUNTIFS(04_IndicatorDisaggregations!$B$4:$B$111,A7)</f>
        <v>1</v>
      </c>
    </row>
    <row r="8" customFormat="false" ht="15" hidden="false" customHeight="false" outlineLevel="0" collapsed="false">
      <c r="A8" s="3" t="s">
        <v>774</v>
      </c>
      <c r="B8" s="3" t="s">
        <v>396</v>
      </c>
      <c r="C8" s="3" t="s">
        <v>827</v>
      </c>
      <c r="D8" s="3" t="s">
        <v>828</v>
      </c>
      <c r="E8" s="3" t="n">
        <f aca="false">COUNTIFS(04_IndicatorDisaggregations!$B$4:$B$111,A8)</f>
        <v>8</v>
      </c>
    </row>
    <row r="9" customFormat="false" ht="23.85" hidden="false" customHeight="false" outlineLevel="0" collapsed="false">
      <c r="A9" s="3" t="s">
        <v>775</v>
      </c>
      <c r="B9" s="3" t="s">
        <v>460</v>
      </c>
      <c r="C9" s="3" t="s">
        <v>829</v>
      </c>
      <c r="D9" s="3" t="s">
        <v>830</v>
      </c>
      <c r="E9" s="3" t="n">
        <f aca="false">COUNTIFS(04_IndicatorDisaggregations!$B$4:$B$111,A9)</f>
        <v>8</v>
      </c>
    </row>
    <row r="10" customFormat="false" ht="15" hidden="false" customHeight="false" outlineLevel="0" collapsed="false">
      <c r="A10" s="3" t="s">
        <v>793</v>
      </c>
      <c r="B10" s="3" t="s">
        <v>794</v>
      </c>
      <c r="C10" s="3" t="s">
        <v>831</v>
      </c>
      <c r="D10" s="3" t="s">
        <v>832</v>
      </c>
      <c r="E10" s="3" t="n">
        <f aca="false">COUNTIFS(04_IndicatorDisaggregations!$B$4:$B$111,A10)</f>
        <v>3</v>
      </c>
    </row>
    <row r="11" customFormat="false" ht="23.85" hidden="false" customHeight="false" outlineLevel="0" collapsed="false">
      <c r="A11" s="3" t="s">
        <v>757</v>
      </c>
      <c r="B11" s="3" t="s">
        <v>758</v>
      </c>
      <c r="C11" s="3" t="s">
        <v>833</v>
      </c>
      <c r="D11" s="3" t="s">
        <v>834</v>
      </c>
      <c r="E11" s="3" t="n">
        <f aca="false">COUNTIFS(04_IndicatorDisaggregations!$B$4:$B$111,A11)</f>
        <v>1</v>
      </c>
    </row>
    <row r="12" customFormat="false" ht="15" hidden="false" customHeight="false" outlineLevel="0" collapsed="false">
      <c r="A12" s="3" t="s">
        <v>759</v>
      </c>
      <c r="B12" s="3" t="s">
        <v>284</v>
      </c>
      <c r="C12" s="3" t="s">
        <v>835</v>
      </c>
      <c r="D12" s="3" t="s">
        <v>836</v>
      </c>
      <c r="E12" s="3" t="n">
        <f aca="false">COUNTIFS(04_IndicatorDisaggregations!$B$4:$B$111,A12)</f>
        <v>2</v>
      </c>
    </row>
    <row r="13" customFormat="false" ht="15" hidden="false" customHeight="false" outlineLevel="0" collapsed="false">
      <c r="A13" s="3" t="s">
        <v>760</v>
      </c>
      <c r="B13" s="3" t="s">
        <v>761</v>
      </c>
      <c r="C13" s="3" t="s">
        <v>837</v>
      </c>
      <c r="D13" s="3" t="s">
        <v>838</v>
      </c>
      <c r="E13" s="3" t="n">
        <f aca="false">COUNTIFS(04_IndicatorDisaggregations!$B$4:$B$111,A13)</f>
        <v>1</v>
      </c>
    </row>
    <row r="14" customFormat="false" ht="15" hidden="false" customHeight="false" outlineLevel="0" collapsed="false">
      <c r="A14" s="3" t="s">
        <v>762</v>
      </c>
      <c r="B14" s="3" t="s">
        <v>763</v>
      </c>
      <c r="C14" s="3" t="s">
        <v>839</v>
      </c>
      <c r="D14" s="3" t="s">
        <v>840</v>
      </c>
      <c r="E14" s="3" t="n">
        <f aca="false">COUNTIFS(04_IndicatorDisaggregations!$B$4:$B$111,A14)</f>
        <v>1</v>
      </c>
    </row>
    <row r="15" customFormat="false" ht="15" hidden="false" customHeight="false" outlineLevel="0" collapsed="false">
      <c r="A15" s="3" t="s">
        <v>764</v>
      </c>
      <c r="B15" s="3" t="s">
        <v>765</v>
      </c>
      <c r="C15" s="3" t="s">
        <v>841</v>
      </c>
      <c r="D15" s="3" t="s">
        <v>842</v>
      </c>
      <c r="E15" s="3" t="n">
        <f aca="false">COUNTIFS(04_IndicatorDisaggregations!$B$4:$B$111,A15)</f>
        <v>2</v>
      </c>
    </row>
    <row r="16" customFormat="false" ht="15" hidden="false" customHeight="false" outlineLevel="0" collapsed="false">
      <c r="A16" s="3" t="s">
        <v>770</v>
      </c>
      <c r="B16" s="3" t="s">
        <v>771</v>
      </c>
      <c r="C16" s="3" t="s">
        <v>843</v>
      </c>
      <c r="D16" s="3" t="s">
        <v>844</v>
      </c>
      <c r="E16" s="3" t="n">
        <f aca="false">COUNTIFS(04_IndicatorDisaggregations!$B$4:$B$111,A16)</f>
        <v>1</v>
      </c>
    </row>
    <row r="17" customFormat="false" ht="15" hidden="false" customHeight="false" outlineLevel="0" collapsed="false">
      <c r="A17" s="3" t="s">
        <v>798</v>
      </c>
      <c r="B17" s="3" t="s">
        <v>501</v>
      </c>
      <c r="C17" s="3" t="s">
        <v>845</v>
      </c>
      <c r="D17" s="3" t="s">
        <v>846</v>
      </c>
      <c r="E17" s="3" t="n">
        <f aca="false">COUNTIFS(04_IndicatorDisaggregations!$B$4:$B$111,A17)</f>
        <v>2</v>
      </c>
    </row>
    <row r="18" customFormat="false" ht="15" hidden="false" customHeight="false" outlineLevel="0" collapsed="false">
      <c r="A18" s="3" t="s">
        <v>799</v>
      </c>
      <c r="B18" s="3" t="s">
        <v>516</v>
      </c>
      <c r="C18" s="3" t="s">
        <v>847</v>
      </c>
      <c r="D18" s="3" t="s">
        <v>848</v>
      </c>
      <c r="E18" s="3" t="n">
        <f aca="false">COUNTIFS(04_IndicatorDisaggregations!$B$4:$B$111,A18)</f>
        <v>2</v>
      </c>
    </row>
    <row r="19" customFormat="false" ht="15" hidden="false" customHeight="false" outlineLevel="0" collapsed="false">
      <c r="A19" s="3" t="s">
        <v>802</v>
      </c>
      <c r="B19" s="3" t="s">
        <v>803</v>
      </c>
      <c r="C19" s="3" t="s">
        <v>849</v>
      </c>
      <c r="D19" s="3" t="s">
        <v>850</v>
      </c>
      <c r="E19" s="3" t="n">
        <f aca="false">COUNTIFS(04_IndicatorDisaggregations!$B$4:$B$111,A19)</f>
        <v>1</v>
      </c>
    </row>
    <row r="20" customFormat="false" ht="15" hidden="false" customHeight="false" outlineLevel="0" collapsed="false">
      <c r="A20" s="3" t="s">
        <v>801</v>
      </c>
      <c r="B20" s="3" t="s">
        <v>551</v>
      </c>
      <c r="C20" s="3" t="s">
        <v>851</v>
      </c>
      <c r="D20" s="3" t="s">
        <v>852</v>
      </c>
      <c r="E20" s="3" t="n">
        <f aca="false">COUNTIFS(04_IndicatorDisaggregations!$B$4:$B$111,A20)</f>
        <v>1</v>
      </c>
    </row>
    <row r="21" customFormat="false" ht="15" hidden="false" customHeight="false" outlineLevel="0" collapsed="false">
      <c r="A21" s="3" t="s">
        <v>800</v>
      </c>
      <c r="B21" s="3" t="s">
        <v>544</v>
      </c>
      <c r="C21" s="3" t="s">
        <v>853</v>
      </c>
      <c r="D21" s="3" t="s">
        <v>854</v>
      </c>
      <c r="E21" s="3" t="n">
        <f aca="false">COUNTIFS(04_IndicatorDisaggregations!$B$4:$B$111,A21)</f>
        <v>1</v>
      </c>
    </row>
    <row r="22" customFormat="false" ht="15" hidden="false" customHeight="false" outlineLevel="0" collapsed="false">
      <c r="A22" s="3" t="s">
        <v>808</v>
      </c>
      <c r="B22" s="3" t="s">
        <v>809</v>
      </c>
      <c r="C22" s="3" t="s">
        <v>855</v>
      </c>
      <c r="D22" s="3" t="s">
        <v>856</v>
      </c>
      <c r="E22" s="3" t="n">
        <f aca="false">COUNTIFS(04_IndicatorDisaggregations!$B$4:$B$111,A22)</f>
        <v>1</v>
      </c>
    </row>
    <row r="23" customFormat="false" ht="15" hidden="false" customHeight="false" outlineLevel="0" collapsed="false">
      <c r="A23" s="3" t="s">
        <v>810</v>
      </c>
      <c r="B23" s="3" t="s">
        <v>811</v>
      </c>
      <c r="C23" s="3" t="s">
        <v>857</v>
      </c>
      <c r="D23" s="3" t="s">
        <v>858</v>
      </c>
      <c r="E23" s="3" t="n">
        <f aca="false">COUNTIFS(04_IndicatorDisaggregations!$B$4:$B$111,A23)</f>
        <v>1</v>
      </c>
    </row>
    <row r="24" customFormat="false" ht="15" hidden="false" customHeight="false" outlineLevel="0" collapsed="false">
      <c r="A24" s="3" t="s">
        <v>776</v>
      </c>
      <c r="B24" s="3" t="s">
        <v>777</v>
      </c>
      <c r="C24" s="3" t="s">
        <v>859</v>
      </c>
      <c r="D24" s="3" t="s">
        <v>860</v>
      </c>
      <c r="E24" s="3" t="n">
        <f aca="false">COUNTIFS(04_IndicatorDisaggregations!$B$4:$B$111,A24)</f>
        <v>1</v>
      </c>
    </row>
    <row r="25" customFormat="false" ht="15" hidden="false" customHeight="false" outlineLevel="0" collapsed="false">
      <c r="A25" s="3" t="s">
        <v>772</v>
      </c>
      <c r="B25" s="3" t="s">
        <v>773</v>
      </c>
      <c r="C25" s="3" t="s">
        <v>861</v>
      </c>
      <c r="D25" s="3" t="s">
        <v>862</v>
      </c>
      <c r="E25" s="3" t="n">
        <f aca="false">COUNTIFS(04_IndicatorDisaggregations!$B$4:$B$111,A25)</f>
        <v>1</v>
      </c>
    </row>
    <row r="26" customFormat="false" ht="15" hidden="false" customHeight="false" outlineLevel="0" collapsed="false">
      <c r="A26" s="3" t="s">
        <v>778</v>
      </c>
      <c r="B26" s="3" t="s">
        <v>364</v>
      </c>
      <c r="C26" s="3" t="s">
        <v>863</v>
      </c>
      <c r="D26" s="3" t="s">
        <v>864</v>
      </c>
      <c r="E26" s="3" t="n">
        <f aca="false">COUNTIFS(04_IndicatorDisaggregations!$B$4:$B$111,A26)</f>
        <v>2</v>
      </c>
    </row>
    <row r="27" customFormat="false" ht="15" hidden="false" customHeight="false" outlineLevel="0" collapsed="false">
      <c r="A27" s="3" t="s">
        <v>779</v>
      </c>
      <c r="B27" s="3" t="s">
        <v>780</v>
      </c>
      <c r="C27" s="3" t="s">
        <v>865</v>
      </c>
      <c r="D27" s="3" t="s">
        <v>866</v>
      </c>
      <c r="E27" s="3" t="n">
        <f aca="false">COUNTIFS(04_IndicatorDisaggregations!$B$4:$B$111,A27)</f>
        <v>1</v>
      </c>
    </row>
    <row r="28" customFormat="false" ht="15" hidden="false" customHeight="false" outlineLevel="0" collapsed="false">
      <c r="A28" s="3" t="s">
        <v>781</v>
      </c>
      <c r="B28" s="3" t="s">
        <v>782</v>
      </c>
      <c r="C28" s="3" t="s">
        <v>867</v>
      </c>
      <c r="D28" s="3" t="s">
        <v>868</v>
      </c>
      <c r="E28" s="3" t="n">
        <f aca="false">COUNTIFS(04_IndicatorDisaggregations!$B$4:$B$111,A28)</f>
        <v>1</v>
      </c>
    </row>
    <row r="29" customFormat="false" ht="15" hidden="false" customHeight="false" outlineLevel="0" collapsed="false">
      <c r="A29" s="3" t="s">
        <v>783</v>
      </c>
      <c r="B29" s="3" t="s">
        <v>784</v>
      </c>
      <c r="C29" s="3" t="s">
        <v>869</v>
      </c>
      <c r="D29" s="3" t="s">
        <v>870</v>
      </c>
      <c r="E29" s="3" t="n">
        <f aca="false">COUNTIFS(04_IndicatorDisaggregations!$B$4:$B$111,A29)</f>
        <v>1</v>
      </c>
    </row>
    <row r="30" customFormat="false" ht="15" hidden="false" customHeight="false" outlineLevel="0" collapsed="false">
      <c r="A30" s="3" t="s">
        <v>785</v>
      </c>
      <c r="B30" s="3" t="s">
        <v>390</v>
      </c>
      <c r="C30" s="3" t="s">
        <v>871</v>
      </c>
      <c r="D30" s="3" t="s">
        <v>872</v>
      </c>
      <c r="E30" s="3" t="n">
        <f aca="false">COUNTIFS(04_IndicatorDisaggregations!$B$4:$B$111,A30)</f>
        <v>2</v>
      </c>
    </row>
    <row r="31" customFormat="false" ht="15" hidden="false" customHeight="false" outlineLevel="0" collapsed="false">
      <c r="A31" s="3" t="s">
        <v>804</v>
      </c>
      <c r="B31" s="3" t="s">
        <v>598</v>
      </c>
      <c r="C31" s="3" t="s">
        <v>873</v>
      </c>
      <c r="D31" s="3" t="s">
        <v>874</v>
      </c>
      <c r="E31" s="3" t="n">
        <f aca="false">COUNTIFS(04_IndicatorDisaggregations!$B$4:$B$111,A31)</f>
        <v>7</v>
      </c>
    </row>
    <row r="32" customFormat="false" ht="15" hidden="false" customHeight="false" outlineLevel="0" collapsed="false">
      <c r="A32" s="3" t="s">
        <v>797</v>
      </c>
      <c r="B32" s="3" t="s">
        <v>482</v>
      </c>
      <c r="C32" s="3" t="s">
        <v>875</v>
      </c>
      <c r="D32" s="3" t="s">
        <v>876</v>
      </c>
      <c r="E32" s="3" t="n">
        <f aca="false">COUNTIFS(04_IndicatorDisaggregations!$B$4:$B$111,A32)</f>
        <v>2</v>
      </c>
    </row>
    <row r="33" customFormat="false" ht="15" hidden="false" customHeight="false" outlineLevel="0" collapsed="false">
      <c r="A33" s="3" t="s">
        <v>805</v>
      </c>
      <c r="B33" s="3" t="s">
        <v>644</v>
      </c>
      <c r="C33" s="3" t="s">
        <v>877</v>
      </c>
      <c r="D33" s="3" t="s">
        <v>878</v>
      </c>
      <c r="E33" s="3" t="n">
        <f aca="false">COUNTIFS(04_IndicatorDisaggregations!$B$4:$B$111,A33)</f>
        <v>4</v>
      </c>
    </row>
    <row r="34" customFormat="false" ht="15" hidden="false" customHeight="false" outlineLevel="0" collapsed="false">
      <c r="A34" s="3" t="s">
        <v>786</v>
      </c>
      <c r="B34" s="3" t="s">
        <v>487</v>
      </c>
      <c r="C34" s="3" t="s">
        <v>879</v>
      </c>
      <c r="D34" s="3" t="s">
        <v>880</v>
      </c>
      <c r="E34" s="3" t="n">
        <f aca="false">COUNTIFS(04_IndicatorDisaggregations!$B$4:$B$111,A34)</f>
        <v>2</v>
      </c>
    </row>
    <row r="35" customFormat="false" ht="15" hidden="false" customHeight="false" outlineLevel="0" collapsed="false">
      <c r="A35" s="3" t="s">
        <v>787</v>
      </c>
      <c r="B35" s="3" t="s">
        <v>788</v>
      </c>
      <c r="C35" s="3" t="s">
        <v>881</v>
      </c>
      <c r="D35" s="3" t="s">
        <v>882</v>
      </c>
      <c r="E35" s="3" t="n">
        <f aca="false">COUNTIFS(04_IndicatorDisaggregations!$B$4:$B$111,A35)</f>
        <v>1</v>
      </c>
    </row>
    <row r="36" customFormat="false" ht="15" hidden="false" customHeight="false" outlineLevel="0" collapsed="false">
      <c r="A36" s="3" t="s">
        <v>789</v>
      </c>
      <c r="B36" s="3" t="s">
        <v>790</v>
      </c>
      <c r="C36" s="3" t="s">
        <v>883</v>
      </c>
      <c r="D36" s="3" t="s">
        <v>884</v>
      </c>
      <c r="E36" s="3" t="n">
        <f aca="false">COUNTIFS(04_IndicatorDisaggregations!$B$4:$B$111,A36)</f>
        <v>1</v>
      </c>
    </row>
    <row r="37" customFormat="false" ht="15" hidden="false" customHeight="false" outlineLevel="0" collapsed="false">
      <c r="A37" s="3" t="s">
        <v>795</v>
      </c>
      <c r="B37" s="3" t="s">
        <v>796</v>
      </c>
      <c r="C37" s="3" t="s">
        <v>885</v>
      </c>
      <c r="D37" s="3" t="s">
        <v>886</v>
      </c>
      <c r="E37" s="3" t="n">
        <f aca="false">COUNTIFS(04_IndicatorDisaggregations!$B$4:$B$111,A37)</f>
        <v>1</v>
      </c>
    </row>
    <row r="38" customFormat="false" ht="15" hidden="false" customHeight="false" outlineLevel="0" collapsed="false">
      <c r="A38" s="3" t="s">
        <v>791</v>
      </c>
      <c r="B38" s="3" t="s">
        <v>792</v>
      </c>
      <c r="C38" s="3" t="s">
        <v>887</v>
      </c>
      <c r="D38" s="3" t="s">
        <v>888</v>
      </c>
      <c r="E38" s="3" t="n">
        <f aca="false">COUNTIFS(04_IndicatorDisaggregations!$B$4:$B$111,A38)</f>
        <v>3</v>
      </c>
    </row>
    <row r="39" customFormat="false" ht="15" hidden="false" customHeight="false" outlineLevel="0" collapsed="false">
      <c r="A39" s="3" t="s">
        <v>767</v>
      </c>
      <c r="B39" s="3" t="s">
        <v>290</v>
      </c>
      <c r="C39" s="3" t="s">
        <v>889</v>
      </c>
      <c r="D39" s="3" t="s">
        <v>890</v>
      </c>
      <c r="E39" s="3" t="n">
        <f aca="false">COUNTIFS(04_IndicatorDisaggregations!$B$4:$B$111,A39)</f>
        <v>1</v>
      </c>
    </row>
    <row r="40" customFormat="false" ht="15" hidden="false" customHeight="false" outlineLevel="0" collapsed="false">
      <c r="A40" s="3" t="s">
        <v>768</v>
      </c>
      <c r="B40" s="3" t="s">
        <v>769</v>
      </c>
      <c r="C40" s="3" t="s">
        <v>891</v>
      </c>
      <c r="D40" s="3" t="s">
        <v>892</v>
      </c>
      <c r="E40" s="3" t="n">
        <f aca="false">COUNTIFS(04_IndicatorDisaggregations!$B$4:$B$111,A40)</f>
        <v>1</v>
      </c>
    </row>
    <row r="41" customFormat="false" ht="15" hidden="false" customHeight="false" outlineLevel="0" collapsed="false">
      <c r="A41" s="3" t="s">
        <v>812</v>
      </c>
      <c r="B41" s="3" t="s">
        <v>813</v>
      </c>
      <c r="C41" s="3" t="s">
        <v>893</v>
      </c>
      <c r="D41" s="3" t="s">
        <v>894</v>
      </c>
      <c r="E41" s="3" t="n">
        <f aca="false">COUNTIFS(04_IndicatorDisaggregations!$B$4:$B$111,A41)</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2"/>
    <col collapsed="false" customWidth="true" hidden="false" outlineLevel="0" max="3" min="3" style="0" width="90"/>
    <col collapsed="false" customWidth="true" hidden="false" outlineLevel="0" max="4" min="4" style="0" width="14"/>
  </cols>
  <sheetData>
    <row r="1" customFormat="false" ht="15" hidden="false" customHeight="false" outlineLevel="0" collapsed="false">
      <c r="A1" s="5" t="s">
        <v>895</v>
      </c>
    </row>
    <row r="3" customFormat="false" ht="30" hidden="false" customHeight="true" outlineLevel="0" collapsed="false">
      <c r="A3" s="6" t="s">
        <v>896</v>
      </c>
      <c r="B3" s="6" t="s">
        <v>897</v>
      </c>
      <c r="C3" s="6" t="s">
        <v>114</v>
      </c>
      <c r="D3" s="6" t="s">
        <v>54</v>
      </c>
    </row>
    <row r="4" customFormat="false" ht="23.85" hidden="false" customHeight="false" outlineLevel="0" collapsed="false">
      <c r="A4" s="3" t="s">
        <v>898</v>
      </c>
      <c r="B4" s="3" t="s">
        <v>899</v>
      </c>
      <c r="C4" s="3" t="s">
        <v>900</v>
      </c>
      <c r="D4" s="3" t="n">
        <f aca="false">COUNTIFS(07_IndicatorTags!$B$4:$B$79,A4)</f>
        <v>13</v>
      </c>
    </row>
    <row r="5" customFormat="false" ht="15" hidden="false" customHeight="false" outlineLevel="0" collapsed="false">
      <c r="A5" s="3" t="s">
        <v>636</v>
      </c>
      <c r="B5" s="3" t="s">
        <v>901</v>
      </c>
      <c r="C5" s="3" t="s">
        <v>902</v>
      </c>
      <c r="D5" s="3" t="n">
        <f aca="false">COUNTIFS(07_IndicatorTags!$B$4:$B$79,A5)</f>
        <v>11</v>
      </c>
    </row>
    <row r="6" customFormat="false" ht="15" hidden="false" customHeight="false" outlineLevel="0" collapsed="false">
      <c r="A6" s="3" t="s">
        <v>496</v>
      </c>
      <c r="B6" s="3" t="s">
        <v>903</v>
      </c>
      <c r="C6" s="3" t="s">
        <v>904</v>
      </c>
      <c r="D6" s="3" t="n">
        <f aca="false">COUNTIFS(07_IndicatorTags!$B$4:$B$79,A6)</f>
        <v>11</v>
      </c>
    </row>
    <row r="7" customFormat="false" ht="15" hidden="false" customHeight="false" outlineLevel="0" collapsed="false">
      <c r="A7" s="3" t="s">
        <v>694</v>
      </c>
      <c r="B7" s="3" t="s">
        <v>905</v>
      </c>
      <c r="C7" s="3" t="s">
        <v>906</v>
      </c>
      <c r="D7" s="3" t="n">
        <f aca="false">COUNTIFS(07_IndicatorTags!$B$4:$B$79,A7)</f>
        <v>8</v>
      </c>
    </row>
    <row r="8" customFormat="false" ht="15" hidden="false" customHeight="false" outlineLevel="0" collapsed="false">
      <c r="A8" s="3" t="s">
        <v>365</v>
      </c>
      <c r="B8" s="3" t="s">
        <v>907</v>
      </c>
      <c r="C8" s="3" t="s">
        <v>908</v>
      </c>
      <c r="D8" s="3" t="n">
        <f aca="false">COUNTIFS(07_IndicatorTags!$B$4:$B$79,A8)</f>
        <v>20</v>
      </c>
    </row>
    <row r="9" customFormat="false" ht="15" hidden="false" customHeight="false" outlineLevel="0" collapsed="false">
      <c r="A9" s="3" t="s">
        <v>473</v>
      </c>
      <c r="B9" s="3" t="s">
        <v>909</v>
      </c>
      <c r="C9" s="3" t="s">
        <v>910</v>
      </c>
      <c r="D9" s="3" t="n">
        <f aca="false">COUNTIFS(07_IndicatorTags!$B$4:$B$79,A9)</f>
        <v>3</v>
      </c>
    </row>
    <row r="10" customFormat="false" ht="15" hidden="false" customHeight="false" outlineLevel="0" collapsed="false">
      <c r="A10" s="3" t="s">
        <v>612</v>
      </c>
      <c r="B10" s="3" t="s">
        <v>911</v>
      </c>
      <c r="C10" s="3" t="s">
        <v>912</v>
      </c>
      <c r="D10" s="3" t="n">
        <f aca="false">COUNTIFS(07_IndicatorTags!$B$4:$B$79,A10)</f>
        <v>5</v>
      </c>
    </row>
    <row r="11" customFormat="false" ht="15" hidden="false" customHeight="false" outlineLevel="0" collapsed="false">
      <c r="A11" s="3" t="s">
        <v>430</v>
      </c>
      <c r="B11" s="3" t="s">
        <v>913</v>
      </c>
      <c r="C11" s="3" t="s">
        <v>914</v>
      </c>
      <c r="D11" s="3" t="n">
        <f aca="false">COUNTIFS(07_IndicatorTags!$B$4:$B$79,A11)</f>
        <v>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32"/>
  </cols>
  <sheetData>
    <row r="1" customFormat="false" ht="15" hidden="false" customHeight="false" outlineLevel="0" collapsed="false">
      <c r="A1" s="5" t="s">
        <v>915</v>
      </c>
    </row>
    <row r="3" customFormat="false" ht="30" hidden="false" customHeight="true" outlineLevel="0" collapsed="false">
      <c r="A3" s="6" t="s">
        <v>213</v>
      </c>
      <c r="B3" s="6" t="s">
        <v>896</v>
      </c>
      <c r="C3" s="6" t="s">
        <v>897</v>
      </c>
    </row>
    <row r="4" customFormat="false" ht="15" hidden="false" customHeight="false" outlineLevel="0" collapsed="false">
      <c r="A4" s="3" t="s">
        <v>236</v>
      </c>
      <c r="B4" s="3" t="s">
        <v>496</v>
      </c>
      <c r="C4" s="3" t="s">
        <v>903</v>
      </c>
    </row>
    <row r="5" customFormat="false" ht="15" hidden="false" customHeight="false" outlineLevel="0" collapsed="false">
      <c r="A5" s="3" t="s">
        <v>236</v>
      </c>
      <c r="B5" s="3" t="s">
        <v>694</v>
      </c>
      <c r="C5" s="3" t="s">
        <v>905</v>
      </c>
    </row>
    <row r="6" customFormat="false" ht="15" hidden="false" customHeight="false" outlineLevel="0" collapsed="false">
      <c r="A6" s="3" t="s">
        <v>293</v>
      </c>
      <c r="B6" s="3" t="s">
        <v>496</v>
      </c>
      <c r="C6" s="3" t="s">
        <v>903</v>
      </c>
    </row>
    <row r="7" customFormat="false" ht="15" hidden="false" customHeight="false" outlineLevel="0" collapsed="false">
      <c r="A7" s="3" t="s">
        <v>293</v>
      </c>
      <c r="B7" s="3" t="s">
        <v>694</v>
      </c>
      <c r="C7" s="3" t="s">
        <v>905</v>
      </c>
    </row>
    <row r="8" customFormat="false" ht="15" hidden="false" customHeight="false" outlineLevel="0" collapsed="false">
      <c r="A8" s="3" t="s">
        <v>300</v>
      </c>
      <c r="B8" s="3" t="s">
        <v>496</v>
      </c>
      <c r="C8" s="3" t="s">
        <v>903</v>
      </c>
    </row>
    <row r="9" customFormat="false" ht="15" hidden="false" customHeight="false" outlineLevel="0" collapsed="false">
      <c r="A9" s="3" t="s">
        <v>300</v>
      </c>
      <c r="B9" s="3" t="s">
        <v>694</v>
      </c>
      <c r="C9" s="3" t="s">
        <v>905</v>
      </c>
    </row>
    <row r="10" customFormat="false" ht="15" hidden="false" customHeight="false" outlineLevel="0" collapsed="false">
      <c r="A10" s="3" t="s">
        <v>314</v>
      </c>
      <c r="B10" s="3" t="s">
        <v>898</v>
      </c>
      <c r="C10" s="3" t="s">
        <v>899</v>
      </c>
    </row>
    <row r="11" customFormat="false" ht="15" hidden="false" customHeight="false" outlineLevel="0" collapsed="false">
      <c r="A11" s="3" t="s">
        <v>314</v>
      </c>
      <c r="B11" s="3" t="s">
        <v>636</v>
      </c>
      <c r="C11" s="3" t="s">
        <v>901</v>
      </c>
    </row>
    <row r="12" customFormat="false" ht="15" hidden="false" customHeight="false" outlineLevel="0" collapsed="false">
      <c r="A12" s="3" t="s">
        <v>314</v>
      </c>
      <c r="B12" s="3" t="s">
        <v>365</v>
      </c>
      <c r="C12" s="3" t="s">
        <v>907</v>
      </c>
    </row>
    <row r="13" customFormat="false" ht="15" hidden="false" customHeight="false" outlineLevel="0" collapsed="false">
      <c r="A13" s="3" t="s">
        <v>325</v>
      </c>
      <c r="B13" s="3" t="s">
        <v>898</v>
      </c>
      <c r="C13" s="3" t="s">
        <v>899</v>
      </c>
    </row>
    <row r="14" customFormat="false" ht="15" hidden="false" customHeight="false" outlineLevel="0" collapsed="false">
      <c r="A14" s="3" t="s">
        <v>325</v>
      </c>
      <c r="B14" s="3" t="s">
        <v>636</v>
      </c>
      <c r="C14" s="3" t="s">
        <v>901</v>
      </c>
    </row>
    <row r="15" customFormat="false" ht="15" hidden="false" customHeight="false" outlineLevel="0" collapsed="false">
      <c r="A15" s="3" t="s">
        <v>325</v>
      </c>
      <c r="B15" s="3" t="s">
        <v>365</v>
      </c>
      <c r="C15" s="3" t="s">
        <v>907</v>
      </c>
    </row>
    <row r="16" customFormat="false" ht="15" hidden="false" customHeight="false" outlineLevel="0" collapsed="false">
      <c r="A16" s="3" t="s">
        <v>332</v>
      </c>
      <c r="B16" s="3" t="s">
        <v>898</v>
      </c>
      <c r="C16" s="3" t="s">
        <v>899</v>
      </c>
    </row>
    <row r="17" customFormat="false" ht="15" hidden="false" customHeight="false" outlineLevel="0" collapsed="false">
      <c r="A17" s="3" t="s">
        <v>332</v>
      </c>
      <c r="B17" s="3" t="s">
        <v>636</v>
      </c>
      <c r="C17" s="3" t="s">
        <v>901</v>
      </c>
    </row>
    <row r="18" customFormat="false" ht="15" hidden="false" customHeight="false" outlineLevel="0" collapsed="false">
      <c r="A18" s="3" t="s">
        <v>332</v>
      </c>
      <c r="B18" s="3" t="s">
        <v>365</v>
      </c>
      <c r="C18" s="3" t="s">
        <v>907</v>
      </c>
    </row>
    <row r="19" customFormat="false" ht="15" hidden="false" customHeight="false" outlineLevel="0" collapsed="false">
      <c r="A19" s="3" t="s">
        <v>342</v>
      </c>
      <c r="B19" s="3" t="s">
        <v>898</v>
      </c>
      <c r="C19" s="3" t="s">
        <v>899</v>
      </c>
    </row>
    <row r="20" customFormat="false" ht="15" hidden="false" customHeight="false" outlineLevel="0" collapsed="false">
      <c r="A20" s="3" t="s">
        <v>342</v>
      </c>
      <c r="B20" s="3" t="s">
        <v>636</v>
      </c>
      <c r="C20" s="3" t="s">
        <v>901</v>
      </c>
    </row>
    <row r="21" customFormat="false" ht="15" hidden="false" customHeight="false" outlineLevel="0" collapsed="false">
      <c r="A21" s="3" t="s">
        <v>342</v>
      </c>
      <c r="B21" s="3" t="s">
        <v>365</v>
      </c>
      <c r="C21" s="3" t="s">
        <v>907</v>
      </c>
    </row>
    <row r="22" customFormat="false" ht="15" hidden="false" customHeight="false" outlineLevel="0" collapsed="false">
      <c r="A22" s="3" t="s">
        <v>349</v>
      </c>
      <c r="B22" s="3" t="s">
        <v>898</v>
      </c>
      <c r="C22" s="3" t="s">
        <v>899</v>
      </c>
    </row>
    <row r="23" customFormat="false" ht="15" hidden="false" customHeight="false" outlineLevel="0" collapsed="false">
      <c r="A23" s="3" t="s">
        <v>349</v>
      </c>
      <c r="B23" s="3" t="s">
        <v>365</v>
      </c>
      <c r="C23" s="3" t="s">
        <v>907</v>
      </c>
    </row>
    <row r="24" customFormat="false" ht="15" hidden="false" customHeight="false" outlineLevel="0" collapsed="false">
      <c r="A24" s="3" t="s">
        <v>360</v>
      </c>
      <c r="B24" s="3" t="s">
        <v>365</v>
      </c>
      <c r="C24" s="3" t="s">
        <v>907</v>
      </c>
    </row>
    <row r="25" customFormat="false" ht="15" hidden="false" customHeight="false" outlineLevel="0" collapsed="false">
      <c r="A25" s="3" t="s">
        <v>376</v>
      </c>
      <c r="B25" s="3" t="s">
        <v>365</v>
      </c>
      <c r="C25" s="3" t="s">
        <v>907</v>
      </c>
    </row>
    <row r="26" customFormat="false" ht="15" hidden="false" customHeight="false" outlineLevel="0" collapsed="false">
      <c r="A26" s="3" t="s">
        <v>385</v>
      </c>
      <c r="B26" s="3" t="s">
        <v>365</v>
      </c>
      <c r="C26" s="3" t="s">
        <v>907</v>
      </c>
    </row>
    <row r="27" customFormat="false" ht="15" hidden="false" customHeight="false" outlineLevel="0" collapsed="false">
      <c r="A27" s="3" t="s">
        <v>392</v>
      </c>
      <c r="B27" s="3" t="s">
        <v>365</v>
      </c>
      <c r="C27" s="3" t="s">
        <v>907</v>
      </c>
    </row>
    <row r="28" customFormat="false" ht="15" hidden="false" customHeight="false" outlineLevel="0" collapsed="false">
      <c r="A28" s="3" t="s">
        <v>392</v>
      </c>
      <c r="B28" s="3" t="s">
        <v>898</v>
      </c>
      <c r="C28" s="3" t="s">
        <v>899</v>
      </c>
    </row>
    <row r="29" customFormat="false" ht="15" hidden="false" customHeight="false" outlineLevel="0" collapsed="false">
      <c r="A29" s="3" t="s">
        <v>411</v>
      </c>
      <c r="B29" s="3" t="s">
        <v>365</v>
      </c>
      <c r="C29" s="3" t="s">
        <v>907</v>
      </c>
    </row>
    <row r="30" customFormat="false" ht="15" hidden="false" customHeight="false" outlineLevel="0" collapsed="false">
      <c r="A30" s="3" t="s">
        <v>417</v>
      </c>
      <c r="B30" s="3" t="s">
        <v>365</v>
      </c>
      <c r="C30" s="3" t="s">
        <v>907</v>
      </c>
    </row>
    <row r="31" customFormat="false" ht="15" hidden="false" customHeight="false" outlineLevel="0" collapsed="false">
      <c r="A31" s="3" t="s">
        <v>422</v>
      </c>
      <c r="B31" s="3" t="s">
        <v>430</v>
      </c>
      <c r="C31" s="3" t="s">
        <v>913</v>
      </c>
    </row>
    <row r="32" customFormat="false" ht="15" hidden="false" customHeight="false" outlineLevel="0" collapsed="false">
      <c r="A32" s="3" t="s">
        <v>440</v>
      </c>
      <c r="B32" s="3" t="s">
        <v>898</v>
      </c>
      <c r="C32" s="3" t="s">
        <v>899</v>
      </c>
    </row>
    <row r="33" customFormat="false" ht="15" hidden="false" customHeight="false" outlineLevel="0" collapsed="false">
      <c r="A33" s="3" t="s">
        <v>440</v>
      </c>
      <c r="B33" s="3" t="s">
        <v>496</v>
      </c>
      <c r="C33" s="3" t="s">
        <v>903</v>
      </c>
    </row>
    <row r="34" customFormat="false" ht="15" hidden="false" customHeight="false" outlineLevel="0" collapsed="false">
      <c r="A34" s="3" t="s">
        <v>440</v>
      </c>
      <c r="B34" s="3" t="s">
        <v>694</v>
      </c>
      <c r="C34" s="3" t="s">
        <v>905</v>
      </c>
    </row>
    <row r="35" customFormat="false" ht="15" hidden="false" customHeight="false" outlineLevel="0" collapsed="false">
      <c r="A35" s="3" t="s">
        <v>448</v>
      </c>
      <c r="B35" s="3" t="s">
        <v>898</v>
      </c>
      <c r="C35" s="3" t="s">
        <v>899</v>
      </c>
    </row>
    <row r="36" customFormat="false" ht="15" hidden="false" customHeight="false" outlineLevel="0" collapsed="false">
      <c r="A36" s="3" t="s">
        <v>448</v>
      </c>
      <c r="B36" s="3" t="s">
        <v>496</v>
      </c>
      <c r="C36" s="3" t="s">
        <v>903</v>
      </c>
    </row>
    <row r="37" customFormat="false" ht="15" hidden="false" customHeight="false" outlineLevel="0" collapsed="false">
      <c r="A37" s="3" t="s">
        <v>448</v>
      </c>
      <c r="B37" s="3" t="s">
        <v>694</v>
      </c>
      <c r="C37" s="3" t="s">
        <v>905</v>
      </c>
    </row>
    <row r="38" customFormat="false" ht="15" hidden="false" customHeight="false" outlineLevel="0" collapsed="false">
      <c r="A38" s="3" t="s">
        <v>455</v>
      </c>
      <c r="B38" s="3" t="s">
        <v>898</v>
      </c>
      <c r="C38" s="3" t="s">
        <v>899</v>
      </c>
    </row>
    <row r="39" customFormat="false" ht="15" hidden="false" customHeight="false" outlineLevel="0" collapsed="false">
      <c r="A39" s="3" t="s">
        <v>455</v>
      </c>
      <c r="B39" s="3" t="s">
        <v>365</v>
      </c>
      <c r="C39" s="3" t="s">
        <v>907</v>
      </c>
    </row>
    <row r="40" customFormat="false" ht="15" hidden="false" customHeight="false" outlineLevel="0" collapsed="false">
      <c r="A40" s="3" t="s">
        <v>466</v>
      </c>
      <c r="B40" s="3" t="s">
        <v>473</v>
      </c>
      <c r="C40" s="3" t="s">
        <v>909</v>
      </c>
    </row>
    <row r="41" customFormat="false" ht="15" hidden="false" customHeight="false" outlineLevel="0" collapsed="false">
      <c r="A41" s="3" t="s">
        <v>475</v>
      </c>
      <c r="B41" s="3" t="s">
        <v>365</v>
      </c>
      <c r="C41" s="3" t="s">
        <v>907</v>
      </c>
    </row>
    <row r="42" customFormat="false" ht="15" hidden="false" customHeight="false" outlineLevel="0" collapsed="false">
      <c r="A42" s="3" t="s">
        <v>489</v>
      </c>
      <c r="B42" s="3" t="s">
        <v>496</v>
      </c>
      <c r="C42" s="3" t="s">
        <v>903</v>
      </c>
    </row>
    <row r="43" customFormat="false" ht="15" hidden="false" customHeight="false" outlineLevel="0" collapsed="false">
      <c r="A43" s="3" t="s">
        <v>504</v>
      </c>
      <c r="B43" s="3" t="s">
        <v>365</v>
      </c>
      <c r="C43" s="3" t="s">
        <v>907</v>
      </c>
    </row>
    <row r="44" customFormat="false" ht="15" hidden="false" customHeight="false" outlineLevel="0" collapsed="false">
      <c r="A44" s="3" t="s">
        <v>512</v>
      </c>
      <c r="B44" s="3" t="s">
        <v>365</v>
      </c>
      <c r="C44" s="3" t="s">
        <v>907</v>
      </c>
    </row>
    <row r="45" customFormat="false" ht="15" hidden="false" customHeight="false" outlineLevel="0" collapsed="false">
      <c r="A45" s="3" t="s">
        <v>525</v>
      </c>
      <c r="B45" s="3" t="s">
        <v>365</v>
      </c>
      <c r="C45" s="3" t="s">
        <v>907</v>
      </c>
    </row>
    <row r="46" customFormat="false" ht="15" hidden="false" customHeight="false" outlineLevel="0" collapsed="false">
      <c r="A46" s="3" t="s">
        <v>532</v>
      </c>
      <c r="B46" s="3" t="s">
        <v>496</v>
      </c>
      <c r="C46" s="3" t="s">
        <v>903</v>
      </c>
    </row>
    <row r="47" customFormat="false" ht="15" hidden="false" customHeight="false" outlineLevel="0" collapsed="false">
      <c r="A47" s="3" t="s">
        <v>532</v>
      </c>
      <c r="B47" s="3" t="s">
        <v>694</v>
      </c>
      <c r="C47" s="3" t="s">
        <v>905</v>
      </c>
    </row>
    <row r="48" customFormat="false" ht="15" hidden="false" customHeight="false" outlineLevel="0" collapsed="false">
      <c r="A48" s="3" t="s">
        <v>570</v>
      </c>
      <c r="B48" s="3" t="s">
        <v>636</v>
      </c>
      <c r="C48" s="3" t="s">
        <v>901</v>
      </c>
    </row>
    <row r="49" customFormat="false" ht="15" hidden="false" customHeight="false" outlineLevel="0" collapsed="false">
      <c r="A49" s="3" t="s">
        <v>570</v>
      </c>
      <c r="B49" s="3" t="s">
        <v>365</v>
      </c>
      <c r="C49" s="3" t="s">
        <v>907</v>
      </c>
    </row>
    <row r="50" customFormat="false" ht="15" hidden="false" customHeight="false" outlineLevel="0" collapsed="false">
      <c r="A50" s="3" t="s">
        <v>579</v>
      </c>
      <c r="B50" s="3" t="s">
        <v>898</v>
      </c>
      <c r="C50" s="3" t="s">
        <v>899</v>
      </c>
    </row>
    <row r="51" customFormat="false" ht="15" hidden="false" customHeight="false" outlineLevel="0" collapsed="false">
      <c r="A51" s="3" t="s">
        <v>579</v>
      </c>
      <c r="B51" s="3" t="s">
        <v>636</v>
      </c>
      <c r="C51" s="3" t="s">
        <v>901</v>
      </c>
    </row>
    <row r="52" customFormat="false" ht="15" hidden="false" customHeight="false" outlineLevel="0" collapsed="false">
      <c r="A52" s="3" t="s">
        <v>579</v>
      </c>
      <c r="B52" s="3" t="s">
        <v>365</v>
      </c>
      <c r="C52" s="3" t="s">
        <v>907</v>
      </c>
    </row>
    <row r="53" customFormat="false" ht="15" hidden="false" customHeight="false" outlineLevel="0" collapsed="false">
      <c r="A53" s="3" t="s">
        <v>586</v>
      </c>
      <c r="B53" s="3" t="s">
        <v>898</v>
      </c>
      <c r="C53" s="3" t="s">
        <v>899</v>
      </c>
    </row>
    <row r="54" customFormat="false" ht="15" hidden="false" customHeight="false" outlineLevel="0" collapsed="false">
      <c r="A54" s="3" t="s">
        <v>586</v>
      </c>
      <c r="B54" s="3" t="s">
        <v>636</v>
      </c>
      <c r="C54" s="3" t="s">
        <v>901</v>
      </c>
    </row>
    <row r="55" customFormat="false" ht="15" hidden="false" customHeight="false" outlineLevel="0" collapsed="false">
      <c r="A55" s="3" t="s">
        <v>586</v>
      </c>
      <c r="B55" s="3" t="s">
        <v>365</v>
      </c>
      <c r="C55" s="3" t="s">
        <v>907</v>
      </c>
    </row>
    <row r="56" customFormat="false" ht="15" hidden="false" customHeight="false" outlineLevel="0" collapsed="false">
      <c r="A56" s="3" t="s">
        <v>607</v>
      </c>
      <c r="B56" s="3" t="s">
        <v>612</v>
      </c>
      <c r="C56" s="3" t="s">
        <v>911</v>
      </c>
    </row>
    <row r="57" customFormat="false" ht="15" hidden="false" customHeight="false" outlineLevel="0" collapsed="false">
      <c r="A57" s="3" t="s">
        <v>616</v>
      </c>
      <c r="B57" s="3" t="s">
        <v>612</v>
      </c>
      <c r="C57" s="3" t="s">
        <v>911</v>
      </c>
    </row>
    <row r="58" customFormat="false" ht="15" hidden="false" customHeight="false" outlineLevel="0" collapsed="false">
      <c r="A58" s="3" t="s">
        <v>631</v>
      </c>
      <c r="B58" s="3" t="s">
        <v>636</v>
      </c>
      <c r="C58" s="3" t="s">
        <v>901</v>
      </c>
    </row>
    <row r="59" customFormat="false" ht="15" hidden="false" customHeight="false" outlineLevel="0" collapsed="false">
      <c r="A59" s="3" t="s">
        <v>639</v>
      </c>
      <c r="B59" s="3" t="s">
        <v>612</v>
      </c>
      <c r="C59" s="3" t="s">
        <v>911</v>
      </c>
    </row>
    <row r="60" customFormat="false" ht="15" hidden="false" customHeight="false" outlineLevel="0" collapsed="false">
      <c r="A60" s="3" t="s">
        <v>639</v>
      </c>
      <c r="B60" s="3" t="s">
        <v>636</v>
      </c>
      <c r="C60" s="3" t="s">
        <v>901</v>
      </c>
    </row>
    <row r="61" customFormat="false" ht="15" hidden="false" customHeight="false" outlineLevel="0" collapsed="false">
      <c r="A61" s="3" t="s">
        <v>647</v>
      </c>
      <c r="B61" s="3" t="s">
        <v>612</v>
      </c>
      <c r="C61" s="3" t="s">
        <v>911</v>
      </c>
    </row>
    <row r="62" customFormat="false" ht="15" hidden="false" customHeight="false" outlineLevel="0" collapsed="false">
      <c r="A62" s="3" t="s">
        <v>647</v>
      </c>
      <c r="B62" s="3" t="s">
        <v>636</v>
      </c>
      <c r="C62" s="3" t="s">
        <v>901</v>
      </c>
    </row>
    <row r="63" customFormat="false" ht="15" hidden="false" customHeight="false" outlineLevel="0" collapsed="false">
      <c r="A63" s="3" t="s">
        <v>657</v>
      </c>
      <c r="B63" s="3" t="s">
        <v>430</v>
      </c>
      <c r="C63" s="3" t="s">
        <v>913</v>
      </c>
    </row>
    <row r="64" customFormat="false" ht="15" hidden="false" customHeight="false" outlineLevel="0" collapsed="false">
      <c r="A64" s="3" t="s">
        <v>657</v>
      </c>
      <c r="B64" s="3" t="s">
        <v>473</v>
      </c>
      <c r="C64" s="3" t="s">
        <v>909</v>
      </c>
    </row>
    <row r="65" customFormat="false" ht="15" hidden="false" customHeight="false" outlineLevel="0" collapsed="false">
      <c r="A65" s="3" t="s">
        <v>657</v>
      </c>
      <c r="B65" s="3" t="s">
        <v>898</v>
      </c>
      <c r="C65" s="3" t="s">
        <v>899</v>
      </c>
    </row>
    <row r="66" customFormat="false" ht="15" hidden="false" customHeight="false" outlineLevel="0" collapsed="false">
      <c r="A66" s="3" t="s">
        <v>669</v>
      </c>
      <c r="B66" s="3" t="s">
        <v>430</v>
      </c>
      <c r="C66" s="3" t="s">
        <v>913</v>
      </c>
    </row>
    <row r="67" customFormat="false" ht="15" hidden="false" customHeight="false" outlineLevel="0" collapsed="false">
      <c r="A67" s="3" t="s">
        <v>669</v>
      </c>
      <c r="B67" s="3" t="s">
        <v>473</v>
      </c>
      <c r="C67" s="3" t="s">
        <v>909</v>
      </c>
    </row>
    <row r="68" customFormat="false" ht="15" hidden="false" customHeight="false" outlineLevel="0" collapsed="false">
      <c r="A68" s="3" t="s">
        <v>669</v>
      </c>
      <c r="B68" s="3" t="s">
        <v>365</v>
      </c>
      <c r="C68" s="3" t="s">
        <v>907</v>
      </c>
    </row>
    <row r="69" customFormat="false" ht="15" hidden="false" customHeight="false" outlineLevel="0" collapsed="false">
      <c r="A69" s="3" t="s">
        <v>669</v>
      </c>
      <c r="B69" s="3" t="s">
        <v>636</v>
      </c>
      <c r="C69" s="3" t="s">
        <v>901</v>
      </c>
    </row>
    <row r="70" customFormat="false" ht="15" hidden="false" customHeight="false" outlineLevel="0" collapsed="false">
      <c r="A70" s="3" t="s">
        <v>688</v>
      </c>
      <c r="B70" s="3" t="s">
        <v>694</v>
      </c>
      <c r="C70" s="3" t="s">
        <v>905</v>
      </c>
    </row>
    <row r="71" customFormat="false" ht="15" hidden="false" customHeight="false" outlineLevel="0" collapsed="false">
      <c r="A71" s="3" t="s">
        <v>696</v>
      </c>
      <c r="B71" s="3" t="s">
        <v>496</v>
      </c>
      <c r="C71" s="3" t="s">
        <v>903</v>
      </c>
    </row>
    <row r="72" customFormat="false" ht="15" hidden="false" customHeight="false" outlineLevel="0" collapsed="false">
      <c r="A72" s="3" t="s">
        <v>700</v>
      </c>
      <c r="B72" s="3" t="s">
        <v>430</v>
      </c>
      <c r="C72" s="3" t="s">
        <v>913</v>
      </c>
    </row>
    <row r="73" customFormat="false" ht="15" hidden="false" customHeight="false" outlineLevel="0" collapsed="false">
      <c r="A73" s="3" t="s">
        <v>700</v>
      </c>
      <c r="B73" s="3" t="s">
        <v>496</v>
      </c>
      <c r="C73" s="3" t="s">
        <v>903</v>
      </c>
    </row>
    <row r="74" customFormat="false" ht="15" hidden="false" customHeight="false" outlineLevel="0" collapsed="false">
      <c r="A74" s="3" t="s">
        <v>700</v>
      </c>
      <c r="B74" s="3" t="s">
        <v>694</v>
      </c>
      <c r="C74" s="3" t="s">
        <v>905</v>
      </c>
    </row>
    <row r="75" customFormat="false" ht="15" hidden="false" customHeight="false" outlineLevel="0" collapsed="false">
      <c r="A75" s="3" t="s">
        <v>700</v>
      </c>
      <c r="B75" s="3" t="s">
        <v>898</v>
      </c>
      <c r="C75" s="3" t="s">
        <v>899</v>
      </c>
    </row>
    <row r="76" customFormat="false" ht="15" hidden="false" customHeight="false" outlineLevel="0" collapsed="false">
      <c r="A76" s="3" t="s">
        <v>710</v>
      </c>
      <c r="B76" s="3" t="s">
        <v>430</v>
      </c>
      <c r="C76" s="3" t="s">
        <v>913</v>
      </c>
    </row>
    <row r="77" customFormat="false" ht="15" hidden="false" customHeight="false" outlineLevel="0" collapsed="false">
      <c r="A77" s="3" t="s">
        <v>710</v>
      </c>
      <c r="B77" s="3" t="s">
        <v>496</v>
      </c>
      <c r="C77" s="3" t="s">
        <v>903</v>
      </c>
    </row>
    <row r="78" customFormat="false" ht="15" hidden="false" customHeight="false" outlineLevel="0" collapsed="false">
      <c r="A78" s="3" t="s">
        <v>734</v>
      </c>
      <c r="B78" s="3" t="s">
        <v>612</v>
      </c>
      <c r="C78" s="3" t="s">
        <v>911</v>
      </c>
    </row>
    <row r="79" customFormat="false" ht="15" hidden="false" customHeight="false" outlineLevel="0" collapsed="false">
      <c r="A79" s="3" t="s">
        <v>734</v>
      </c>
      <c r="B79" s="3" t="s">
        <v>496</v>
      </c>
      <c r="C79" s="3" t="s">
        <v>903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4"/>
    <col collapsed="false" customWidth="true" hidden="false" outlineLevel="0" max="3" min="3" style="0" width="46"/>
    <col collapsed="false" customWidth="true" hidden="false" outlineLevel="0" max="4" min="4" style="0" width="14"/>
  </cols>
  <sheetData>
    <row r="1" customFormat="false" ht="15" hidden="false" customHeight="false" outlineLevel="0" collapsed="false">
      <c r="A1" s="5" t="s">
        <v>916</v>
      </c>
    </row>
    <row r="3" customFormat="false" ht="30" hidden="false" customHeight="true" outlineLevel="0" collapsed="false">
      <c r="A3" s="6" t="s">
        <v>221</v>
      </c>
      <c r="B3" s="6" t="s">
        <v>917</v>
      </c>
      <c r="C3" s="6" t="s">
        <v>53</v>
      </c>
      <c r="D3" s="6" t="s">
        <v>54</v>
      </c>
    </row>
    <row r="4" customFormat="false" ht="15" hidden="false" customHeight="false" outlineLevel="0" collapsed="false">
      <c r="A4" s="3" t="s">
        <v>242</v>
      </c>
      <c r="B4" s="3" t="n">
        <v>1</v>
      </c>
      <c r="C4" s="3" t="s">
        <v>918</v>
      </c>
      <c r="D4" s="3" t="n">
        <f aca="false">COUNTIFS(03_Indicators!$O$4:$O$70,A4)</f>
        <v>9</v>
      </c>
    </row>
    <row r="5" customFormat="false" ht="15" hidden="false" customHeight="false" outlineLevel="0" collapsed="false">
      <c r="A5" s="3" t="s">
        <v>319</v>
      </c>
      <c r="B5" s="3" t="n">
        <v>2</v>
      </c>
      <c r="C5" s="3" t="s">
        <v>918</v>
      </c>
      <c r="D5" s="3" t="n">
        <f aca="false">COUNTIFS(03_Indicators!$O$4:$O$70,A5)</f>
        <v>19</v>
      </c>
    </row>
    <row r="6" customFormat="false" ht="15" hidden="false" customHeight="false" outlineLevel="0" collapsed="false">
      <c r="A6" s="3" t="s">
        <v>663</v>
      </c>
      <c r="B6" s="3" t="n">
        <v>3</v>
      </c>
      <c r="C6" s="3" t="s">
        <v>918</v>
      </c>
      <c r="D6" s="3" t="n">
        <f aca="false">COUNTIFS(03_Indicators!$O$4:$O$70,A6)</f>
        <v>1</v>
      </c>
    </row>
    <row r="7" customFormat="false" ht="15" hidden="false" customHeight="false" outlineLevel="0" collapsed="false">
      <c r="A7" s="3" t="s">
        <v>427</v>
      </c>
      <c r="B7" s="3" t="n">
        <v>4</v>
      </c>
      <c r="C7" s="3" t="s">
        <v>918</v>
      </c>
      <c r="D7" s="3" t="n">
        <f aca="false">COUNTIFS(03_Indicators!$O$4:$O$70,A7)</f>
        <v>6</v>
      </c>
    </row>
    <row r="8" customFormat="false" ht="15" hidden="false" customHeight="false" outlineLevel="0" collapsed="false">
      <c r="A8" s="3" t="s">
        <v>259</v>
      </c>
      <c r="B8" s="3" t="n">
        <v>5</v>
      </c>
      <c r="C8" s="3" t="s">
        <v>918</v>
      </c>
      <c r="D8" s="3" t="n">
        <f aca="false">COUNTIFS(03_Indicators!$O$4:$O$70,A8)</f>
        <v>20</v>
      </c>
    </row>
    <row r="9" customFormat="false" ht="15" hidden="false" customHeight="false" outlineLevel="0" collapsed="false">
      <c r="A9" s="3" t="s">
        <v>566</v>
      </c>
      <c r="B9" s="3" t="n">
        <v>6</v>
      </c>
      <c r="C9" s="3" t="s">
        <v>918</v>
      </c>
      <c r="D9" s="3" t="n">
        <f aca="false">COUNTIFS(03_Indicators!$O$4:$O$70,A9)</f>
        <v>6</v>
      </c>
    </row>
    <row r="10" customFormat="false" ht="15" hidden="false" customHeight="false" outlineLevel="0" collapsed="false">
      <c r="A10" s="3" t="s">
        <v>373</v>
      </c>
      <c r="B10" s="3" t="n">
        <v>7</v>
      </c>
      <c r="C10" s="3" t="s">
        <v>919</v>
      </c>
      <c r="D10" s="3" t="n">
        <f aca="false">COUNTIFS(03_Indicators!$O$4:$O$70,A10)</f>
        <v>2</v>
      </c>
    </row>
    <row r="11" customFormat="false" ht="15" hidden="false" customHeight="false" outlineLevel="0" collapsed="false">
      <c r="A11" s="3" t="s">
        <v>731</v>
      </c>
      <c r="B11" s="3" t="n">
        <v>8</v>
      </c>
      <c r="C11" s="3" t="s">
        <v>920</v>
      </c>
      <c r="D11" s="3" t="n">
        <f aca="false">COUNTIFS(03_Indicators!$O$4:$O$70,A11)</f>
        <v>1</v>
      </c>
    </row>
    <row r="12" customFormat="false" ht="15" hidden="false" customHeight="false" outlineLevel="0" collapsed="false">
      <c r="A12" s="3" t="s">
        <v>480</v>
      </c>
      <c r="B12" s="3" t="n">
        <v>9</v>
      </c>
      <c r="C12" s="3" t="s">
        <v>921</v>
      </c>
      <c r="D12" s="3" t="n">
        <f aca="false">COUNTIFS(03_Indicators!$O$4:$O$70,A12)</f>
        <v>2</v>
      </c>
    </row>
    <row r="13" customFormat="false" ht="15" hidden="false" customHeight="false" outlineLevel="0" collapsed="false">
      <c r="A13" s="3" t="s">
        <v>470</v>
      </c>
      <c r="B13" s="3" t="n">
        <v>10</v>
      </c>
      <c r="C13" s="3" t="s">
        <v>922</v>
      </c>
      <c r="D13" s="3" t="n">
        <f aca="false">COUNTIFS(03_Indicators!$O$4:$O$70,A13)</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12"/>
    <col collapsed="false" customWidth="true" hidden="false" outlineLevel="0" max="4" min="4" style="0" width="80"/>
    <col collapsed="false" customWidth="true" hidden="false" outlineLevel="0" max="5" min="5" style="0" width="26"/>
    <col collapsed="false" customWidth="true" hidden="false" outlineLevel="0" max="6" min="6" style="0" width="12"/>
    <col collapsed="false" customWidth="true" hidden="false" outlineLevel="0" max="7" min="7" style="0" width="50"/>
  </cols>
  <sheetData>
    <row r="1" customFormat="false" ht="15" hidden="false" customHeight="false" outlineLevel="0" collapsed="false">
      <c r="A1" s="5" t="s">
        <v>923</v>
      </c>
    </row>
    <row r="3" customFormat="false" ht="30" hidden="false" customHeight="true" outlineLevel="0" collapsed="false">
      <c r="A3" s="6" t="s">
        <v>924</v>
      </c>
      <c r="B3" s="6" t="s">
        <v>925</v>
      </c>
      <c r="C3" s="6" t="s">
        <v>926</v>
      </c>
      <c r="D3" s="6" t="s">
        <v>927</v>
      </c>
      <c r="E3" s="6" t="s">
        <v>928</v>
      </c>
      <c r="F3" s="6" t="s">
        <v>929</v>
      </c>
      <c r="G3" s="6" t="s">
        <v>930</v>
      </c>
    </row>
    <row r="4" customFormat="false" ht="35.05" hidden="false" customHeight="false" outlineLevel="0" collapsed="false">
      <c r="A4" s="3" t="s">
        <v>240</v>
      </c>
      <c r="B4" s="3" t="s">
        <v>931</v>
      </c>
      <c r="C4" s="3" t="s">
        <v>271</v>
      </c>
      <c r="D4" s="3" t="s">
        <v>932</v>
      </c>
      <c r="E4" s="3" t="s">
        <v>266</v>
      </c>
      <c r="F4" s="3" t="s">
        <v>933</v>
      </c>
      <c r="G4" s="3"/>
    </row>
    <row r="5" customFormat="false" ht="35.05" hidden="false" customHeight="false" outlineLevel="0" collapsed="false">
      <c r="A5" s="3" t="s">
        <v>240</v>
      </c>
      <c r="B5" s="3" t="s">
        <v>931</v>
      </c>
      <c r="C5" s="3" t="s">
        <v>306</v>
      </c>
      <c r="D5" s="3" t="s">
        <v>934</v>
      </c>
      <c r="E5" s="3" t="s">
        <v>300</v>
      </c>
      <c r="F5" s="3" t="s">
        <v>933</v>
      </c>
      <c r="G5" s="3"/>
    </row>
    <row r="6" customFormat="false" ht="23.85" hidden="false" customHeight="false" outlineLevel="0" collapsed="false">
      <c r="A6" s="3" t="s">
        <v>240</v>
      </c>
      <c r="B6" s="3" t="s">
        <v>931</v>
      </c>
      <c r="C6" s="3" t="s">
        <v>935</v>
      </c>
      <c r="D6" s="3" t="s">
        <v>936</v>
      </c>
      <c r="E6" s="3" t="s">
        <v>286</v>
      </c>
      <c r="F6" s="3" t="s">
        <v>937</v>
      </c>
      <c r="G6" s="3" t="s">
        <v>938</v>
      </c>
    </row>
    <row r="7" customFormat="false" ht="57.45" hidden="false" customHeight="false" outlineLevel="0" collapsed="false">
      <c r="A7" s="3" t="s">
        <v>240</v>
      </c>
      <c r="B7" s="3" t="s">
        <v>931</v>
      </c>
      <c r="C7" s="3" t="s">
        <v>939</v>
      </c>
      <c r="D7" s="3" t="s">
        <v>940</v>
      </c>
      <c r="E7" s="3" t="s">
        <v>286</v>
      </c>
      <c r="F7" s="3" t="s">
        <v>933</v>
      </c>
      <c r="G7" s="3"/>
    </row>
    <row r="8" customFormat="false" ht="23.85" hidden="false" customHeight="false" outlineLevel="0" collapsed="false">
      <c r="A8" s="3" t="s">
        <v>240</v>
      </c>
      <c r="B8" s="3" t="s">
        <v>931</v>
      </c>
      <c r="C8" s="3" t="s">
        <v>941</v>
      </c>
      <c r="D8" s="3" t="s">
        <v>942</v>
      </c>
      <c r="E8" s="3" t="s">
        <v>245</v>
      </c>
      <c r="F8" s="3" t="s">
        <v>943</v>
      </c>
      <c r="G8" s="3" t="s">
        <v>944</v>
      </c>
    </row>
    <row r="9" customFormat="false" ht="23.85" hidden="false" customHeight="false" outlineLevel="0" collapsed="false">
      <c r="A9" s="3" t="s">
        <v>240</v>
      </c>
      <c r="B9" s="3" t="s">
        <v>931</v>
      </c>
      <c r="C9" s="3" t="s">
        <v>945</v>
      </c>
      <c r="D9" s="3" t="s">
        <v>946</v>
      </c>
      <c r="E9" s="3" t="s">
        <v>245</v>
      </c>
      <c r="F9" s="3" t="s">
        <v>943</v>
      </c>
      <c r="G9" s="3" t="s">
        <v>947</v>
      </c>
    </row>
    <row r="10" customFormat="false" ht="23.85" hidden="false" customHeight="false" outlineLevel="0" collapsed="false">
      <c r="A10" s="3" t="s">
        <v>240</v>
      </c>
      <c r="B10" s="3" t="s">
        <v>931</v>
      </c>
      <c r="C10" s="3" t="s">
        <v>948</v>
      </c>
      <c r="D10" s="3" t="s">
        <v>949</v>
      </c>
      <c r="E10" s="3" t="s">
        <v>245</v>
      </c>
      <c r="F10" s="3" t="s">
        <v>943</v>
      </c>
      <c r="G10" s="3" t="s">
        <v>950</v>
      </c>
    </row>
    <row r="11" customFormat="false" ht="35.05" hidden="false" customHeight="false" outlineLevel="0" collapsed="false">
      <c r="A11" s="3" t="s">
        <v>240</v>
      </c>
      <c r="B11" s="3" t="s">
        <v>951</v>
      </c>
      <c r="C11" s="3" t="s">
        <v>502</v>
      </c>
      <c r="D11" s="3" t="s">
        <v>952</v>
      </c>
      <c r="E11" s="3" t="s">
        <v>497</v>
      </c>
      <c r="F11" s="3" t="s">
        <v>933</v>
      </c>
      <c r="G11" s="3"/>
    </row>
    <row r="12" customFormat="false" ht="23.85" hidden="false" customHeight="false" outlineLevel="0" collapsed="false">
      <c r="A12" s="3" t="s">
        <v>240</v>
      </c>
      <c r="B12" s="3" t="s">
        <v>951</v>
      </c>
      <c r="C12" s="3" t="s">
        <v>953</v>
      </c>
      <c r="D12" s="3" t="s">
        <v>954</v>
      </c>
      <c r="E12" s="3" t="s">
        <v>504</v>
      </c>
      <c r="F12" s="3" t="s">
        <v>933</v>
      </c>
      <c r="G12" s="3" t="s">
        <v>955</v>
      </c>
    </row>
    <row r="13" customFormat="false" ht="23.85" hidden="false" customHeight="false" outlineLevel="0" collapsed="false">
      <c r="A13" s="3" t="s">
        <v>240</v>
      </c>
      <c r="B13" s="3" t="s">
        <v>951</v>
      </c>
      <c r="C13" s="3" t="s">
        <v>956</v>
      </c>
      <c r="D13" s="3" t="s">
        <v>957</v>
      </c>
      <c r="E13" s="3" t="s">
        <v>504</v>
      </c>
      <c r="F13" s="3" t="s">
        <v>937</v>
      </c>
      <c r="G13" s="3" t="s">
        <v>958</v>
      </c>
    </row>
    <row r="14" customFormat="false" ht="15" hidden="false" customHeight="false" outlineLevel="0" collapsed="false">
      <c r="A14" s="3" t="s">
        <v>240</v>
      </c>
      <c r="B14" s="3" t="s">
        <v>951</v>
      </c>
      <c r="C14" s="3" t="s">
        <v>523</v>
      </c>
      <c r="D14" s="3" t="s">
        <v>959</v>
      </c>
      <c r="E14" s="3" t="s">
        <v>519</v>
      </c>
      <c r="F14" s="3" t="s">
        <v>933</v>
      </c>
      <c r="G14" s="3"/>
    </row>
    <row r="15" customFormat="false" ht="15" hidden="false" customHeight="false" outlineLevel="0" collapsed="false">
      <c r="A15" s="3" t="s">
        <v>240</v>
      </c>
      <c r="B15" s="3" t="s">
        <v>951</v>
      </c>
      <c r="C15" s="3" t="s">
        <v>530</v>
      </c>
      <c r="D15" s="3" t="s">
        <v>960</v>
      </c>
      <c r="E15" s="3" t="s">
        <v>525</v>
      </c>
      <c r="F15" s="3" t="s">
        <v>933</v>
      </c>
      <c r="G15" s="3"/>
    </row>
    <row r="16" customFormat="false" ht="15" hidden="false" customHeight="false" outlineLevel="0" collapsed="false">
      <c r="A16" s="3" t="s">
        <v>240</v>
      </c>
      <c r="B16" s="3" t="s">
        <v>951</v>
      </c>
      <c r="C16" s="3" t="s">
        <v>961</v>
      </c>
      <c r="D16" s="3" t="s">
        <v>962</v>
      </c>
      <c r="E16" s="3" t="s">
        <v>561</v>
      </c>
      <c r="F16" s="3" t="s">
        <v>937</v>
      </c>
      <c r="G16" s="3" t="s">
        <v>963</v>
      </c>
    </row>
    <row r="17" customFormat="false" ht="23.85" hidden="false" customHeight="false" outlineLevel="0" collapsed="false">
      <c r="A17" s="3" t="s">
        <v>240</v>
      </c>
      <c r="B17" s="3" t="s">
        <v>951</v>
      </c>
      <c r="C17" s="3" t="s">
        <v>964</v>
      </c>
      <c r="D17" s="3" t="s">
        <v>965</v>
      </c>
      <c r="E17" s="3" t="s">
        <v>966</v>
      </c>
      <c r="F17" s="3" t="s">
        <v>933</v>
      </c>
      <c r="G17" s="3" t="s">
        <v>967</v>
      </c>
    </row>
    <row r="18" customFormat="false" ht="23.85" hidden="false" customHeight="false" outlineLevel="0" collapsed="false">
      <c r="A18" s="3" t="s">
        <v>240</v>
      </c>
      <c r="B18" s="3" t="s">
        <v>951</v>
      </c>
      <c r="C18" s="3" t="s">
        <v>538</v>
      </c>
      <c r="D18" s="3" t="s">
        <v>968</v>
      </c>
      <c r="E18" s="3" t="s">
        <v>532</v>
      </c>
      <c r="F18" s="3" t="s">
        <v>933</v>
      </c>
      <c r="G18" s="3"/>
    </row>
    <row r="19" customFormat="false" ht="23.85" hidden="false" customHeight="false" outlineLevel="0" collapsed="false">
      <c r="A19" s="3" t="s">
        <v>240</v>
      </c>
      <c r="B19" s="3" t="s">
        <v>951</v>
      </c>
      <c r="C19" s="3" t="s">
        <v>969</v>
      </c>
      <c r="D19" s="3" t="s">
        <v>970</v>
      </c>
      <c r="E19" s="3" t="s">
        <v>540</v>
      </c>
      <c r="F19" s="3" t="s">
        <v>933</v>
      </c>
      <c r="G19" s="3"/>
    </row>
    <row r="20" customFormat="false" ht="15" hidden="false" customHeight="false" outlineLevel="0" collapsed="false">
      <c r="A20" s="3" t="s">
        <v>240</v>
      </c>
      <c r="B20" s="3" t="s">
        <v>971</v>
      </c>
      <c r="C20" s="3" t="s">
        <v>263</v>
      </c>
      <c r="D20" s="3" t="s">
        <v>972</v>
      </c>
      <c r="E20" s="3" t="s">
        <v>254</v>
      </c>
      <c r="F20" s="3" t="s">
        <v>933</v>
      </c>
      <c r="G20" s="3" t="s">
        <v>973</v>
      </c>
    </row>
    <row r="21" customFormat="false" ht="15" hidden="false" customHeight="false" outlineLevel="0" collapsed="false">
      <c r="A21" s="3" t="s">
        <v>240</v>
      </c>
      <c r="B21" s="3" t="s">
        <v>971</v>
      </c>
      <c r="C21" s="3" t="s">
        <v>552</v>
      </c>
      <c r="D21" s="3" t="s">
        <v>974</v>
      </c>
      <c r="E21" s="3" t="s">
        <v>547</v>
      </c>
      <c r="F21" s="3" t="s">
        <v>933</v>
      </c>
      <c r="G21" s="3"/>
    </row>
    <row r="22" customFormat="false" ht="23.85" hidden="false" customHeight="false" outlineLevel="0" collapsed="false">
      <c r="A22" s="3" t="s">
        <v>240</v>
      </c>
      <c r="B22" s="3" t="s">
        <v>971</v>
      </c>
      <c r="C22" s="3" t="s">
        <v>517</v>
      </c>
      <c r="D22" s="3" t="s">
        <v>975</v>
      </c>
      <c r="E22" s="3" t="s">
        <v>512</v>
      </c>
      <c r="F22" s="3" t="s">
        <v>933</v>
      </c>
      <c r="G22" s="3"/>
    </row>
    <row r="23" customFormat="false" ht="15" hidden="false" customHeight="false" outlineLevel="0" collapsed="false">
      <c r="A23" s="3" t="s">
        <v>240</v>
      </c>
      <c r="B23" s="3" t="s">
        <v>971</v>
      </c>
      <c r="C23" s="3" t="s">
        <v>559</v>
      </c>
      <c r="D23" s="3" t="s">
        <v>976</v>
      </c>
      <c r="E23" s="3" t="s">
        <v>554</v>
      </c>
      <c r="F23" s="3" t="s">
        <v>933</v>
      </c>
      <c r="G23" s="3"/>
    </row>
    <row r="24" customFormat="false" ht="23.85" hidden="false" customHeight="false" outlineLevel="0" collapsed="false">
      <c r="A24" s="3" t="s">
        <v>240</v>
      </c>
      <c r="B24" s="3" t="s">
        <v>971</v>
      </c>
      <c r="C24" s="3" t="s">
        <v>977</v>
      </c>
      <c r="D24" s="3" t="s">
        <v>978</v>
      </c>
      <c r="E24" s="3" t="s">
        <v>979</v>
      </c>
      <c r="F24" s="3" t="s">
        <v>933</v>
      </c>
      <c r="G24" s="3" t="s">
        <v>980</v>
      </c>
    </row>
    <row r="25" customFormat="false" ht="23.85" hidden="false" customHeight="false" outlineLevel="0" collapsed="false">
      <c r="A25" s="3" t="s">
        <v>240</v>
      </c>
      <c r="B25" s="3" t="s">
        <v>981</v>
      </c>
      <c r="C25" s="3" t="s">
        <v>629</v>
      </c>
      <c r="D25" s="3" t="s">
        <v>982</v>
      </c>
      <c r="E25" s="3" t="s">
        <v>625</v>
      </c>
      <c r="F25" s="3" t="s">
        <v>933</v>
      </c>
      <c r="G25" s="3"/>
    </row>
    <row r="26" customFormat="false" ht="23.85" hidden="false" customHeight="false" outlineLevel="0" collapsed="false">
      <c r="A26" s="3" t="s">
        <v>240</v>
      </c>
      <c r="B26" s="3" t="s">
        <v>981</v>
      </c>
      <c r="C26" s="3" t="s">
        <v>577</v>
      </c>
      <c r="D26" s="3" t="s">
        <v>983</v>
      </c>
      <c r="E26" s="3" t="s">
        <v>570</v>
      </c>
      <c r="F26" s="3" t="s">
        <v>933</v>
      </c>
      <c r="G26" s="3"/>
    </row>
    <row r="27" customFormat="false" ht="23.85" hidden="false" customHeight="false" outlineLevel="0" collapsed="false">
      <c r="A27" s="3" t="s">
        <v>240</v>
      </c>
      <c r="B27" s="3" t="s">
        <v>981</v>
      </c>
      <c r="C27" s="3" t="s">
        <v>984</v>
      </c>
      <c r="D27" s="3" t="s">
        <v>985</v>
      </c>
      <c r="E27" s="3" t="s">
        <v>986</v>
      </c>
      <c r="F27" s="3" t="s">
        <v>933</v>
      </c>
      <c r="G27" s="3" t="s">
        <v>987</v>
      </c>
    </row>
    <row r="28" customFormat="false" ht="15" hidden="false" customHeight="false" outlineLevel="0" collapsed="false">
      <c r="A28" s="3" t="s">
        <v>240</v>
      </c>
      <c r="B28" s="3" t="s">
        <v>988</v>
      </c>
      <c r="C28" s="3" t="s">
        <v>989</v>
      </c>
      <c r="D28" s="3" t="s">
        <v>990</v>
      </c>
      <c r="E28" s="3" t="s">
        <v>314</v>
      </c>
      <c r="F28" s="3" t="s">
        <v>933</v>
      </c>
      <c r="G28" s="3" t="s">
        <v>991</v>
      </c>
    </row>
    <row r="29" customFormat="false" ht="15" hidden="false" customHeight="false" outlineLevel="0" collapsed="false">
      <c r="A29" s="3" t="s">
        <v>240</v>
      </c>
      <c r="B29" s="3" t="s">
        <v>988</v>
      </c>
      <c r="C29" s="3" t="s">
        <v>992</v>
      </c>
      <c r="D29" s="3" t="s">
        <v>993</v>
      </c>
      <c r="E29" s="3" t="s">
        <v>325</v>
      </c>
      <c r="F29" s="3" t="s">
        <v>933</v>
      </c>
      <c r="G29" s="3" t="s">
        <v>994</v>
      </c>
    </row>
    <row r="30" customFormat="false" ht="46.25" hidden="false" customHeight="false" outlineLevel="0" collapsed="false">
      <c r="A30" s="3" t="s">
        <v>240</v>
      </c>
      <c r="B30" s="3" t="s">
        <v>988</v>
      </c>
      <c r="C30" s="3" t="s">
        <v>995</v>
      </c>
      <c r="D30" s="3" t="s">
        <v>996</v>
      </c>
      <c r="E30" s="3" t="s">
        <v>997</v>
      </c>
      <c r="F30" s="3" t="s">
        <v>933</v>
      </c>
      <c r="G30" s="3" t="s">
        <v>998</v>
      </c>
    </row>
    <row r="31" customFormat="false" ht="15" hidden="false" customHeight="false" outlineLevel="0" collapsed="false">
      <c r="A31" s="3" t="s">
        <v>240</v>
      </c>
      <c r="B31" s="3" t="s">
        <v>999</v>
      </c>
      <c r="C31" s="3" t="s">
        <v>366</v>
      </c>
      <c r="D31" s="3" t="s">
        <v>1000</v>
      </c>
      <c r="E31" s="3" t="s">
        <v>360</v>
      </c>
      <c r="F31" s="3" t="s">
        <v>933</v>
      </c>
      <c r="G31" s="3"/>
    </row>
    <row r="32" customFormat="false" ht="23.85" hidden="false" customHeight="false" outlineLevel="0" collapsed="false">
      <c r="A32" s="3" t="s">
        <v>240</v>
      </c>
      <c r="B32" s="3" t="s">
        <v>999</v>
      </c>
      <c r="C32" s="3" t="s">
        <v>1001</v>
      </c>
      <c r="D32" s="3" t="s">
        <v>1002</v>
      </c>
      <c r="E32" s="3" t="s">
        <v>742</v>
      </c>
      <c r="F32" s="3" t="s">
        <v>937</v>
      </c>
      <c r="G32" s="3" t="s">
        <v>1003</v>
      </c>
    </row>
    <row r="33" customFormat="false" ht="57.45" hidden="false" customHeight="false" outlineLevel="0" collapsed="false">
      <c r="A33" s="3" t="s">
        <v>240</v>
      </c>
      <c r="B33" s="3" t="s">
        <v>999</v>
      </c>
      <c r="C33" s="3" t="s">
        <v>340</v>
      </c>
      <c r="D33" s="3" t="s">
        <v>1004</v>
      </c>
      <c r="E33" s="3" t="s">
        <v>1005</v>
      </c>
      <c r="F33" s="3" t="s">
        <v>933</v>
      </c>
      <c r="G33" s="3" t="s">
        <v>1006</v>
      </c>
    </row>
    <row r="34" customFormat="false" ht="23.85" hidden="false" customHeight="false" outlineLevel="0" collapsed="false">
      <c r="A34" s="3" t="s">
        <v>240</v>
      </c>
      <c r="B34" s="3" t="s">
        <v>999</v>
      </c>
      <c r="C34" s="3" t="s">
        <v>1007</v>
      </c>
      <c r="D34" s="3" t="s">
        <v>1008</v>
      </c>
      <c r="E34" s="3" t="s">
        <v>342</v>
      </c>
      <c r="F34" s="3" t="s">
        <v>933</v>
      </c>
      <c r="G34" s="3"/>
    </row>
    <row r="35" customFormat="false" ht="23.85" hidden="false" customHeight="false" outlineLevel="0" collapsed="false">
      <c r="A35" s="3" t="s">
        <v>240</v>
      </c>
      <c r="B35" s="3" t="s">
        <v>999</v>
      </c>
      <c r="C35" s="3" t="s">
        <v>1009</v>
      </c>
      <c r="D35" s="3" t="s">
        <v>1010</v>
      </c>
      <c r="E35" s="3" t="s">
        <v>561</v>
      </c>
      <c r="F35" s="3" t="s">
        <v>933</v>
      </c>
      <c r="G35" s="3" t="s">
        <v>1011</v>
      </c>
    </row>
    <row r="36" customFormat="false" ht="23.85" hidden="false" customHeight="false" outlineLevel="0" collapsed="false">
      <c r="A36" s="3" t="s">
        <v>240</v>
      </c>
      <c r="B36" s="3" t="s">
        <v>999</v>
      </c>
      <c r="C36" s="3" t="s">
        <v>1012</v>
      </c>
      <c r="D36" s="3" t="s">
        <v>1013</v>
      </c>
      <c r="E36" s="3" t="s">
        <v>742</v>
      </c>
      <c r="F36" s="3" t="s">
        <v>933</v>
      </c>
      <c r="G36" s="3"/>
    </row>
    <row r="37" customFormat="false" ht="15" hidden="false" customHeight="false" outlineLevel="0" collapsed="false">
      <c r="A37" s="3" t="s">
        <v>240</v>
      </c>
      <c r="B37" s="3" t="s">
        <v>999</v>
      </c>
      <c r="C37" s="3" t="s">
        <v>358</v>
      </c>
      <c r="D37" s="3" t="s">
        <v>1014</v>
      </c>
      <c r="E37" s="3" t="s">
        <v>349</v>
      </c>
      <c r="F37" s="3" t="s">
        <v>933</v>
      </c>
      <c r="G37" s="3"/>
    </row>
    <row r="38" customFormat="false" ht="35.05" hidden="false" customHeight="false" outlineLevel="0" collapsed="false">
      <c r="A38" s="3" t="s">
        <v>336</v>
      </c>
      <c r="B38" s="3" t="s">
        <v>1015</v>
      </c>
      <c r="C38" s="3" t="s">
        <v>453</v>
      </c>
      <c r="D38" s="3" t="s">
        <v>1016</v>
      </c>
      <c r="E38" s="3" t="s">
        <v>448</v>
      </c>
      <c r="F38" s="3" t="s">
        <v>933</v>
      </c>
      <c r="G38" s="3"/>
    </row>
    <row r="39" customFormat="false" ht="35.05" hidden="false" customHeight="false" outlineLevel="0" collapsed="false">
      <c r="A39" s="3" t="s">
        <v>336</v>
      </c>
      <c r="B39" s="3" t="s">
        <v>1015</v>
      </c>
      <c r="C39" s="3" t="s">
        <v>1017</v>
      </c>
      <c r="D39" s="3" t="s">
        <v>1018</v>
      </c>
      <c r="E39" s="3" t="s">
        <v>245</v>
      </c>
      <c r="F39" s="3" t="s">
        <v>1019</v>
      </c>
      <c r="G39" s="3" t="s">
        <v>1020</v>
      </c>
    </row>
    <row r="40" customFormat="false" ht="23.85" hidden="false" customHeight="false" outlineLevel="0" collapsed="false">
      <c r="A40" s="3" t="s">
        <v>336</v>
      </c>
      <c r="B40" s="3" t="s">
        <v>1015</v>
      </c>
      <c r="C40" s="3" t="s">
        <v>1021</v>
      </c>
      <c r="D40" s="3" t="s">
        <v>1022</v>
      </c>
      <c r="E40" s="3" t="s">
        <v>718</v>
      </c>
      <c r="F40" s="3" t="s">
        <v>937</v>
      </c>
      <c r="G40" s="3" t="s">
        <v>1023</v>
      </c>
    </row>
    <row r="41" customFormat="false" ht="23.85" hidden="false" customHeight="false" outlineLevel="0" collapsed="false">
      <c r="A41" s="3" t="s">
        <v>336</v>
      </c>
      <c r="B41" s="3" t="s">
        <v>1015</v>
      </c>
      <c r="C41" s="3" t="s">
        <v>1024</v>
      </c>
      <c r="D41" s="3" t="s">
        <v>1025</v>
      </c>
      <c r="E41" s="3" t="s">
        <v>700</v>
      </c>
      <c r="F41" s="3" t="s">
        <v>933</v>
      </c>
      <c r="G41" s="3"/>
    </row>
    <row r="42" customFormat="false" ht="23.85" hidden="false" customHeight="false" outlineLevel="0" collapsed="false">
      <c r="A42" s="3" t="s">
        <v>336</v>
      </c>
      <c r="B42" s="3" t="s">
        <v>1026</v>
      </c>
      <c r="C42" s="3" t="s">
        <v>398</v>
      </c>
      <c r="D42" s="3" t="s">
        <v>1027</v>
      </c>
      <c r="E42" s="3" t="s">
        <v>392</v>
      </c>
      <c r="F42" s="3" t="s">
        <v>937</v>
      </c>
      <c r="G42" s="3" t="s">
        <v>1028</v>
      </c>
    </row>
    <row r="43" customFormat="false" ht="23.85" hidden="false" customHeight="false" outlineLevel="0" collapsed="false">
      <c r="A43" s="3" t="s">
        <v>336</v>
      </c>
      <c r="B43" s="3" t="s">
        <v>1026</v>
      </c>
      <c r="C43" s="3" t="s">
        <v>1029</v>
      </c>
      <c r="D43" s="3" t="s">
        <v>1030</v>
      </c>
      <c r="E43" s="3" t="s">
        <v>342</v>
      </c>
      <c r="F43" s="3" t="s">
        <v>937</v>
      </c>
      <c r="G43" s="3" t="s">
        <v>1031</v>
      </c>
    </row>
    <row r="44" customFormat="false" ht="35.05" hidden="false" customHeight="false" outlineLevel="0" collapsed="false">
      <c r="A44" s="3" t="s">
        <v>336</v>
      </c>
      <c r="B44" s="3" t="s">
        <v>1032</v>
      </c>
      <c r="C44" s="3" t="s">
        <v>1033</v>
      </c>
      <c r="D44" s="3" t="s">
        <v>1034</v>
      </c>
      <c r="E44" s="3" t="s">
        <v>540</v>
      </c>
      <c r="F44" s="3" t="s">
        <v>933</v>
      </c>
      <c r="G44" s="3"/>
    </row>
    <row r="45" customFormat="false" ht="35.05" hidden="false" customHeight="false" outlineLevel="0" collapsed="false">
      <c r="A45" s="3" t="s">
        <v>336</v>
      </c>
      <c r="B45" s="3" t="s">
        <v>1032</v>
      </c>
      <c r="C45" s="3" t="s">
        <v>298</v>
      </c>
      <c r="D45" s="3" t="s">
        <v>1035</v>
      </c>
      <c r="E45" s="3" t="s">
        <v>293</v>
      </c>
      <c r="F45" s="3" t="s">
        <v>933</v>
      </c>
      <c r="G45" s="3"/>
    </row>
    <row r="46" customFormat="false" ht="57.45" hidden="false" customHeight="false" outlineLevel="0" collapsed="false">
      <c r="A46" s="3" t="s">
        <v>336</v>
      </c>
      <c r="B46" s="3" t="s">
        <v>1032</v>
      </c>
      <c r="C46" s="3" t="s">
        <v>1036</v>
      </c>
      <c r="D46" s="3" t="s">
        <v>1037</v>
      </c>
      <c r="E46" s="3" t="s">
        <v>245</v>
      </c>
      <c r="F46" s="3" t="s">
        <v>1019</v>
      </c>
      <c r="G46" s="3" t="s">
        <v>1038</v>
      </c>
    </row>
    <row r="47" customFormat="false" ht="23.85" hidden="false" customHeight="false" outlineLevel="0" collapsed="false">
      <c r="A47" s="3" t="s">
        <v>336</v>
      </c>
      <c r="B47" s="3" t="s">
        <v>1032</v>
      </c>
      <c r="C47" s="3" t="s">
        <v>1039</v>
      </c>
      <c r="D47" s="3" t="s">
        <v>1040</v>
      </c>
      <c r="E47" s="3" t="s">
        <v>1041</v>
      </c>
      <c r="F47" s="3" t="s">
        <v>933</v>
      </c>
      <c r="G47" s="3" t="s">
        <v>1042</v>
      </c>
    </row>
    <row r="48" customFormat="false" ht="23.85" hidden="false" customHeight="false" outlineLevel="0" collapsed="false">
      <c r="A48" s="3" t="s">
        <v>336</v>
      </c>
      <c r="B48" s="3" t="s">
        <v>1043</v>
      </c>
      <c r="C48" s="3" t="s">
        <v>599</v>
      </c>
      <c r="D48" s="3" t="s">
        <v>1044</v>
      </c>
      <c r="E48" s="3" t="s">
        <v>593</v>
      </c>
      <c r="F48" s="3" t="s">
        <v>933</v>
      </c>
      <c r="G48" s="3"/>
    </row>
    <row r="49" customFormat="false" ht="15" hidden="false" customHeight="false" outlineLevel="0" collapsed="false">
      <c r="A49" s="3" t="s">
        <v>336</v>
      </c>
      <c r="B49" s="3" t="s">
        <v>1043</v>
      </c>
      <c r="C49" s="3" t="s">
        <v>1045</v>
      </c>
      <c r="D49" s="3" t="s">
        <v>1046</v>
      </c>
      <c r="E49" s="3" t="s">
        <v>245</v>
      </c>
      <c r="F49" s="3" t="s">
        <v>1019</v>
      </c>
      <c r="G49" s="3" t="s">
        <v>1047</v>
      </c>
    </row>
    <row r="50" customFormat="false" ht="23.85" hidden="false" customHeight="false" outlineLevel="0" collapsed="false">
      <c r="A50" s="3" t="s">
        <v>336</v>
      </c>
      <c r="B50" s="3" t="s">
        <v>1043</v>
      </c>
      <c r="C50" s="3" t="s">
        <v>605</v>
      </c>
      <c r="D50" s="3" t="s">
        <v>1048</v>
      </c>
      <c r="E50" s="3" t="s">
        <v>601</v>
      </c>
      <c r="F50" s="3" t="s">
        <v>933</v>
      </c>
      <c r="G50" s="3"/>
    </row>
    <row r="51" customFormat="false" ht="35.05" hidden="false" customHeight="false" outlineLevel="0" collapsed="false">
      <c r="A51" s="3" t="s">
        <v>336</v>
      </c>
      <c r="B51" s="3" t="s">
        <v>1043</v>
      </c>
      <c r="C51" s="3" t="s">
        <v>614</v>
      </c>
      <c r="D51" s="3" t="s">
        <v>1049</v>
      </c>
      <c r="E51" s="3" t="s">
        <v>607</v>
      </c>
      <c r="F51" s="3" t="s">
        <v>933</v>
      </c>
      <c r="G51" s="3"/>
    </row>
    <row r="52" customFormat="false" ht="23.85" hidden="false" customHeight="false" outlineLevel="0" collapsed="false">
      <c r="A52" s="3" t="s">
        <v>336</v>
      </c>
      <c r="B52" s="3" t="s">
        <v>1043</v>
      </c>
      <c r="C52" s="3" t="s">
        <v>1050</v>
      </c>
      <c r="D52" s="3" t="s">
        <v>1051</v>
      </c>
      <c r="E52" s="3" t="s">
        <v>616</v>
      </c>
      <c r="F52" s="3" t="s">
        <v>933</v>
      </c>
      <c r="G52" s="3"/>
    </row>
    <row r="53" customFormat="false" ht="23.85" hidden="false" customHeight="false" outlineLevel="0" collapsed="false">
      <c r="A53" s="3" t="s">
        <v>336</v>
      </c>
      <c r="B53" s="3" t="s">
        <v>1052</v>
      </c>
      <c r="C53" s="3" t="s">
        <v>1053</v>
      </c>
      <c r="D53" s="3" t="s">
        <v>1054</v>
      </c>
      <c r="E53" s="3" t="s">
        <v>1055</v>
      </c>
      <c r="F53" s="3" t="s">
        <v>933</v>
      </c>
      <c r="G53" s="3" t="s">
        <v>1056</v>
      </c>
    </row>
    <row r="54" customFormat="false" ht="23.85" hidden="false" customHeight="false" outlineLevel="0" collapsed="false">
      <c r="A54" s="3" t="s">
        <v>336</v>
      </c>
      <c r="B54" s="3" t="s">
        <v>1057</v>
      </c>
      <c r="C54" s="3" t="s">
        <v>383</v>
      </c>
      <c r="D54" s="3" t="s">
        <v>1058</v>
      </c>
      <c r="E54" s="3" t="s">
        <v>1059</v>
      </c>
      <c r="F54" s="3" t="s">
        <v>933</v>
      </c>
      <c r="G54" s="3"/>
    </row>
    <row r="55" customFormat="false" ht="23.85" hidden="false" customHeight="false" outlineLevel="0" collapsed="false">
      <c r="A55" s="3" t="s">
        <v>661</v>
      </c>
      <c r="B55" s="3" t="s">
        <v>1060</v>
      </c>
      <c r="C55" s="3" t="s">
        <v>1061</v>
      </c>
      <c r="D55" s="3" t="s">
        <v>1062</v>
      </c>
      <c r="E55" s="3" t="s">
        <v>669</v>
      </c>
      <c r="F55" s="3" t="s">
        <v>933</v>
      </c>
      <c r="G55" s="3"/>
    </row>
    <row r="56" customFormat="false" ht="23.85" hidden="false" customHeight="false" outlineLevel="0" collapsed="false">
      <c r="A56" s="3" t="s">
        <v>661</v>
      </c>
      <c r="B56" s="3" t="s">
        <v>1060</v>
      </c>
      <c r="C56" s="3" t="s">
        <v>1063</v>
      </c>
      <c r="D56" s="3" t="s">
        <v>1064</v>
      </c>
      <c r="E56" s="3" t="s">
        <v>1065</v>
      </c>
      <c r="F56" s="3" t="s">
        <v>1066</v>
      </c>
      <c r="G56" s="3" t="s">
        <v>1067</v>
      </c>
    </row>
    <row r="57" customFormat="false" ht="15" hidden="false" customHeight="false" outlineLevel="0" collapsed="false">
      <c r="A57" s="3" t="s">
        <v>661</v>
      </c>
      <c r="B57" s="3" t="s">
        <v>1068</v>
      </c>
      <c r="C57" s="3" t="s">
        <v>1061</v>
      </c>
      <c r="D57" s="3" t="s">
        <v>1069</v>
      </c>
      <c r="E57" s="3" t="s">
        <v>734</v>
      </c>
      <c r="F57" s="3" t="s">
        <v>933</v>
      </c>
      <c r="G57" s="3"/>
    </row>
    <row r="58" customFormat="false" ht="15" hidden="false" customHeight="false" outlineLevel="0" collapsed="false">
      <c r="A58" s="3" t="s">
        <v>661</v>
      </c>
      <c r="B58" s="3" t="s">
        <v>1068</v>
      </c>
      <c r="C58" s="3" t="s">
        <v>1063</v>
      </c>
      <c r="D58" s="3" t="s">
        <v>1070</v>
      </c>
      <c r="E58" s="3" t="s">
        <v>616</v>
      </c>
      <c r="F58" s="3" t="s">
        <v>937</v>
      </c>
      <c r="G58" s="3" t="s">
        <v>1071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40"/>
    <col collapsed="false" customWidth="true" hidden="false" outlineLevel="0" max="3" min="3" style="0" width="11"/>
    <col collapsed="false" customWidth="true" hidden="false" outlineLevel="0" max="4" min="4" style="0" width="28"/>
    <col collapsed="false" customWidth="true" hidden="false" outlineLevel="0" max="5" min="5" style="0" width="15"/>
    <col collapsed="false" customWidth="true" hidden="false" outlineLevel="0" max="6" min="6" style="0" width="44"/>
  </cols>
  <sheetData>
    <row r="1" customFormat="false" ht="15" hidden="false" customHeight="false" outlineLevel="0" collapsed="false">
      <c r="A1" s="5" t="s">
        <v>1072</v>
      </c>
    </row>
    <row r="2" customFormat="false" ht="15" hidden="false" customHeight="false" outlineLevel="0" collapsed="false">
      <c r="A2" s="16" t="s">
        <v>1073</v>
      </c>
    </row>
    <row r="3" customFormat="false" ht="30" hidden="false" customHeight="true" outlineLevel="0" collapsed="false">
      <c r="A3" s="6" t="s">
        <v>1074</v>
      </c>
      <c r="B3" s="6" t="s">
        <v>1075</v>
      </c>
      <c r="C3" s="6" t="s">
        <v>1076</v>
      </c>
      <c r="D3" s="6" t="s">
        <v>928</v>
      </c>
      <c r="E3" s="6" t="s">
        <v>929</v>
      </c>
      <c r="F3" s="6" t="s">
        <v>930</v>
      </c>
    </row>
    <row r="4" customFormat="false" ht="15" hidden="false" customHeight="false" outlineLevel="0" collapsed="false">
      <c r="A4" s="3" t="s">
        <v>1077</v>
      </c>
      <c r="B4" s="3" t="s">
        <v>72</v>
      </c>
      <c r="C4" s="3" t="n">
        <v>281</v>
      </c>
      <c r="D4" s="3" t="s">
        <v>245</v>
      </c>
      <c r="E4" s="3" t="s">
        <v>1078</v>
      </c>
      <c r="F4" s="3" t="s">
        <v>1079</v>
      </c>
    </row>
    <row r="5" customFormat="false" ht="15" hidden="false" customHeight="false" outlineLevel="0" collapsed="false">
      <c r="A5" s="3" t="s">
        <v>1080</v>
      </c>
      <c r="B5" s="3" t="s">
        <v>59</v>
      </c>
      <c r="C5" s="3" t="n">
        <v>134</v>
      </c>
      <c r="D5" s="3" t="s">
        <v>1081</v>
      </c>
      <c r="E5" s="3" t="s">
        <v>937</v>
      </c>
      <c r="F5" s="3" t="s">
        <v>1082</v>
      </c>
    </row>
    <row r="6" customFormat="false" ht="15" hidden="false" customHeight="false" outlineLevel="0" collapsed="false">
      <c r="A6" s="3" t="s">
        <v>1083</v>
      </c>
      <c r="B6" s="3" t="s">
        <v>59</v>
      </c>
      <c r="C6" s="3" t="n">
        <v>132</v>
      </c>
      <c r="D6" s="3" t="s">
        <v>280</v>
      </c>
      <c r="E6" s="3" t="s">
        <v>937</v>
      </c>
      <c r="F6" s="3"/>
    </row>
    <row r="7" customFormat="false" ht="15" hidden="false" customHeight="false" outlineLevel="0" collapsed="false">
      <c r="A7" s="3" t="s">
        <v>1084</v>
      </c>
      <c r="B7" s="3" t="s">
        <v>66</v>
      </c>
      <c r="C7" s="3" t="n">
        <v>109</v>
      </c>
      <c r="D7" s="3" t="s">
        <v>1085</v>
      </c>
      <c r="E7" s="3" t="s">
        <v>937</v>
      </c>
      <c r="F7" s="3" t="s">
        <v>1086</v>
      </c>
    </row>
    <row r="8" customFormat="false" ht="15" hidden="false" customHeight="false" outlineLevel="0" collapsed="false">
      <c r="A8" s="3" t="s">
        <v>1087</v>
      </c>
      <c r="B8" s="3" t="s">
        <v>1088</v>
      </c>
      <c r="C8" s="3" t="n">
        <v>101</v>
      </c>
      <c r="D8" s="3" t="s">
        <v>245</v>
      </c>
      <c r="E8" s="3" t="s">
        <v>1089</v>
      </c>
      <c r="F8" s="3" t="s">
        <v>1090</v>
      </c>
    </row>
    <row r="9" customFormat="false" ht="15" hidden="false" customHeight="false" outlineLevel="0" collapsed="false">
      <c r="A9" s="3" t="s">
        <v>1091</v>
      </c>
      <c r="B9" s="3" t="s">
        <v>83</v>
      </c>
      <c r="C9" s="3" t="n">
        <v>95</v>
      </c>
      <c r="D9" s="3" t="s">
        <v>1092</v>
      </c>
      <c r="E9" s="3" t="s">
        <v>937</v>
      </c>
      <c r="F9" s="3" t="s">
        <v>1093</v>
      </c>
    </row>
    <row r="10" customFormat="false" ht="15" hidden="false" customHeight="false" outlineLevel="0" collapsed="false">
      <c r="A10" s="3" t="s">
        <v>1094</v>
      </c>
      <c r="B10" s="3" t="s">
        <v>89</v>
      </c>
      <c r="C10" s="3" t="n">
        <v>84</v>
      </c>
      <c r="D10" s="3" t="s">
        <v>631</v>
      </c>
      <c r="E10" s="3" t="s">
        <v>933</v>
      </c>
      <c r="F10" s="3"/>
    </row>
    <row r="11" customFormat="false" ht="15" hidden="false" customHeight="false" outlineLevel="0" collapsed="false">
      <c r="A11" s="3" t="s">
        <v>1095</v>
      </c>
      <c r="B11" s="3" t="s">
        <v>78</v>
      </c>
      <c r="C11" s="3" t="n">
        <v>64</v>
      </c>
      <c r="D11" s="3" t="s">
        <v>497</v>
      </c>
      <c r="E11" s="3" t="s">
        <v>933</v>
      </c>
      <c r="F11" s="3"/>
    </row>
    <row r="12" customFormat="false" ht="15" hidden="false" customHeight="false" outlineLevel="0" collapsed="false">
      <c r="A12" s="3" t="s">
        <v>1096</v>
      </c>
      <c r="B12" s="3" t="s">
        <v>66</v>
      </c>
      <c r="C12" s="3" t="n">
        <v>62</v>
      </c>
      <c r="D12" s="3" t="s">
        <v>1097</v>
      </c>
      <c r="E12" s="3" t="s">
        <v>937</v>
      </c>
      <c r="F12" s="3" t="s">
        <v>1098</v>
      </c>
    </row>
    <row r="13" customFormat="false" ht="15" hidden="false" customHeight="false" outlineLevel="0" collapsed="false">
      <c r="A13" s="3" t="s">
        <v>1099</v>
      </c>
      <c r="B13" s="3" t="s">
        <v>59</v>
      </c>
      <c r="C13" s="3" t="n">
        <v>56</v>
      </c>
      <c r="D13" s="3" t="s">
        <v>280</v>
      </c>
      <c r="E13" s="3" t="s">
        <v>937</v>
      </c>
      <c r="F13" s="3"/>
    </row>
    <row r="14" customFormat="false" ht="15" hidden="false" customHeight="false" outlineLevel="0" collapsed="false">
      <c r="A14" s="3" t="s">
        <v>1100</v>
      </c>
      <c r="B14" s="3" t="s">
        <v>59</v>
      </c>
      <c r="C14" s="3" t="n">
        <v>35</v>
      </c>
      <c r="D14" s="3" t="s">
        <v>308</v>
      </c>
      <c r="E14" s="3" t="s">
        <v>933</v>
      </c>
      <c r="F14" s="3"/>
    </row>
    <row r="15" customFormat="false" ht="15" hidden="false" customHeight="false" outlineLevel="0" collapsed="false">
      <c r="A15" s="3" t="s">
        <v>1101</v>
      </c>
      <c r="B15" s="3" t="s">
        <v>95</v>
      </c>
      <c r="C15" s="3" t="n">
        <v>35</v>
      </c>
      <c r="D15" s="3" t="s">
        <v>678</v>
      </c>
      <c r="E15" s="3" t="s">
        <v>937</v>
      </c>
      <c r="F15" s="3"/>
    </row>
    <row r="16" customFormat="false" ht="15" hidden="false" customHeight="false" outlineLevel="0" collapsed="false">
      <c r="A16" s="3" t="s">
        <v>1102</v>
      </c>
      <c r="B16" s="3" t="s">
        <v>72</v>
      </c>
      <c r="C16" s="3" t="n">
        <v>35</v>
      </c>
      <c r="D16" s="3" t="s">
        <v>245</v>
      </c>
      <c r="E16" s="3" t="s">
        <v>1078</v>
      </c>
      <c r="F16" s="3"/>
    </row>
    <row r="17" customFormat="false" ht="15" hidden="false" customHeight="false" outlineLevel="0" collapsed="false">
      <c r="A17" s="3" t="s">
        <v>1103</v>
      </c>
      <c r="B17" s="3" t="s">
        <v>95</v>
      </c>
      <c r="C17" s="3" t="n">
        <v>33</v>
      </c>
      <c r="D17" s="3" t="s">
        <v>1104</v>
      </c>
      <c r="E17" s="3" t="s">
        <v>937</v>
      </c>
      <c r="F17" s="3"/>
    </row>
    <row r="18" customFormat="false" ht="15" hidden="false" customHeight="false" outlineLevel="0" collapsed="false">
      <c r="A18" s="3" t="s">
        <v>1105</v>
      </c>
      <c r="B18" s="3" t="s">
        <v>66</v>
      </c>
      <c r="C18" s="3" t="n">
        <v>33</v>
      </c>
      <c r="D18" s="3" t="s">
        <v>245</v>
      </c>
      <c r="E18" s="3" t="s">
        <v>1078</v>
      </c>
      <c r="F18" s="3"/>
    </row>
    <row r="19" customFormat="false" ht="15" hidden="false" customHeight="false" outlineLevel="0" collapsed="false">
      <c r="A19" s="3" t="s">
        <v>1106</v>
      </c>
      <c r="B19" s="3" t="s">
        <v>78</v>
      </c>
      <c r="C19" s="3" t="n">
        <v>26</v>
      </c>
      <c r="D19" s="3" t="s">
        <v>1107</v>
      </c>
      <c r="E19" s="3" t="s">
        <v>937</v>
      </c>
      <c r="F19" s="3" t="s">
        <v>1098</v>
      </c>
    </row>
    <row r="20" customFormat="false" ht="15" hidden="false" customHeight="false" outlineLevel="0" collapsed="false">
      <c r="A20" s="3" t="s">
        <v>1108</v>
      </c>
      <c r="B20" s="3" t="s">
        <v>66</v>
      </c>
      <c r="C20" s="3" t="n">
        <v>26</v>
      </c>
      <c r="D20" s="3" t="s">
        <v>1109</v>
      </c>
      <c r="E20" s="3" t="s">
        <v>937</v>
      </c>
      <c r="F20" s="3"/>
    </row>
    <row r="21" customFormat="false" ht="15" hidden="false" customHeight="false" outlineLevel="0" collapsed="false">
      <c r="A21" s="3" t="s">
        <v>1110</v>
      </c>
      <c r="B21" s="3" t="s">
        <v>72</v>
      </c>
      <c r="C21" s="3" t="n">
        <v>25</v>
      </c>
      <c r="D21" s="3" t="s">
        <v>1111</v>
      </c>
      <c r="E21" s="3" t="s">
        <v>937</v>
      </c>
      <c r="F21" s="3" t="s">
        <v>1086</v>
      </c>
    </row>
    <row r="22" customFormat="false" ht="15" hidden="false" customHeight="false" outlineLevel="0" collapsed="false">
      <c r="A22" s="3" t="s">
        <v>1112</v>
      </c>
      <c r="B22" s="3" t="s">
        <v>59</v>
      </c>
      <c r="C22" s="3" t="n">
        <v>23</v>
      </c>
      <c r="D22" s="3" t="s">
        <v>245</v>
      </c>
      <c r="E22" s="3" t="s">
        <v>1078</v>
      </c>
      <c r="F22" s="3"/>
    </row>
    <row r="23" customFormat="false" ht="15" hidden="false" customHeight="false" outlineLevel="0" collapsed="false">
      <c r="A23" s="3" t="s">
        <v>1113</v>
      </c>
      <c r="B23" s="3" t="s">
        <v>66</v>
      </c>
      <c r="C23" s="3" t="n">
        <v>15</v>
      </c>
      <c r="D23" s="3" t="s">
        <v>1114</v>
      </c>
      <c r="E23" s="3" t="s">
        <v>937</v>
      </c>
      <c r="F23" s="3"/>
    </row>
    <row r="24" customFormat="false" ht="15" hidden="false" customHeight="false" outlineLevel="0" collapsed="false">
      <c r="A24" s="3" t="s">
        <v>1115</v>
      </c>
      <c r="B24" s="3" t="s">
        <v>78</v>
      </c>
      <c r="C24" s="3" t="n">
        <v>14</v>
      </c>
      <c r="D24" s="3" t="s">
        <v>1116</v>
      </c>
      <c r="E24" s="3" t="s">
        <v>937</v>
      </c>
      <c r="F24" s="3"/>
    </row>
    <row r="25" customFormat="false" ht="15" hidden="false" customHeight="false" outlineLevel="0" collapsed="false">
      <c r="A25" s="3" t="s">
        <v>1117</v>
      </c>
      <c r="B25" s="3" t="s">
        <v>66</v>
      </c>
      <c r="C25" s="3" t="n">
        <v>11</v>
      </c>
      <c r="D25" s="3" t="s">
        <v>1118</v>
      </c>
      <c r="E25" s="3" t="s">
        <v>933</v>
      </c>
      <c r="F25" s="3"/>
    </row>
    <row r="26" customFormat="false" ht="15" hidden="false" customHeight="false" outlineLevel="0" collapsed="false">
      <c r="A26" s="3" t="s">
        <v>1119</v>
      </c>
      <c r="B26" s="3" t="s">
        <v>100</v>
      </c>
      <c r="C26" s="3" t="n">
        <v>10</v>
      </c>
      <c r="D26" s="3" t="s">
        <v>1120</v>
      </c>
      <c r="E26" s="3" t="s">
        <v>937</v>
      </c>
      <c r="F26" s="3"/>
    </row>
    <row r="27" customFormat="false" ht="15" hidden="false" customHeight="false" outlineLevel="0" collapsed="false">
      <c r="A27" s="3" t="s">
        <v>1121</v>
      </c>
      <c r="B27" s="3" t="s">
        <v>66</v>
      </c>
      <c r="C27" s="3" t="n">
        <v>10</v>
      </c>
      <c r="D27" s="3" t="s">
        <v>417</v>
      </c>
      <c r="E27" s="3" t="s">
        <v>937</v>
      </c>
      <c r="F27" s="3"/>
    </row>
    <row r="28" customFormat="false" ht="15" hidden="false" customHeight="false" outlineLevel="0" collapsed="false">
      <c r="A28" s="3" t="s">
        <v>1122</v>
      </c>
      <c r="B28" s="3" t="s">
        <v>59</v>
      </c>
      <c r="C28" s="3" t="n">
        <v>6</v>
      </c>
      <c r="D28" s="3" t="s">
        <v>1123</v>
      </c>
      <c r="E28" s="3" t="s">
        <v>937</v>
      </c>
      <c r="F28" s="3" t="s">
        <v>1124</v>
      </c>
    </row>
    <row r="29" customFormat="false" ht="15" hidden="false" customHeight="false" outlineLevel="0" collapsed="false">
      <c r="A29" s="3" t="s">
        <v>1125</v>
      </c>
      <c r="B29" s="3" t="s">
        <v>72</v>
      </c>
      <c r="C29" s="3" t="n">
        <v>5</v>
      </c>
      <c r="D29" s="3" t="s">
        <v>245</v>
      </c>
      <c r="E29" s="3" t="s">
        <v>1078</v>
      </c>
      <c r="F29" s="3"/>
    </row>
    <row r="30" customFormat="false" ht="15" hidden="false" customHeight="false" outlineLevel="0" collapsed="false">
      <c r="A30" s="3" t="s">
        <v>1126</v>
      </c>
      <c r="B30" s="3" t="s">
        <v>59</v>
      </c>
      <c r="C30" s="3" t="n">
        <v>5</v>
      </c>
      <c r="D30" s="3" t="s">
        <v>1127</v>
      </c>
      <c r="E30" s="3" t="s">
        <v>937</v>
      </c>
      <c r="F30" s="3"/>
    </row>
    <row r="31" customFormat="false" ht="15" hidden="false" customHeight="false" outlineLevel="0" collapsed="false">
      <c r="A31" s="3" t="s">
        <v>1128</v>
      </c>
      <c r="B31" s="3" t="s">
        <v>72</v>
      </c>
      <c r="C31" s="3" t="n">
        <v>4</v>
      </c>
      <c r="D31" s="3" t="s">
        <v>245</v>
      </c>
      <c r="E31" s="3" t="s">
        <v>1078</v>
      </c>
      <c r="F31" s="3"/>
    </row>
    <row r="32" customFormat="false" ht="15" hidden="false" customHeight="false" outlineLevel="0" collapsed="false">
      <c r="A32" s="3" t="s">
        <v>1129</v>
      </c>
      <c r="B32" s="3" t="s">
        <v>66</v>
      </c>
      <c r="C32" s="3" t="n">
        <v>3</v>
      </c>
      <c r="D32" s="3" t="s">
        <v>678</v>
      </c>
      <c r="E32" s="3" t="s">
        <v>937</v>
      </c>
      <c r="F32" s="3"/>
    </row>
    <row r="33" customFormat="false" ht="15" hidden="false" customHeight="false" outlineLevel="0" collapsed="false">
      <c r="A33" s="3" t="s">
        <v>1130</v>
      </c>
      <c r="B33" s="3" t="s">
        <v>89</v>
      </c>
      <c r="C33" s="3" t="n">
        <v>3</v>
      </c>
      <c r="D33" s="3" t="s">
        <v>245</v>
      </c>
      <c r="E33" s="3" t="s">
        <v>1078</v>
      </c>
      <c r="F33" s="3"/>
    </row>
    <row r="34" customFormat="false" ht="15" hidden="false" customHeight="false" outlineLevel="0" collapsed="false">
      <c r="A34" s="3" t="s">
        <v>1131</v>
      </c>
      <c r="B34" s="3" t="s">
        <v>83</v>
      </c>
      <c r="C34" s="3" t="n">
        <v>2</v>
      </c>
      <c r="D34" s="3" t="s">
        <v>1132</v>
      </c>
      <c r="E34" s="3" t="s">
        <v>937</v>
      </c>
      <c r="F34" s="3" t="s">
        <v>1133</v>
      </c>
    </row>
    <row r="35" customFormat="false" ht="15" hidden="false" customHeight="false" outlineLevel="0" collapsed="false">
      <c r="A35" s="3" t="s">
        <v>1134</v>
      </c>
      <c r="B35" s="3" t="s">
        <v>78</v>
      </c>
      <c r="C35" s="3" t="n">
        <v>2</v>
      </c>
      <c r="D35" s="3" t="s">
        <v>700</v>
      </c>
      <c r="E35" s="3" t="s">
        <v>933</v>
      </c>
      <c r="F35" s="3" t="s">
        <v>980</v>
      </c>
    </row>
    <row r="36" customFormat="false" ht="15" hidden="false" customHeight="false" outlineLevel="0" collapsed="false">
      <c r="A36" s="3" t="s">
        <v>1135</v>
      </c>
      <c r="B36" s="3" t="s">
        <v>89</v>
      </c>
      <c r="C36" s="3" t="n">
        <v>2</v>
      </c>
      <c r="D36" s="3" t="s">
        <v>657</v>
      </c>
      <c r="E36" s="3" t="s">
        <v>933</v>
      </c>
      <c r="F36" s="3"/>
    </row>
    <row r="37" customFormat="false" ht="15" hidden="false" customHeight="false" outlineLevel="0" collapsed="false">
      <c r="A37" s="3" t="s">
        <v>1136</v>
      </c>
      <c r="B37" s="3" t="s">
        <v>83</v>
      </c>
      <c r="C37" s="3" t="n">
        <v>1</v>
      </c>
      <c r="D37" s="3" t="s">
        <v>570</v>
      </c>
      <c r="E37" s="3" t="s">
        <v>937</v>
      </c>
      <c r="F37" s="3"/>
    </row>
    <row r="38" customFormat="false" ht="15" hidden="false" customHeight="false" outlineLevel="0" collapsed="false">
      <c r="A38" s="3" t="s">
        <v>1137</v>
      </c>
      <c r="B38" s="3" t="s">
        <v>83</v>
      </c>
      <c r="C38" s="3" t="n">
        <v>1</v>
      </c>
      <c r="D38" s="3" t="s">
        <v>586</v>
      </c>
      <c r="E38" s="3" t="s">
        <v>933</v>
      </c>
      <c r="F38" s="3"/>
    </row>
    <row r="39" customFormat="false" ht="15" hidden="false" customHeight="false" outlineLevel="0" collapsed="false">
      <c r="A39" s="3" t="s">
        <v>1138</v>
      </c>
      <c r="B39" s="3" t="s">
        <v>83</v>
      </c>
      <c r="C39" s="3" t="n">
        <v>1</v>
      </c>
      <c r="D39" s="3" t="s">
        <v>325</v>
      </c>
      <c r="E39" s="3" t="s">
        <v>937</v>
      </c>
      <c r="F39" s="3"/>
    </row>
    <row r="40" customFormat="false" ht="15" hidden="false" customHeight="false" outlineLevel="0" collapsed="false">
      <c r="A40" s="3" t="s">
        <v>1139</v>
      </c>
      <c r="B40" s="3" t="s">
        <v>83</v>
      </c>
      <c r="C40" s="3" t="n">
        <v>1</v>
      </c>
      <c r="D40" s="3" t="s">
        <v>475</v>
      </c>
      <c r="E40" s="3" t="s">
        <v>937</v>
      </c>
      <c r="F40" s="3"/>
    </row>
    <row r="41" customFormat="false" ht="15" hidden="false" customHeight="false" outlineLevel="0" collapsed="false">
      <c r="A41" s="3" t="s">
        <v>1140</v>
      </c>
      <c r="B41" s="3" t="s">
        <v>78</v>
      </c>
      <c r="C41" s="3" t="n">
        <v>1</v>
      </c>
      <c r="D41" s="3" t="s">
        <v>497</v>
      </c>
      <c r="E41" s="3" t="s">
        <v>937</v>
      </c>
      <c r="F41" s="3"/>
    </row>
    <row r="42" customFormat="false" ht="15" hidden="false" customHeight="false" outlineLevel="0" collapsed="false">
      <c r="A42" s="3" t="s">
        <v>1141</v>
      </c>
      <c r="B42" s="3" t="s">
        <v>78</v>
      </c>
      <c r="C42" s="3" t="n">
        <v>1</v>
      </c>
      <c r="D42" s="3" t="s">
        <v>254</v>
      </c>
      <c r="E42" s="3" t="s">
        <v>937</v>
      </c>
      <c r="F42" s="3"/>
    </row>
    <row r="43" customFormat="false" ht="15" hidden="false" customHeight="false" outlineLevel="0" collapsed="false">
      <c r="A43" s="3" t="s">
        <v>1142</v>
      </c>
      <c r="B43" s="3" t="s">
        <v>78</v>
      </c>
      <c r="C43" s="3" t="n">
        <v>1</v>
      </c>
      <c r="D43" s="3" t="s">
        <v>245</v>
      </c>
      <c r="E43" s="3" t="s">
        <v>1078</v>
      </c>
      <c r="F43" s="3"/>
    </row>
    <row r="44" customFormat="false" ht="15" hidden="false" customHeight="false" outlineLevel="0" collapsed="false">
      <c r="A44" s="3" t="s">
        <v>1143</v>
      </c>
      <c r="B44" s="3" t="s">
        <v>89</v>
      </c>
      <c r="C44" s="3" t="n">
        <v>1</v>
      </c>
      <c r="D44" s="3" t="s">
        <v>254</v>
      </c>
      <c r="E44" s="3" t="s">
        <v>937</v>
      </c>
      <c r="F44" s="3"/>
    </row>
    <row r="45" customFormat="false" ht="15" hidden="false" customHeight="false" outlineLevel="0" collapsed="false">
      <c r="A45" s="3" t="s">
        <v>1144</v>
      </c>
      <c r="B45" s="3" t="s">
        <v>89</v>
      </c>
      <c r="C45" s="3" t="n">
        <v>1</v>
      </c>
      <c r="D45" s="3" t="s">
        <v>631</v>
      </c>
      <c r="E45" s="3" t="s">
        <v>933</v>
      </c>
      <c r="F45" s="3"/>
    </row>
    <row r="46" customFormat="false" ht="15" hidden="false" customHeight="false" outlineLevel="0" collapsed="false">
      <c r="A46" s="3" t="s">
        <v>1145</v>
      </c>
      <c r="B46" s="3" t="s">
        <v>89</v>
      </c>
      <c r="C46" s="3" t="n">
        <v>1</v>
      </c>
      <c r="D46" s="3" t="s">
        <v>631</v>
      </c>
      <c r="E46" s="3" t="s">
        <v>937</v>
      </c>
      <c r="F46" s="3" t="s">
        <v>1146</v>
      </c>
    </row>
    <row r="47" customFormat="false" ht="15" hidden="false" customHeight="false" outlineLevel="0" collapsed="false">
      <c r="A47" s="3" t="s">
        <v>1147</v>
      </c>
      <c r="B47" s="3" t="s">
        <v>89</v>
      </c>
      <c r="C47" s="3" t="n">
        <v>1</v>
      </c>
      <c r="D47" s="3" t="s">
        <v>461</v>
      </c>
      <c r="E47" s="3" t="s">
        <v>937</v>
      </c>
      <c r="F47" s="3"/>
    </row>
    <row r="48" customFormat="false" ht="15" hidden="false" customHeight="false" outlineLevel="0" collapsed="false">
      <c r="A48" s="3" t="s">
        <v>1148</v>
      </c>
      <c r="B48" s="3" t="s">
        <v>89</v>
      </c>
      <c r="C48" s="3" t="n">
        <v>1</v>
      </c>
      <c r="D48" s="3" t="s">
        <v>245</v>
      </c>
      <c r="E48" s="3" t="s">
        <v>1078</v>
      </c>
      <c r="F48" s="3"/>
    </row>
    <row r="49" customFormat="false" ht="15" hidden="false" customHeight="false" outlineLevel="0" collapsed="false">
      <c r="A49" s="3" t="s">
        <v>1149</v>
      </c>
      <c r="B49" s="3" t="s">
        <v>66</v>
      </c>
      <c r="C49" s="3" t="n">
        <v>1</v>
      </c>
      <c r="D49" s="3" t="s">
        <v>254</v>
      </c>
      <c r="E49" s="3" t="s">
        <v>937</v>
      </c>
      <c r="F49" s="3"/>
    </row>
    <row r="50" customFormat="false" ht="15" hidden="false" customHeight="false" outlineLevel="0" collapsed="false">
      <c r="A50" s="3" t="s">
        <v>1150</v>
      </c>
      <c r="B50" s="3" t="s">
        <v>59</v>
      </c>
      <c r="C50" s="3" t="n">
        <v>1</v>
      </c>
      <c r="D50" s="3" t="s">
        <v>254</v>
      </c>
      <c r="E50" s="3" t="s">
        <v>937</v>
      </c>
      <c r="F50" s="3"/>
    </row>
    <row r="51" customFormat="false" ht="15" hidden="false" customHeight="false" outlineLevel="0" collapsed="false">
      <c r="A51" s="3" t="s">
        <v>1151</v>
      </c>
      <c r="B51" s="3" t="s">
        <v>78</v>
      </c>
      <c r="C51" s="3" t="n">
        <v>1</v>
      </c>
      <c r="D51" s="3" t="s">
        <v>1152</v>
      </c>
      <c r="E51" s="3" t="s">
        <v>937</v>
      </c>
      <c r="F51" s="3"/>
    </row>
    <row r="52" customFormat="false" ht="15" hidden="false" customHeight="false" outlineLevel="0" collapsed="false">
      <c r="A52" s="3" t="s">
        <v>1153</v>
      </c>
      <c r="B52" s="3" t="s">
        <v>59</v>
      </c>
      <c r="C52" s="3" t="n">
        <v>1</v>
      </c>
      <c r="D52" s="3" t="s">
        <v>236</v>
      </c>
      <c r="E52" s="3" t="s">
        <v>937</v>
      </c>
      <c r="F52" s="3" t="s">
        <v>1154</v>
      </c>
    </row>
    <row r="53" customFormat="false" ht="15" hidden="false" customHeight="false" outlineLevel="0" collapsed="false">
      <c r="A53" s="3" t="s">
        <v>1155</v>
      </c>
      <c r="B53" s="3" t="s">
        <v>78</v>
      </c>
      <c r="C53" s="3" t="n">
        <v>1</v>
      </c>
      <c r="D53" s="3" t="s">
        <v>266</v>
      </c>
      <c r="E53" s="3" t="s">
        <v>937</v>
      </c>
      <c r="F53" s="3"/>
    </row>
    <row r="54" customFormat="false" ht="15" hidden="false" customHeight="false" outlineLevel="0" collapsed="false">
      <c r="A54" s="3" t="s">
        <v>1156</v>
      </c>
      <c r="B54" s="3" t="s">
        <v>83</v>
      </c>
      <c r="C54" s="3" t="n">
        <v>1</v>
      </c>
      <c r="D54" s="3" t="s">
        <v>254</v>
      </c>
      <c r="E54" s="3" t="s">
        <v>937</v>
      </c>
      <c r="F54" s="3"/>
    </row>
    <row r="55" customFormat="false" ht="15" hidden="false" customHeight="false" outlineLevel="0" collapsed="false">
      <c r="A55" s="3" t="s">
        <v>1157</v>
      </c>
      <c r="B55" s="3" t="s">
        <v>83</v>
      </c>
      <c r="C55" s="3" t="n">
        <v>1</v>
      </c>
      <c r="D55" s="3" t="s">
        <v>461</v>
      </c>
      <c r="E55" s="3" t="s">
        <v>937</v>
      </c>
      <c r="F55" s="3"/>
    </row>
    <row r="56" customFormat="false" ht="15" hidden="false" customHeight="false" outlineLevel="0" collapsed="false">
      <c r="A56" s="3" t="s">
        <v>1158</v>
      </c>
      <c r="B56" s="3" t="s">
        <v>59</v>
      </c>
      <c r="C56" s="3" t="n">
        <v>1</v>
      </c>
      <c r="D56" s="3" t="s">
        <v>688</v>
      </c>
      <c r="E56" s="3" t="s">
        <v>937</v>
      </c>
      <c r="F56" s="3"/>
    </row>
    <row r="57" customFormat="false" ht="15" hidden="false" customHeight="false" outlineLevel="0" collapsed="false">
      <c r="A57" s="3" t="s">
        <v>1159</v>
      </c>
      <c r="B57" s="3" t="s">
        <v>95</v>
      </c>
      <c r="C57" s="3" t="n">
        <v>1</v>
      </c>
      <c r="D57" s="3" t="s">
        <v>245</v>
      </c>
      <c r="E57" s="3" t="s">
        <v>1078</v>
      </c>
      <c r="F57" s="3"/>
    </row>
    <row r="58" customFormat="false" ht="15" hidden="false" customHeight="false" outlineLevel="0" collapsed="false">
      <c r="A58" s="3" t="s">
        <v>1160</v>
      </c>
      <c r="B58" s="3" t="s">
        <v>95</v>
      </c>
      <c r="C58" s="3" t="n">
        <v>1</v>
      </c>
      <c r="D58" s="3" t="s">
        <v>245</v>
      </c>
      <c r="E58" s="3" t="s">
        <v>1078</v>
      </c>
      <c r="F58" s="3"/>
    </row>
    <row r="59" customFormat="false" ht="15" hidden="false" customHeight="false" outlineLevel="0" collapsed="false">
      <c r="A59" s="3" t="s">
        <v>1161</v>
      </c>
      <c r="B59" s="3" t="s">
        <v>95</v>
      </c>
      <c r="C59" s="3" t="n">
        <v>1</v>
      </c>
      <c r="D59" s="3" t="s">
        <v>678</v>
      </c>
      <c r="E59" s="3" t="s">
        <v>937</v>
      </c>
      <c r="F59" s="3"/>
    </row>
    <row r="60" customFormat="false" ht="15" hidden="false" customHeight="false" outlineLevel="0" collapsed="false">
      <c r="A60" s="3" t="s">
        <v>1162</v>
      </c>
      <c r="B60" s="3" t="s">
        <v>95</v>
      </c>
      <c r="C60" s="3" t="n">
        <v>1</v>
      </c>
      <c r="D60" s="3" t="s">
        <v>678</v>
      </c>
      <c r="E60" s="3" t="s">
        <v>937</v>
      </c>
      <c r="F60" s="3"/>
    </row>
    <row r="61" customFormat="false" ht="15" hidden="false" customHeight="false" outlineLevel="0" collapsed="false">
      <c r="A61" s="3" t="s">
        <v>1163</v>
      </c>
      <c r="B61" s="3" t="s">
        <v>95</v>
      </c>
      <c r="C61" s="3" t="n">
        <v>1</v>
      </c>
      <c r="D61" s="3" t="s">
        <v>678</v>
      </c>
      <c r="E61" s="3" t="s">
        <v>937</v>
      </c>
      <c r="F61" s="3"/>
    </row>
    <row r="62" customFormat="false" ht="15" hidden="false" customHeight="false" outlineLevel="0" collapsed="false">
      <c r="A62" s="3" t="s">
        <v>1164</v>
      </c>
      <c r="B62" s="3" t="s">
        <v>59</v>
      </c>
      <c r="C62" s="3" t="n">
        <v>1</v>
      </c>
      <c r="D62" s="3" t="s">
        <v>245</v>
      </c>
      <c r="E62" s="3" t="s">
        <v>1078</v>
      </c>
      <c r="F62" s="3"/>
    </row>
    <row r="63" customFormat="false" ht="15" hidden="false" customHeight="false" outlineLevel="0" collapsed="false">
      <c r="A63" s="3" t="s">
        <v>1165</v>
      </c>
      <c r="B63" s="3" t="s">
        <v>95</v>
      </c>
      <c r="C63" s="3" t="n">
        <v>1</v>
      </c>
      <c r="D63" s="3" t="s">
        <v>254</v>
      </c>
      <c r="E63" s="3" t="s">
        <v>933</v>
      </c>
      <c r="F63" s="3"/>
    </row>
    <row r="64" customFormat="false" ht="15" hidden="false" customHeight="false" outlineLevel="0" collapsed="false">
      <c r="A64" s="3" t="s">
        <v>1166</v>
      </c>
      <c r="B64" s="3" t="s">
        <v>95</v>
      </c>
      <c r="C64" s="3" t="n">
        <v>1</v>
      </c>
      <c r="D64" s="3" t="s">
        <v>245</v>
      </c>
      <c r="E64" s="3" t="s">
        <v>1078</v>
      </c>
      <c r="F64" s="3"/>
    </row>
    <row r="65" customFormat="false" ht="15" hidden="false" customHeight="false" outlineLevel="0" collapsed="false">
      <c r="A65" s="3" t="s">
        <v>1167</v>
      </c>
      <c r="B65" s="3" t="s">
        <v>95</v>
      </c>
      <c r="C65" s="3" t="n">
        <v>1</v>
      </c>
      <c r="D65" s="3" t="s">
        <v>678</v>
      </c>
      <c r="E65" s="3" t="s">
        <v>933</v>
      </c>
      <c r="F65" s="3"/>
    </row>
    <row r="66" customFormat="false" ht="15" hidden="false" customHeight="false" outlineLevel="0" collapsed="false">
      <c r="A66" s="3" t="s">
        <v>1168</v>
      </c>
      <c r="B66" s="3" t="s">
        <v>78</v>
      </c>
      <c r="C66" s="3" t="n">
        <v>1</v>
      </c>
      <c r="D66" s="3" t="s">
        <v>245</v>
      </c>
      <c r="E66" s="3" t="s">
        <v>1078</v>
      </c>
      <c r="F66" s="3" t="s">
        <v>1169</v>
      </c>
    </row>
    <row r="67" customFormat="false" ht="15" hidden="false" customHeight="false" outlineLevel="0" collapsed="false">
      <c r="A67" s="3" t="s">
        <v>1170</v>
      </c>
      <c r="B67" s="3" t="s">
        <v>83</v>
      </c>
      <c r="C67" s="3" t="n">
        <v>1</v>
      </c>
      <c r="D67" s="3" t="s">
        <v>245</v>
      </c>
      <c r="E67" s="3" t="s">
        <v>1078</v>
      </c>
      <c r="F67" s="3"/>
    </row>
    <row r="68" customFormat="false" ht="15" hidden="false" customHeight="false" outlineLevel="0" collapsed="false">
      <c r="A68" s="3" t="s">
        <v>1171</v>
      </c>
      <c r="B68" s="3" t="s">
        <v>95</v>
      </c>
      <c r="C68" s="3" t="n">
        <v>1</v>
      </c>
      <c r="D68" s="3" t="s">
        <v>245</v>
      </c>
      <c r="E68" s="3" t="s">
        <v>1078</v>
      </c>
      <c r="F68" s="3"/>
    </row>
    <row r="69" customFormat="false" ht="15" hidden="false" customHeight="false" outlineLevel="0" collapsed="false">
      <c r="A69" s="3" t="s">
        <v>1172</v>
      </c>
      <c r="B69" s="3" t="s">
        <v>59</v>
      </c>
      <c r="C69" s="3" t="n">
        <v>1</v>
      </c>
      <c r="D69" s="3" t="s">
        <v>254</v>
      </c>
      <c r="E69" s="3" t="s">
        <v>937</v>
      </c>
      <c r="F69" s="3"/>
    </row>
    <row r="70" customFormat="false" ht="15" hidden="false" customHeight="false" outlineLevel="0" collapsed="false">
      <c r="A70" s="3" t="s">
        <v>1173</v>
      </c>
      <c r="B70" s="3" t="s">
        <v>59</v>
      </c>
      <c r="C70" s="3" t="n">
        <v>1</v>
      </c>
      <c r="D70" s="3" t="s">
        <v>245</v>
      </c>
      <c r="E70" s="3" t="s">
        <v>1078</v>
      </c>
      <c r="F70" s="3"/>
    </row>
    <row r="71" customFormat="false" ht="15" hidden="false" customHeight="false" outlineLevel="0" collapsed="false">
      <c r="A71" s="3" t="s">
        <v>1174</v>
      </c>
      <c r="B71" s="3" t="s">
        <v>59</v>
      </c>
      <c r="C71" s="3" t="n">
        <v>1</v>
      </c>
      <c r="D71" s="3" t="s">
        <v>245</v>
      </c>
      <c r="E71" s="3" t="s">
        <v>1078</v>
      </c>
      <c r="F71" s="3"/>
    </row>
    <row r="72" customFormat="false" ht="15" hidden="false" customHeight="false" outlineLevel="0" collapsed="false">
      <c r="A72" s="3" t="s">
        <v>1175</v>
      </c>
      <c r="B72" s="3" t="s">
        <v>59</v>
      </c>
      <c r="C72" s="3" t="n">
        <v>1</v>
      </c>
      <c r="D72" s="3" t="s">
        <v>245</v>
      </c>
      <c r="E72" s="3" t="s">
        <v>1078</v>
      </c>
      <c r="F72" s="3"/>
    </row>
    <row r="73" customFormat="false" ht="15" hidden="false" customHeight="false" outlineLevel="0" collapsed="false">
      <c r="B73" s="4" t="s">
        <v>1176</v>
      </c>
      <c r="C73" s="4" t="n">
        <f aca="false">SUM(C4:C72)</f>
        <v>1517</v>
      </c>
    </row>
    <row r="74" customFormat="false" ht="15" hidden="false" customHeight="false" outlineLevel="0" collapsed="false">
      <c r="B74" s="2" t="s">
        <v>1177</v>
      </c>
      <c r="C74" s="2" t="n">
        <f aca="false">SUMIFS(C4:C72,E4:E72,"Direct")</f>
        <v>202</v>
      </c>
    </row>
    <row r="75" customFormat="false" ht="15" hidden="false" customHeight="false" outlineLevel="0" collapsed="false">
      <c r="B75" s="2" t="s">
        <v>1178</v>
      </c>
      <c r="C75" s="2" t="n">
        <f aca="false">SUMIFS(C4:C72,E4:E72,"Partial")</f>
        <v>818</v>
      </c>
    </row>
    <row r="76" customFormat="false" ht="15" hidden="false" customHeight="false" outlineLevel="0" collapsed="false">
      <c r="B76" s="2" t="s">
        <v>1179</v>
      </c>
      <c r="C76" s="2" t="n">
        <f aca="false">C73-C74-C75</f>
        <v>497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90"/>
    <col collapsed="false" customWidth="true" hidden="false" outlineLevel="0" max="4" min="3" style="0" width="24"/>
  </cols>
  <sheetData>
    <row r="1" customFormat="false" ht="15" hidden="false" customHeight="false" outlineLevel="0" collapsed="false">
      <c r="A1" s="5" t="s">
        <v>1180</v>
      </c>
    </row>
    <row r="3" customFormat="false" ht="30" hidden="false" customHeight="true" outlineLevel="0" collapsed="false">
      <c r="A3" s="6" t="s">
        <v>234</v>
      </c>
      <c r="B3" s="6" t="s">
        <v>1181</v>
      </c>
      <c r="C3" s="6" t="s">
        <v>1182</v>
      </c>
      <c r="D3" s="6" t="s">
        <v>928</v>
      </c>
    </row>
    <row r="4" customFormat="false" ht="15" hidden="false" customHeight="false" outlineLevel="0" collapsed="false">
      <c r="A4" s="3" t="n">
        <v>1</v>
      </c>
      <c r="B4" s="3" t="s">
        <v>1183</v>
      </c>
      <c r="C4" s="3" t="s">
        <v>1184</v>
      </c>
      <c r="D4" s="3" t="s">
        <v>657</v>
      </c>
    </row>
    <row r="5" customFormat="false" ht="15" hidden="false" customHeight="false" outlineLevel="0" collapsed="false">
      <c r="A5" s="3" t="n">
        <v>2</v>
      </c>
      <c r="B5" s="3" t="s">
        <v>1185</v>
      </c>
      <c r="C5" s="3" t="s">
        <v>1186</v>
      </c>
      <c r="D5" s="3" t="s">
        <v>669</v>
      </c>
    </row>
    <row r="6" customFormat="false" ht="15" hidden="false" customHeight="false" outlineLevel="0" collapsed="false">
      <c r="A6" s="3" t="n">
        <v>3</v>
      </c>
      <c r="B6" s="3" t="s">
        <v>1187</v>
      </c>
      <c r="C6" s="3" t="s">
        <v>1184</v>
      </c>
      <c r="D6" s="3" t="s">
        <v>700</v>
      </c>
    </row>
    <row r="7" customFormat="false" ht="15" hidden="false" customHeight="false" outlineLevel="0" collapsed="false">
      <c r="A7" s="3" t="n">
        <v>4</v>
      </c>
      <c r="B7" s="3" t="s">
        <v>1188</v>
      </c>
      <c r="C7" s="3" t="s">
        <v>1186</v>
      </c>
      <c r="D7" s="3" t="s">
        <v>710</v>
      </c>
    </row>
    <row r="8" customFormat="false" ht="15" hidden="false" customHeight="false" outlineLevel="0" collapsed="false">
      <c r="A8" s="3" t="n">
        <v>5</v>
      </c>
      <c r="B8" s="3" t="s">
        <v>1189</v>
      </c>
      <c r="C8" s="3" t="s">
        <v>1184</v>
      </c>
      <c r="D8" s="3" t="s">
        <v>236</v>
      </c>
    </row>
    <row r="9" customFormat="false" ht="15" hidden="false" customHeight="false" outlineLevel="0" collapsed="false">
      <c r="A9" s="3" t="n">
        <v>6</v>
      </c>
      <c r="B9" s="3" t="s">
        <v>1190</v>
      </c>
      <c r="C9" s="3" t="s">
        <v>1186</v>
      </c>
      <c r="D9" s="3" t="s">
        <v>422</v>
      </c>
    </row>
    <row r="10" customFormat="false" ht="15" hidden="false" customHeight="false" outlineLevel="0" collapsed="false">
      <c r="A10" s="3" t="n">
        <v>7</v>
      </c>
      <c r="B10" s="3" t="s">
        <v>1191</v>
      </c>
      <c r="C10" s="3" t="s">
        <v>1186</v>
      </c>
      <c r="D10" s="3" t="s">
        <v>432</v>
      </c>
    </row>
    <row r="11" customFormat="false" ht="15" hidden="false" customHeight="false" outlineLevel="0" collapsed="false">
      <c r="A11" s="3" t="n">
        <v>8</v>
      </c>
      <c r="B11" s="3" t="s">
        <v>1192</v>
      </c>
      <c r="C11" s="3" t="s">
        <v>1186</v>
      </c>
      <c r="D11" s="3" t="s">
        <v>254</v>
      </c>
    </row>
    <row r="12" customFormat="false" ht="15" hidden="false" customHeight="false" outlineLevel="0" collapsed="false">
      <c r="A12" s="3" t="n">
        <v>9</v>
      </c>
      <c r="B12" s="3" t="s">
        <v>1193</v>
      </c>
      <c r="C12" s="3" t="s">
        <v>1184</v>
      </c>
      <c r="D12" s="3" t="s">
        <v>497</v>
      </c>
    </row>
    <row r="13" customFormat="false" ht="15" hidden="false" customHeight="false" outlineLevel="0" collapsed="false">
      <c r="A13" s="3" t="n">
        <v>10</v>
      </c>
      <c r="B13" s="3" t="s">
        <v>1194</v>
      </c>
      <c r="C13" s="3" t="s">
        <v>1184</v>
      </c>
      <c r="D13" s="3" t="s">
        <v>504</v>
      </c>
    </row>
    <row r="14" customFormat="false" ht="15" hidden="false" customHeight="false" outlineLevel="0" collapsed="false">
      <c r="A14" s="3" t="n">
        <v>11</v>
      </c>
      <c r="B14" s="3" t="s">
        <v>1195</v>
      </c>
      <c r="C14" s="3" t="s">
        <v>1184</v>
      </c>
      <c r="D14" s="3" t="s">
        <v>512</v>
      </c>
    </row>
    <row r="15" customFormat="false" ht="15" hidden="false" customHeight="false" outlineLevel="0" collapsed="false">
      <c r="A15" s="3" t="n">
        <v>12</v>
      </c>
      <c r="B15" s="3" t="s">
        <v>1196</v>
      </c>
      <c r="C15" s="3" t="s">
        <v>1197</v>
      </c>
      <c r="D15" s="3" t="s">
        <v>266</v>
      </c>
    </row>
    <row r="16" customFormat="false" ht="15" hidden="false" customHeight="false" outlineLevel="0" collapsed="false">
      <c r="A16" s="3" t="n">
        <v>13</v>
      </c>
      <c r="B16" s="3" t="s">
        <v>1198</v>
      </c>
      <c r="C16" s="3" t="s">
        <v>1197</v>
      </c>
      <c r="D16" s="3" t="s">
        <v>718</v>
      </c>
    </row>
    <row r="17" customFormat="false" ht="15" hidden="false" customHeight="false" outlineLevel="0" collapsed="false">
      <c r="A17" s="3" t="n">
        <v>14</v>
      </c>
      <c r="B17" s="3" t="s">
        <v>1199</v>
      </c>
      <c r="C17" s="3" t="s">
        <v>1197</v>
      </c>
      <c r="D17" s="3" t="s">
        <v>726</v>
      </c>
    </row>
    <row r="18" customFormat="false" ht="15" hidden="false" customHeight="false" outlineLevel="0" collapsed="false">
      <c r="A18" s="3" t="n">
        <v>15</v>
      </c>
      <c r="B18" s="3" t="s">
        <v>1200</v>
      </c>
      <c r="C18" s="3" t="s">
        <v>1184</v>
      </c>
      <c r="D18" s="3" t="s">
        <v>570</v>
      </c>
    </row>
    <row r="19" customFormat="false" ht="15" hidden="false" customHeight="false" outlineLevel="0" collapsed="false">
      <c r="A19" s="3" t="n">
        <v>16</v>
      </c>
      <c r="B19" s="3" t="s">
        <v>1201</v>
      </c>
      <c r="C19" s="3" t="s">
        <v>1184</v>
      </c>
      <c r="D19" s="3" t="s">
        <v>579</v>
      </c>
    </row>
    <row r="20" customFormat="false" ht="15" hidden="false" customHeight="false" outlineLevel="0" collapsed="false">
      <c r="A20" s="3" t="n">
        <v>17</v>
      </c>
      <c r="B20" s="3" t="s">
        <v>1202</v>
      </c>
      <c r="C20" s="3" t="s">
        <v>1197</v>
      </c>
      <c r="D20" s="3" t="s">
        <v>314</v>
      </c>
    </row>
    <row r="21" customFormat="false" ht="15" hidden="false" customHeight="false" outlineLevel="0" collapsed="false">
      <c r="A21" s="3" t="n">
        <v>18</v>
      </c>
      <c r="B21" s="3" t="s">
        <v>1203</v>
      </c>
      <c r="C21" s="3" t="s">
        <v>1184</v>
      </c>
      <c r="D21" s="3" t="s">
        <v>586</v>
      </c>
    </row>
    <row r="22" customFormat="false" ht="15" hidden="false" customHeight="false" outlineLevel="0" collapsed="false">
      <c r="A22" s="3" t="n">
        <v>19</v>
      </c>
      <c r="B22" s="3" t="s">
        <v>1204</v>
      </c>
      <c r="C22" s="3" t="s">
        <v>1197</v>
      </c>
      <c r="D22" s="3" t="s">
        <v>325</v>
      </c>
    </row>
    <row r="23" customFormat="false" ht="15" hidden="false" customHeight="false" outlineLevel="0" collapsed="false">
      <c r="A23" s="3" t="n">
        <v>20</v>
      </c>
      <c r="B23" s="3" t="s">
        <v>1205</v>
      </c>
      <c r="C23" s="3" t="s">
        <v>1184</v>
      </c>
      <c r="D23" s="3" t="s">
        <v>332</v>
      </c>
    </row>
    <row r="24" customFormat="false" ht="15" hidden="false" customHeight="false" outlineLevel="0" collapsed="false">
      <c r="A24" s="3" t="n">
        <v>21</v>
      </c>
      <c r="B24" s="3" t="s">
        <v>1206</v>
      </c>
      <c r="C24" s="3" t="s">
        <v>1184</v>
      </c>
      <c r="D24" s="3" t="s">
        <v>342</v>
      </c>
    </row>
    <row r="25" customFormat="false" ht="15" hidden="false" customHeight="false" outlineLevel="0" collapsed="false">
      <c r="A25" s="3" t="n">
        <v>22</v>
      </c>
      <c r="B25" s="3" t="s">
        <v>1207</v>
      </c>
      <c r="C25" s="3" t="s">
        <v>1184</v>
      </c>
      <c r="D25" s="3" t="s">
        <v>349</v>
      </c>
    </row>
    <row r="26" customFormat="false" ht="15" hidden="false" customHeight="false" outlineLevel="0" collapsed="false">
      <c r="A26" s="3" t="n">
        <v>23</v>
      </c>
      <c r="B26" s="3" t="s">
        <v>1208</v>
      </c>
      <c r="C26" s="3" t="s">
        <v>1184</v>
      </c>
      <c r="D26" s="3" t="s">
        <v>631</v>
      </c>
    </row>
    <row r="27" customFormat="false" ht="15" hidden="false" customHeight="false" outlineLevel="0" collapsed="false">
      <c r="A27" s="3" t="n">
        <v>24</v>
      </c>
      <c r="B27" s="3" t="s">
        <v>1209</v>
      </c>
      <c r="C27" s="3" t="s">
        <v>1186</v>
      </c>
      <c r="D27" s="3" t="s">
        <v>440</v>
      </c>
    </row>
    <row r="28" customFormat="false" ht="15" hidden="false" customHeight="false" outlineLevel="0" collapsed="false">
      <c r="A28" s="3" t="n">
        <v>25</v>
      </c>
      <c r="B28" s="3" t="s">
        <v>1210</v>
      </c>
      <c r="C28" s="3" t="s">
        <v>1211</v>
      </c>
      <c r="D28" s="3" t="s">
        <v>700</v>
      </c>
    </row>
    <row r="29" customFormat="false" ht="35.05" hidden="false" customHeight="false" outlineLevel="0" collapsed="false">
      <c r="A29" s="3" t="n">
        <v>26</v>
      </c>
      <c r="B29" s="3" t="s">
        <v>1212</v>
      </c>
      <c r="C29" s="3" t="s">
        <v>1213</v>
      </c>
      <c r="D29" s="3" t="s">
        <v>1214</v>
      </c>
    </row>
    <row r="30" customFormat="false" ht="15" hidden="false" customHeight="false" outlineLevel="0" collapsed="false">
      <c r="A30" s="3" t="n">
        <v>27</v>
      </c>
      <c r="B30" s="3" t="s">
        <v>1215</v>
      </c>
      <c r="C30" s="3" t="s">
        <v>1197</v>
      </c>
      <c r="D30" s="3" t="s">
        <v>448</v>
      </c>
    </row>
    <row r="31" customFormat="false" ht="15" hidden="false" customHeight="false" outlineLevel="0" collapsed="false">
      <c r="A31" s="3" t="n">
        <v>28</v>
      </c>
      <c r="B31" s="3" t="s">
        <v>1216</v>
      </c>
      <c r="C31" s="3" t="s">
        <v>1184</v>
      </c>
      <c r="D31" s="3" t="s">
        <v>742</v>
      </c>
    </row>
    <row r="32" customFormat="false" ht="15" hidden="false" customHeight="false" outlineLevel="0" collapsed="false">
      <c r="A32" s="3" t="n">
        <v>29</v>
      </c>
      <c r="B32" s="3" t="s">
        <v>1217</v>
      </c>
      <c r="C32" s="3" t="s">
        <v>1186</v>
      </c>
      <c r="D32" s="3" t="s">
        <v>734</v>
      </c>
    </row>
    <row r="33" customFormat="false" ht="15" hidden="false" customHeight="false" outlineLevel="0" collapsed="false">
      <c r="A33" s="3" t="n">
        <v>30</v>
      </c>
      <c r="B33" s="3" t="s">
        <v>1218</v>
      </c>
      <c r="C33" s="3" t="s">
        <v>1211</v>
      </c>
      <c r="D33" s="3" t="s">
        <v>616</v>
      </c>
    </row>
    <row r="34" customFormat="false" ht="15" hidden="false" customHeight="false" outlineLevel="0" collapsed="false">
      <c r="A34" s="3" t="n">
        <v>31</v>
      </c>
      <c r="B34" s="3" t="s">
        <v>1219</v>
      </c>
      <c r="C34" s="3" t="s">
        <v>1220</v>
      </c>
      <c r="D34" s="3" t="s">
        <v>1221</v>
      </c>
    </row>
    <row r="35" customFormat="false" ht="15" hidden="false" customHeight="false" outlineLevel="0" collapsed="false">
      <c r="A35" s="3" t="n">
        <v>32</v>
      </c>
      <c r="B35" s="3" t="s">
        <v>1222</v>
      </c>
      <c r="C35" s="3" t="s">
        <v>1220</v>
      </c>
      <c r="D35" s="3" t="s">
        <v>1221</v>
      </c>
    </row>
    <row r="36" customFormat="false" ht="15" hidden="false" customHeight="false" outlineLevel="0" collapsed="false">
      <c r="A36" s="3" t="n">
        <v>33</v>
      </c>
      <c r="B36" s="3" t="s">
        <v>1223</v>
      </c>
      <c r="C36" s="3" t="s">
        <v>1211</v>
      </c>
      <c r="D36" s="3" t="s">
        <v>254</v>
      </c>
    </row>
    <row r="37" customFormat="false" ht="15" hidden="false" customHeight="false" outlineLevel="0" collapsed="false">
      <c r="A37" s="3" t="n">
        <v>34</v>
      </c>
      <c r="B37" s="3" t="s">
        <v>1224</v>
      </c>
      <c r="C37" s="3" t="s">
        <v>1211</v>
      </c>
      <c r="D37" s="3" t="s">
        <v>254</v>
      </c>
    </row>
    <row r="38" customFormat="false" ht="15" hidden="false" customHeight="false" outlineLevel="0" collapsed="false">
      <c r="A38" s="3" t="n">
        <v>35</v>
      </c>
      <c r="B38" s="3" t="s">
        <v>1225</v>
      </c>
      <c r="C38" s="3" t="s">
        <v>1184</v>
      </c>
      <c r="D38" s="3" t="s">
        <v>274</v>
      </c>
    </row>
    <row r="39" customFormat="false" ht="15" hidden="false" customHeight="false" outlineLevel="0" collapsed="false">
      <c r="A39" s="3" t="n">
        <v>36</v>
      </c>
      <c r="B39" s="3" t="s">
        <v>1226</v>
      </c>
      <c r="C39" s="3" t="s">
        <v>1186</v>
      </c>
      <c r="D39" s="3" t="s">
        <v>280</v>
      </c>
    </row>
    <row r="40" customFormat="false" ht="15" hidden="false" customHeight="false" outlineLevel="0" collapsed="false">
      <c r="A40" s="3" t="n">
        <v>37</v>
      </c>
      <c r="B40" s="3" t="s">
        <v>1227</v>
      </c>
      <c r="C40" s="3" t="s">
        <v>1186</v>
      </c>
      <c r="D40" s="3" t="s">
        <v>688</v>
      </c>
    </row>
    <row r="41" customFormat="false" ht="23.85" hidden="false" customHeight="false" outlineLevel="0" collapsed="false">
      <c r="A41" s="3" t="n">
        <v>38</v>
      </c>
      <c r="B41" s="3" t="s">
        <v>1228</v>
      </c>
      <c r="C41" s="3" t="s">
        <v>1186</v>
      </c>
      <c r="D41" s="3" t="s">
        <v>286</v>
      </c>
    </row>
    <row r="42" customFormat="false" ht="15" hidden="false" customHeight="false" outlineLevel="0" collapsed="false">
      <c r="A42" s="3" t="n">
        <v>39</v>
      </c>
      <c r="B42" s="3" t="s">
        <v>1229</v>
      </c>
      <c r="C42" s="3" t="s">
        <v>1184</v>
      </c>
      <c r="D42" s="3" t="s">
        <v>639</v>
      </c>
    </row>
    <row r="43" customFormat="false" ht="15" hidden="false" customHeight="false" outlineLevel="0" collapsed="false">
      <c r="A43" s="3" t="n">
        <v>40</v>
      </c>
      <c r="B43" s="3" t="s">
        <v>1230</v>
      </c>
      <c r="C43" s="3" t="s">
        <v>1184</v>
      </c>
      <c r="D43" s="3" t="s">
        <v>647</v>
      </c>
    </row>
    <row r="44" customFormat="false" ht="15" hidden="false" customHeight="false" outlineLevel="0" collapsed="false">
      <c r="A44" s="3" t="n">
        <v>41</v>
      </c>
      <c r="B44" s="3" t="s">
        <v>1231</v>
      </c>
      <c r="C44" s="3" t="s">
        <v>1186</v>
      </c>
      <c r="D44" s="3" t="s">
        <v>652</v>
      </c>
    </row>
    <row r="45" customFormat="false" ht="15" hidden="false" customHeight="false" outlineLevel="0" collapsed="false">
      <c r="A45" s="3" t="n">
        <v>42</v>
      </c>
      <c r="B45" s="3" t="s">
        <v>1232</v>
      </c>
      <c r="C45" s="3" t="s">
        <v>1211</v>
      </c>
      <c r="D45" s="3" t="s">
        <v>360</v>
      </c>
    </row>
    <row r="46" customFormat="false" ht="15" hidden="false" customHeight="false" outlineLevel="0" collapsed="false">
      <c r="A46" s="3" t="n">
        <v>43</v>
      </c>
      <c r="B46" s="3" t="s">
        <v>1233</v>
      </c>
      <c r="C46" s="3" t="s">
        <v>1186</v>
      </c>
      <c r="D46" s="3" t="s">
        <v>368</v>
      </c>
    </row>
    <row r="47" customFormat="false" ht="15" hidden="false" customHeight="false" outlineLevel="0" collapsed="false">
      <c r="A47" s="3" t="n">
        <v>44</v>
      </c>
      <c r="B47" s="3" t="s">
        <v>1234</v>
      </c>
      <c r="C47" s="3" t="s">
        <v>1197</v>
      </c>
      <c r="D47" s="3" t="s">
        <v>483</v>
      </c>
    </row>
    <row r="48" customFormat="false" ht="15" hidden="false" customHeight="false" outlineLevel="0" collapsed="false">
      <c r="A48" s="3" t="n">
        <v>45</v>
      </c>
      <c r="B48" s="3" t="s">
        <v>1235</v>
      </c>
      <c r="C48" s="3" t="s">
        <v>1186</v>
      </c>
      <c r="D48" s="3" t="s">
        <v>682</v>
      </c>
    </row>
    <row r="49" customFormat="false" ht="15" hidden="false" customHeight="false" outlineLevel="0" collapsed="false">
      <c r="A49" s="3" t="n">
        <v>46</v>
      </c>
      <c r="B49" s="3" t="s">
        <v>1236</v>
      </c>
      <c r="C49" s="3" t="s">
        <v>1211</v>
      </c>
      <c r="D49" s="3" t="s">
        <v>540</v>
      </c>
    </row>
    <row r="50" customFormat="false" ht="23.85" hidden="false" customHeight="false" outlineLevel="0" collapsed="false">
      <c r="A50" s="3" t="n">
        <v>47</v>
      </c>
      <c r="B50" s="3" t="s">
        <v>1237</v>
      </c>
      <c r="C50" s="3" t="s">
        <v>1184</v>
      </c>
      <c r="D50" s="3" t="s">
        <v>293</v>
      </c>
    </row>
    <row r="51" customFormat="false" ht="15" hidden="false" customHeight="false" outlineLevel="0" collapsed="false">
      <c r="A51" s="3" t="n">
        <v>48</v>
      </c>
      <c r="B51" s="3" t="s">
        <v>1238</v>
      </c>
      <c r="C51" s="3" t="s">
        <v>1186</v>
      </c>
      <c r="D51" s="3" t="s">
        <v>593</v>
      </c>
    </row>
    <row r="52" customFormat="false" ht="23.85" hidden="false" customHeight="false" outlineLevel="0" collapsed="false">
      <c r="A52" s="3" t="n">
        <v>49</v>
      </c>
      <c r="B52" s="3" t="s">
        <v>1239</v>
      </c>
      <c r="C52" s="3" t="s">
        <v>1186</v>
      </c>
      <c r="D52" s="3" t="s">
        <v>601</v>
      </c>
    </row>
    <row r="53" customFormat="false" ht="15" hidden="false" customHeight="false" outlineLevel="0" collapsed="false">
      <c r="A53" s="3" t="n">
        <v>50</v>
      </c>
      <c r="B53" s="3" t="s">
        <v>1240</v>
      </c>
      <c r="C53" s="3" t="s">
        <v>1186</v>
      </c>
      <c r="D53" s="3" t="s">
        <v>607</v>
      </c>
    </row>
    <row r="54" customFormat="false" ht="15" hidden="false" customHeight="false" outlineLevel="0" collapsed="false">
      <c r="A54" s="3" t="n">
        <v>51</v>
      </c>
      <c r="B54" s="3" t="s">
        <v>1241</v>
      </c>
      <c r="C54" s="3" t="s">
        <v>1186</v>
      </c>
      <c r="D54" s="3" t="s">
        <v>616</v>
      </c>
    </row>
    <row r="55" customFormat="false" ht="23.85" hidden="false" customHeight="false" outlineLevel="0" collapsed="false">
      <c r="A55" s="3" t="n">
        <v>52</v>
      </c>
      <c r="B55" s="3" t="s">
        <v>1242</v>
      </c>
      <c r="C55" s="3" t="s">
        <v>1211</v>
      </c>
      <c r="D55" s="3" t="s">
        <v>1243</v>
      </c>
    </row>
    <row r="56" customFormat="false" ht="15" hidden="false" customHeight="false" outlineLevel="0" collapsed="false">
      <c r="A56" s="3" t="n">
        <v>53</v>
      </c>
      <c r="B56" s="3" t="s">
        <v>1244</v>
      </c>
      <c r="C56" s="3" t="s">
        <v>1186</v>
      </c>
      <c r="D56" s="3" t="s">
        <v>376</v>
      </c>
    </row>
    <row r="57" customFormat="false" ht="15" hidden="false" customHeight="false" outlineLevel="0" collapsed="false">
      <c r="A57" s="3" t="n">
        <v>54</v>
      </c>
      <c r="B57" s="3" t="s">
        <v>1245</v>
      </c>
      <c r="C57" s="3" t="s">
        <v>1186</v>
      </c>
      <c r="D57" s="3" t="s">
        <v>385</v>
      </c>
    </row>
    <row r="58" customFormat="false" ht="23.85" hidden="false" customHeight="false" outlineLevel="0" collapsed="false">
      <c r="A58" s="3" t="n">
        <v>55</v>
      </c>
      <c r="B58" s="3" t="s">
        <v>1246</v>
      </c>
      <c r="C58" s="3" t="s">
        <v>1184</v>
      </c>
      <c r="D58" s="3" t="s">
        <v>300</v>
      </c>
    </row>
    <row r="59" customFormat="false" ht="35.05" hidden="false" customHeight="false" outlineLevel="0" collapsed="false">
      <c r="A59" s="3" t="n">
        <v>56</v>
      </c>
      <c r="B59" s="3" t="s">
        <v>1247</v>
      </c>
      <c r="C59" s="3" t="s">
        <v>1211</v>
      </c>
      <c r="D59" s="3" t="s">
        <v>286</v>
      </c>
    </row>
    <row r="60" customFormat="false" ht="15" hidden="false" customHeight="false" outlineLevel="0" collapsed="false">
      <c r="A60" s="3" t="n">
        <v>57</v>
      </c>
      <c r="B60" s="3" t="s">
        <v>1248</v>
      </c>
      <c r="C60" s="3" t="s">
        <v>1184</v>
      </c>
      <c r="D60" s="3" t="s">
        <v>519</v>
      </c>
    </row>
    <row r="61" customFormat="false" ht="15" hidden="false" customHeight="false" outlineLevel="0" collapsed="false">
      <c r="A61" s="3" t="n">
        <v>58</v>
      </c>
      <c r="B61" s="3" t="s">
        <v>1249</v>
      </c>
      <c r="C61" s="3" t="s">
        <v>1184</v>
      </c>
      <c r="D61" s="3" t="s">
        <v>525</v>
      </c>
    </row>
    <row r="62" customFormat="false" ht="23.85" hidden="false" customHeight="false" outlineLevel="0" collapsed="false">
      <c r="A62" s="3" t="n">
        <v>59</v>
      </c>
      <c r="B62" s="3" t="s">
        <v>1250</v>
      </c>
      <c r="C62" s="3" t="s">
        <v>1184</v>
      </c>
      <c r="D62" s="3" t="s">
        <v>532</v>
      </c>
    </row>
    <row r="63" customFormat="false" ht="15" hidden="false" customHeight="false" outlineLevel="0" collapsed="false">
      <c r="A63" s="3" t="n">
        <v>60</v>
      </c>
      <c r="B63" s="3" t="s">
        <v>1251</v>
      </c>
      <c r="C63" s="3" t="s">
        <v>1184</v>
      </c>
      <c r="D63" s="3" t="s">
        <v>540</v>
      </c>
    </row>
    <row r="64" customFormat="false" ht="15" hidden="false" customHeight="false" outlineLevel="0" collapsed="false">
      <c r="A64" s="3" t="n">
        <v>61</v>
      </c>
      <c r="B64" s="3" t="s">
        <v>1252</v>
      </c>
      <c r="C64" s="3" t="s">
        <v>1211</v>
      </c>
      <c r="D64" s="3" t="s">
        <v>254</v>
      </c>
    </row>
    <row r="65" customFormat="false" ht="15" hidden="false" customHeight="false" outlineLevel="0" collapsed="false">
      <c r="A65" s="3" t="n">
        <v>62</v>
      </c>
      <c r="B65" s="3" t="s">
        <v>1253</v>
      </c>
      <c r="C65" s="3" t="s">
        <v>1184</v>
      </c>
      <c r="D65" s="3" t="s">
        <v>547</v>
      </c>
    </row>
    <row r="66" customFormat="false" ht="15" hidden="false" customHeight="false" outlineLevel="0" collapsed="false">
      <c r="A66" s="3" t="n">
        <v>63</v>
      </c>
      <c r="B66" s="3" t="s">
        <v>1254</v>
      </c>
      <c r="C66" s="3" t="s">
        <v>1184</v>
      </c>
      <c r="D66" s="3" t="s">
        <v>554</v>
      </c>
    </row>
    <row r="67" customFormat="false" ht="23.85" hidden="false" customHeight="false" outlineLevel="0" collapsed="false">
      <c r="A67" s="3" t="n">
        <v>64</v>
      </c>
      <c r="B67" s="3" t="s">
        <v>1255</v>
      </c>
      <c r="C67" s="3" t="s">
        <v>1211</v>
      </c>
      <c r="D67" s="3" t="s">
        <v>700</v>
      </c>
    </row>
    <row r="68" customFormat="false" ht="15" hidden="false" customHeight="false" outlineLevel="0" collapsed="false">
      <c r="A68" s="3" t="n">
        <v>65</v>
      </c>
      <c r="B68" s="3" t="s">
        <v>1256</v>
      </c>
      <c r="C68" s="3" t="s">
        <v>1184</v>
      </c>
      <c r="D68" s="3" t="s">
        <v>625</v>
      </c>
    </row>
    <row r="69" customFormat="false" ht="23.85" hidden="false" customHeight="false" outlineLevel="0" collapsed="false">
      <c r="A69" s="3" t="n">
        <v>66</v>
      </c>
      <c r="B69" s="3" t="s">
        <v>1257</v>
      </c>
      <c r="C69" s="3" t="s">
        <v>1211</v>
      </c>
      <c r="D69" s="3" t="s">
        <v>700</v>
      </c>
    </row>
    <row r="70" customFormat="false" ht="15" hidden="false" customHeight="false" outlineLevel="0" collapsed="false">
      <c r="A70" s="3" t="n">
        <v>67</v>
      </c>
      <c r="B70" s="3" t="s">
        <v>1258</v>
      </c>
      <c r="C70" s="3" t="s">
        <v>1211</v>
      </c>
      <c r="D70" s="3" t="s">
        <v>1259</v>
      </c>
    </row>
    <row r="71" customFormat="false" ht="15" hidden="false" customHeight="false" outlineLevel="0" collapsed="false">
      <c r="A71" s="3" t="n">
        <v>68</v>
      </c>
      <c r="B71" s="3" t="s">
        <v>1260</v>
      </c>
      <c r="C71" s="3" t="s">
        <v>1211</v>
      </c>
      <c r="D71" s="3" t="s">
        <v>236</v>
      </c>
    </row>
    <row r="72" customFormat="false" ht="23.85" hidden="false" customHeight="false" outlineLevel="0" collapsed="false">
      <c r="A72" s="3" t="n">
        <v>69</v>
      </c>
      <c r="B72" s="3" t="s">
        <v>1261</v>
      </c>
      <c r="C72" s="3" t="s">
        <v>1184</v>
      </c>
      <c r="D72" s="3" t="s">
        <v>360</v>
      </c>
    </row>
    <row r="73" customFormat="false" ht="15" hidden="false" customHeight="false" outlineLevel="0" collapsed="false">
      <c r="A73" s="3" t="n">
        <v>70</v>
      </c>
      <c r="B73" s="3" t="s">
        <v>1262</v>
      </c>
      <c r="C73" s="3" t="s">
        <v>1184</v>
      </c>
      <c r="D73" s="3" t="s">
        <v>392</v>
      </c>
    </row>
    <row r="74" customFormat="false" ht="15" hidden="false" customHeight="false" outlineLevel="0" collapsed="false">
      <c r="A74" s="3" t="n">
        <v>71</v>
      </c>
      <c r="B74" s="3" t="s">
        <v>1263</v>
      </c>
      <c r="C74" s="3" t="s">
        <v>1211</v>
      </c>
      <c r="D74" s="3" t="s">
        <v>332</v>
      </c>
    </row>
    <row r="75" customFormat="false" ht="15" hidden="false" customHeight="false" outlineLevel="0" collapsed="false">
      <c r="A75" s="3" t="n">
        <v>72</v>
      </c>
      <c r="B75" s="3" t="s">
        <v>1264</v>
      </c>
      <c r="C75" s="3" t="s">
        <v>1184</v>
      </c>
      <c r="D75" s="3" t="s">
        <v>400</v>
      </c>
    </row>
    <row r="76" customFormat="false" ht="15" hidden="false" customHeight="false" outlineLevel="0" collapsed="false">
      <c r="A76" s="3" t="n">
        <v>73</v>
      </c>
      <c r="B76" s="3" t="s">
        <v>1265</v>
      </c>
      <c r="C76" s="3" t="s">
        <v>1211</v>
      </c>
      <c r="D76" s="3" t="s">
        <v>236</v>
      </c>
    </row>
    <row r="77" customFormat="false" ht="15" hidden="false" customHeight="false" outlineLevel="0" collapsed="false">
      <c r="A77" s="3" t="n">
        <v>74</v>
      </c>
      <c r="B77" s="3" t="s">
        <v>1266</v>
      </c>
      <c r="C77" s="3" t="s">
        <v>1186</v>
      </c>
      <c r="D77" s="3" t="s">
        <v>561</v>
      </c>
    </row>
    <row r="78" customFormat="false" ht="15" hidden="false" customHeight="false" outlineLevel="0" collapsed="false">
      <c r="A78" s="3" t="n">
        <v>75</v>
      </c>
      <c r="B78" s="3" t="s">
        <v>1267</v>
      </c>
      <c r="C78" s="3" t="s">
        <v>1211</v>
      </c>
      <c r="D78" s="3" t="s">
        <v>742</v>
      </c>
    </row>
    <row r="79" customFormat="false" ht="15" hidden="false" customHeight="false" outlineLevel="0" collapsed="false">
      <c r="A79" s="3" t="n">
        <v>76</v>
      </c>
      <c r="B79" s="3" t="s">
        <v>1268</v>
      </c>
      <c r="C79" s="3" t="s">
        <v>1184</v>
      </c>
      <c r="D79" s="3" t="s">
        <v>406</v>
      </c>
    </row>
    <row r="80" customFormat="false" ht="15" hidden="false" customHeight="false" outlineLevel="0" collapsed="false">
      <c r="A80" s="3" t="n">
        <v>77</v>
      </c>
      <c r="B80" s="3" t="s">
        <v>1269</v>
      </c>
      <c r="C80" s="3" t="s">
        <v>1184</v>
      </c>
      <c r="D80" s="3" t="s">
        <v>411</v>
      </c>
    </row>
    <row r="81" customFormat="false" ht="15" hidden="false" customHeight="false" outlineLevel="0" collapsed="false">
      <c r="A81" s="3" t="n">
        <v>78</v>
      </c>
      <c r="B81" s="3" t="s">
        <v>1270</v>
      </c>
      <c r="C81" s="3" t="s">
        <v>1184</v>
      </c>
      <c r="D81" s="3" t="s">
        <v>417</v>
      </c>
    </row>
    <row r="82" customFormat="false" ht="15" hidden="false" customHeight="false" outlineLevel="0" collapsed="false">
      <c r="A82" s="3" t="n">
        <v>79</v>
      </c>
      <c r="B82" s="3" t="s">
        <v>1271</v>
      </c>
      <c r="C82" s="3" t="s">
        <v>1213</v>
      </c>
      <c r="D82" s="3" t="s">
        <v>325</v>
      </c>
    </row>
    <row r="83" customFormat="false" ht="15" hidden="false" customHeight="false" outlineLevel="0" collapsed="false">
      <c r="A83" s="3" t="n">
        <v>80</v>
      </c>
      <c r="B83" s="3" t="s">
        <v>1272</v>
      </c>
      <c r="C83" s="3" t="s">
        <v>1213</v>
      </c>
      <c r="D83" s="3" t="s">
        <v>586</v>
      </c>
    </row>
    <row r="84" customFormat="false" ht="15" hidden="false" customHeight="false" outlineLevel="0" collapsed="false">
      <c r="A84" s="3" t="n">
        <v>81</v>
      </c>
      <c r="B84" s="3" t="s">
        <v>1273</v>
      </c>
      <c r="C84" s="3" t="s">
        <v>1213</v>
      </c>
      <c r="D84" s="3" t="s">
        <v>579</v>
      </c>
    </row>
    <row r="85" customFormat="false" ht="15" hidden="false" customHeight="false" outlineLevel="0" collapsed="false">
      <c r="A85" s="3" t="n">
        <v>82</v>
      </c>
      <c r="B85" s="3" t="s">
        <v>1274</v>
      </c>
      <c r="C85" s="3" t="s">
        <v>1213</v>
      </c>
      <c r="D85" s="3" t="s">
        <v>314</v>
      </c>
    </row>
    <row r="86" customFormat="false" ht="15" hidden="false" customHeight="false" outlineLevel="0" collapsed="false">
      <c r="A86" s="3" t="n">
        <v>83</v>
      </c>
      <c r="B86" s="3" t="s">
        <v>1275</v>
      </c>
      <c r="C86" s="3" t="s">
        <v>1213</v>
      </c>
      <c r="D86" s="3" t="s">
        <v>314</v>
      </c>
    </row>
    <row r="87" customFormat="false" ht="15" hidden="false" customHeight="false" outlineLevel="0" collapsed="false">
      <c r="A87" s="3" t="n">
        <v>84</v>
      </c>
      <c r="B87" s="3" t="s">
        <v>1276</v>
      </c>
      <c r="C87" s="3" t="s">
        <v>1213</v>
      </c>
      <c r="D87" s="3" t="s">
        <v>332</v>
      </c>
    </row>
    <row r="88" customFormat="false" ht="15" hidden="false" customHeight="false" outlineLevel="0" collapsed="false">
      <c r="A88" s="3" t="n">
        <v>85</v>
      </c>
      <c r="B88" s="3" t="s">
        <v>1277</v>
      </c>
      <c r="C88" s="3" t="s">
        <v>1213</v>
      </c>
      <c r="D88" s="3" t="s">
        <v>349</v>
      </c>
    </row>
    <row r="89" customFormat="false" ht="15" hidden="false" customHeight="false" outlineLevel="0" collapsed="false">
      <c r="A89" s="3" t="n">
        <v>86</v>
      </c>
      <c r="B89" s="3" t="s">
        <v>1278</v>
      </c>
      <c r="C89" s="3" t="s">
        <v>1213</v>
      </c>
      <c r="D89" s="3" t="s">
        <v>342</v>
      </c>
    </row>
    <row r="90" customFormat="false" ht="23.85" hidden="false" customHeight="false" outlineLevel="0" collapsed="false">
      <c r="A90" s="3" t="n">
        <v>87</v>
      </c>
      <c r="B90" s="3" t="s">
        <v>1279</v>
      </c>
      <c r="C90" s="3" t="s">
        <v>1213</v>
      </c>
      <c r="D90" s="3" t="s">
        <v>448</v>
      </c>
    </row>
    <row r="91" customFormat="false" ht="23.85" hidden="false" customHeight="false" outlineLevel="0" collapsed="false">
      <c r="A91" s="3" t="n">
        <v>88</v>
      </c>
      <c r="B91" s="3" t="s">
        <v>1280</v>
      </c>
      <c r="C91" s="3" t="s">
        <v>1213</v>
      </c>
      <c r="D91" s="3" t="s">
        <v>448</v>
      </c>
    </row>
    <row r="92" customFormat="false" ht="23.85" hidden="false" customHeight="false" outlineLevel="0" collapsed="false">
      <c r="A92" s="3" t="n">
        <v>89</v>
      </c>
      <c r="B92" s="3" t="s">
        <v>1281</v>
      </c>
      <c r="C92" s="3" t="s">
        <v>1213</v>
      </c>
      <c r="D92" s="3" t="s">
        <v>448</v>
      </c>
    </row>
    <row r="93" customFormat="false" ht="23.85" hidden="false" customHeight="false" outlineLevel="0" collapsed="false">
      <c r="A93" s="3" t="n">
        <v>90</v>
      </c>
      <c r="B93" s="3" t="s">
        <v>1282</v>
      </c>
      <c r="C93" s="3" t="s">
        <v>1213</v>
      </c>
      <c r="D93" s="3" t="s">
        <v>448</v>
      </c>
    </row>
    <row r="94" customFormat="false" ht="23.85" hidden="false" customHeight="false" outlineLevel="0" collapsed="false">
      <c r="A94" s="3" t="n">
        <v>91</v>
      </c>
      <c r="B94" s="3" t="s">
        <v>1283</v>
      </c>
      <c r="C94" s="3" t="s">
        <v>1213</v>
      </c>
      <c r="D94" s="3" t="s">
        <v>448</v>
      </c>
    </row>
    <row r="95" customFormat="false" ht="35.05" hidden="false" customHeight="false" outlineLevel="0" collapsed="false">
      <c r="A95" s="3" t="n">
        <v>92</v>
      </c>
      <c r="B95" s="3" t="s">
        <v>1284</v>
      </c>
      <c r="C95" s="3" t="s">
        <v>1213</v>
      </c>
      <c r="D95" s="3" t="s">
        <v>448</v>
      </c>
    </row>
    <row r="96" customFormat="false" ht="35.05" hidden="false" customHeight="false" outlineLevel="0" collapsed="false">
      <c r="A96" s="3" t="n">
        <v>93</v>
      </c>
      <c r="B96" s="3" t="s">
        <v>1285</v>
      </c>
      <c r="C96" s="3" t="s">
        <v>1213</v>
      </c>
      <c r="D96" s="3" t="s">
        <v>448</v>
      </c>
    </row>
    <row r="97" customFormat="false" ht="15" hidden="false" customHeight="false" outlineLevel="0" collapsed="false">
      <c r="A97" s="3" t="n">
        <v>94</v>
      </c>
      <c r="B97" s="3" t="s">
        <v>1286</v>
      </c>
      <c r="C97" s="3" t="s">
        <v>1213</v>
      </c>
      <c r="D97" s="3" t="s">
        <v>448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2026-10-30T17:15:17Z</dcterms:created>
  <dc:creator>openpyxl</dc:creator>
  <dc:description/>
  <dc:language>en-US</dc:language>
  <cp:lastModifiedBy/>
  <dcterms:modified xsi:type="dcterms:W3CDTF">2026-10-30T17:15:17Z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