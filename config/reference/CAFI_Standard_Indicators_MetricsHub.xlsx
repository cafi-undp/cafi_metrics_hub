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11.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12.xml" ContentType="application/vnd.openxmlformats-officedocument.spreadsheetml.table+xml"/>
  <Override PartName="/xl/tables/table5.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13.xml" ContentType="application/vnd.openxmlformats-officedocument.spreadsheetml.table+xml"/>
  <Override PartName="/xl/tables/table6.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0.xml" ContentType="application/vnd.openxmlformats-officedocument.spreadsheetml.table+xml"/>
  <Override PartName="/xl/tables/table8.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Categories" sheetId="2" state="visible" r:id="rId4"/>
    <sheet name="02_Subcategories" sheetId="3" state="visible" r:id="rId5"/>
    <sheet name="03_Indicators" sheetId="4" state="visible" r:id="rId6"/>
    <sheet name="04_IndicatorDisaggregations" sheetId="5" state="visible" r:id="rId7"/>
    <sheet name="05_Dimensions" sheetId="6" state="visible" r:id="rId8"/>
    <sheet name="06_Tags" sheetId="7" state="visible" r:id="rId9"/>
    <sheet name="07_IndicatorTags" sheetId="8" state="visible" r:id="rId10"/>
    <sheet name="08_UnitGroups" sheetId="9" state="visible" r:id="rId11"/>
    <sheet name="09_Map_Framework" sheetId="10" state="visible" r:id="rId12"/>
    <sheet name="10_Map_HubIndicators" sheetId="11" state="visible" r:id="rId13"/>
    <sheet name="11_Map_DraftList" sheetId="12" state="visible" r:id="rId14"/>
    <sheet name="12_Activities" sheetId="13" state="visible" r:id="rId15"/>
    <sheet name="13_Projects" sheetId="14" state="visible" r:id="rId16"/>
    <sheet name="14_ProjectIndicators" sheetId="15" state="visible" r:id="rId17"/>
    <sheet name="15_ProjectMatrix"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<sst xmlns="http://schemas.openxmlformats.org/spreadsheetml/2006/main" count="17910" uniqueCount="1896">
  <si>
    <t xml:space="preserve">CAFI Metrics Hub – Standard indicator reference tables (proposal, Oct 2026)</t>
  </si>
  <si>
    <t xml:space="preserve">Purpose</t>
  </si>
  <si>
    <t xml:space="preserve">Reference (dimension) tables for the CAFI standard indicators, ready to load into the Metrics Hub Power BI model next to the existing tables (01_Outcomes … 09_CarbonFactors). Same layout as the Metrics Hub companion tables: title in row 1, headers in row 3, one Excel table per tab.</t>
  </si>
  <si>
    <t xml:space="preserve">Design</t>
  </si>
  <si>
    <t xml:space="preserve">Each indicator has ONE category (= Metrics Hub outcome) and ONE sub-category, a tier, an applicability flag per project type and any number of tags. PES is a delivery mechanism, handled by the "Delivery mechanism" disaggregation and the PES tag – not a category.</t>
  </si>
  <si>
    <t xml:space="preserve">Tabs</t>
  </si>
  <si>
    <t xml:space="preserve">  01_Categories</t>
  </si>
  <si>
    <t xml:space="preserve">9 categories = Metrics Hub outcomes. Key: CategoryCode. 8 match existing outcomes; "People &amp; Livelihoods" is new (see Status).</t>
  </si>
  <si>
    <t xml:space="preserve">  02_Subcategories</t>
  </si>
  <si>
    <t xml:space="preserve">32 sub-categories. Key: SubcategoryCode. Joins to 01 on CategoryCode.</t>
  </si>
  <si>
    <t xml:space="preserve">  03_Indicators</t>
  </si>
  <si>
    <t xml:space="preserve">67 standard indicators (main table). Key: IndicatorCode. Short names (EN/FR) for dashboards, full definition in Description.</t>
  </si>
  <si>
    <t xml:space="preserve">  04_IndicatorDisaggregations</t>
  </si>
  <si>
    <t xml:space="preserve">Bridge: which disaggregations each indicator must be reported with. Joins 03 ↔ 05.</t>
  </si>
  <si>
    <t xml:space="preserve">  05_Dimensions</t>
  </si>
  <si>
    <t xml:space="preserve">38 disaggregation dimensions with their standard values.</t>
  </si>
  <si>
    <t xml:space="preserve">  06_Tags / 07_IndicatorTags</t>
  </si>
  <si>
    <t xml:space="preserve">8 tags (PES, Carbon input, Gender, …) and the bridge indicator ↔ tag – use as Power BI slicers.</t>
  </si>
  <si>
    <t xml:space="preserve">  08_UnitGroups</t>
  </si>
  <si>
    <t xml:space="preserve">Metrics Hub unit groups + 3 new ones (Length, Volume, Ratio).</t>
  </si>
  <si>
    <t xml:space="preserve">  09_Map_Framework</t>
  </si>
  <si>
    <t xml:space="preserve">Each code of the Metrics Hub standard framework (08_Framework: G.1 … IMP.2) → new indicator code.</t>
  </si>
  <si>
    <t xml:space="preserve">  10_Map_HubIndicators</t>
  </si>
  <si>
    <t xml:space="preserve">Each harmonised indicator label in 05_Results → suggested new code, with the number of existing result rows – to migrate the 1,517 existing rows.</t>
  </si>
  <si>
    <t xml:space="preserve">  11_Map_DraftList</t>
  </si>
  <si>
    <t xml:space="preserve">Each of the 94 indicators of the CAFI Connect draft → new code.</t>
  </si>
  <si>
    <t xml:space="preserve">Column glossary (03_Indicators)</t>
  </si>
  <si>
    <t xml:space="preserve">  Tier</t>
  </si>
  <si>
    <t xml:space="preserve">T1 = universal core (every project) · T2 = thematic headline (mandatory when the activity is carried out; aggregated) · T3 = supplementary (project-level detail).</t>
  </si>
  <si>
    <t xml:space="preserve">  ResultLevel / ResultType</t>
  </si>
  <si>
    <t xml:space="preserve">Impact, Outcome or Output; ResultType uses the Metrics Hub values (Output / Deliverable; Field Result / Outcome Proxy).</t>
  </si>
  <si>
    <t xml:space="preserve">  MeasurementType</t>
  </si>
  <si>
    <t xml:space="preserve">Metrics Hub values: Cumulative / Stock (value at reporting date) or Annual / Flow (value for the year).</t>
  </si>
  <si>
    <t xml:space="preserve">  AggregationRule</t>
  </si>
  <si>
    <t xml:space="preserve">How values may be combined across projects. "Not summed" = report average / per project. "Subset of …" = never add to the parent.</t>
  </si>
  <si>
    <t xml:space="preserve">  Applies_*</t>
  </si>
  <si>
    <t xml:space="preserve">M = mandatory for that project type · C = conditional (report if the project carries out the activity) · blank = not applicable. Project types: Enabling, AFOLU / integrated, PES, Private sector.</t>
  </si>
  <si>
    <t xml:space="preserve">  Tags</t>
  </si>
  <si>
    <t xml:space="preserve">Semicolon list; the same information in long format is in 07_IndicatorTags.</t>
  </si>
  <si>
    <t xml:space="preserve">  LegacyFrameworkCodes</t>
  </si>
  <si>
    <t xml:space="preserve">Codes of the Metrics Hub 08_Framework (CAFI standard results framework for territorial projects) covered by the indicator.</t>
  </si>
  <si>
    <t xml:space="preserve">  DraftNo</t>
  </si>
  <si>
    <t xml:space="preserve">Number in the CAFI Connect draft list (Enabling / AFOLU / PES / Private sector sheets); "+" lists draft indicators merged into it.</t>
  </si>
  <si>
    <t xml:space="preserve">Open points</t>
  </si>
  <si>
    <t xml:space="preserve">(1) Approve "People &amp; Livelihoods" as outcome 9 (Cross-cutting kept as a legacy bucket). (2) Approve the 3 new unit groups. (3) Write the methodological note: FTE definition, training minimum duration, plantation survival threshold, alert dataset and confidence level. (4) Validate French short names.</t>
  </si>
  <si>
    <t xml:space="preserve">Project tabs (added)</t>
  </si>
  <si>
    <t xml:space="preserve">  12_Activities</t>
  </si>
  <si>
    <t xml:space="preserve">24 activity types; each triggers a set of conditional indicators.</t>
  </si>
  <si>
    <t xml:space="preserve">  13_Projects</t>
  </si>
  <si>
    <t xml:space="preserve">Projects of the consolidated CAFI/FONAREDD portfolio with project type(s), PES flag, activities and indicator counts. Key: ProjectID (MPTF); ProjectCode = Metrics Hub code where one exists.</t>
  </si>
  <si>
    <t xml:space="preserve">  14_ProjectIndicators</t>
  </si>
  <si>
    <t xml:space="preserve">Bridge project ↔ indicator with requirement (Mandatory by type / Applicable by activity) and whether data already exists in the Metrics Hub.</t>
  </si>
  <si>
    <t xml:space="preserve">  15_ProjectMatrix</t>
  </si>
  <si>
    <t xml:space="preserve">Visual overview of the same information.</t>
  </si>
  <si>
    <t xml:space="preserve">  Rule</t>
  </si>
  <si>
    <t xml:space="preserve">Mandatory = indicator flagged M for one of the project types (a PIREDD is AFOLU + PES and gets the M flags of both). Activities trigger T1/T2 indicators as "Required (activity)" and T3 indicators as "Optional". Preparatory grants get no mandatory indicator, only those triggered by their activities. Support / direct-cost lines get none.</t>
  </si>
  <si>
    <t xml:space="preserve">Categories – one per indicator; aligned with the Metrics Hub outcomes (01_Outcomes)</t>
  </si>
  <si>
    <t xml:space="preserve">CategoryCode</t>
  </si>
  <si>
    <t xml:space="preserve">Category</t>
  </si>
  <si>
    <t xml:space="preserve">CategoryShort</t>
  </si>
  <si>
    <t xml:space="preserve">OutcomeNo</t>
  </si>
  <si>
    <t xml:space="preserve">Scope</t>
  </si>
  <si>
    <t xml:space="preserve">BoundaryRule</t>
  </si>
  <si>
    <t xml:space="preserve">ThemeColor</t>
  </si>
  <si>
    <t xml:space="preserve">Status</t>
  </si>
  <si>
    <t xml:space="preserve">IndicatorCount</t>
  </si>
  <si>
    <t xml:space="preserve">T1</t>
  </si>
  <si>
    <t xml:space="preserve">T2</t>
  </si>
  <si>
    <t xml:space="preserve">T3</t>
  </si>
  <si>
    <t xml:space="preserve">GOV</t>
  </si>
  <si>
    <t xml:space="preserve">Governance, Policy &amp; Institutional Capacity</t>
  </si>
  <si>
    <t xml:space="preserve">Governance &amp; Policy</t>
  </si>
  <si>
    <t xml:space="preserve">National policy, laws and regulations, institutions and coordination, local governance structures, capacity building, civil society oversight.</t>
  </si>
  <si>
    <t xml:space="preserve">Provincial land edicts are a type of regulatory measure (GOV-02); land-use plans themselves are LUT.</t>
  </si>
  <si>
    <t xml:space="preserve">#068290</t>
  </si>
  <si>
    <t xml:space="preserve">Existing outcome</t>
  </si>
  <si>
    <t xml:space="preserve">FOR</t>
  </si>
  <si>
    <t xml:space="preserve">Forests, Biodiversity &amp; Ecosystem Services</t>
  </si>
  <si>
    <t xml:space="preserve">Forests &amp; Biodiversity</t>
  </si>
  <si>
    <t xml:space="preserve">Sustainable forest management, certification, conservation, natural regeneration and plantations (incl. wood energy), fire and human–wildlife conflict, forest monitoring, control and legality.</t>
  </si>
  <si>
    <t xml:space="preserve">Every hectare of forest or tree cover is counted once, in FOR or AGR (never ENR), whatever the delivery mechanism. Hectares under PES contracts appear through the "Delivery mechanism" disaggregation.</t>
  </si>
  <si>
    <t xml:space="preserve">#04BFBF</t>
  </si>
  <si>
    <t xml:space="preserve">FIN</t>
  </si>
  <si>
    <t xml:space="preserve">Sustainable Finance, PES &amp; Private Investment</t>
  </si>
  <si>
    <t xml:space="preserve">Sustainable Finance &amp; PES</t>
  </si>
  <si>
    <t xml:space="preserve">Co-financing, private finance and leverage, enterprises supported, deforestation-free supply chains, finance for forest-friendly extractives, and the steps specific to results-based payment instruments (PES eligibility, verified compliance, payments).</t>
  </si>
  <si>
    <t xml:space="preserve">Private finance (FIN-02) is a subset of co-financing (FIN-01) – never add them. PES is a delivery mechanism: PES hectares stay in FOR/AGR and contracted providers in PPL-01.</t>
  </si>
  <si>
    <t xml:space="preserve">#0D6ABF</t>
  </si>
  <si>
    <t xml:space="preserve">LUT</t>
  </si>
  <si>
    <t xml:space="preserve">Land-use Planning &amp; Tenure</t>
  </si>
  <si>
    <t xml:space="preserve">Land-use and natural-resource-management plans, compliance with plans, land tenure security, land and resource conflict resolution.</t>
  </si>
  <si>
    <t xml:space="preserve">Infrastructure built under plans is PPL; forest management plans are FOR. Areas under plans overlap with FOR/AGR areas – never add them.</t>
  </si>
  <si>
    <t xml:space="preserve">#054442</t>
  </si>
  <si>
    <t xml:space="preserve">AGR</t>
  </si>
  <si>
    <t xml:space="preserve">Sustainable Agriculture &amp; Value Chains</t>
  </si>
  <si>
    <t xml:space="preserve">Sustainable Agriculture</t>
  </si>
  <si>
    <t xml:space="preserve">Food crops and seed systems, deforestation-free perennial crops, agroforestry, yields, production and market access.</t>
  </si>
  <si>
    <t xml:space="preserve">Smallholders integrated into private supply chains are FIN-10 (private-sector projects). PES agriculture and agroforestry hectares are counted here.</t>
  </si>
  <si>
    <t xml:space="preserve">#7FB069</t>
  </si>
  <si>
    <t xml:space="preserve">ENR</t>
  </si>
  <si>
    <t xml:space="preserve">Energy Transition &amp; Clean Cooking</t>
  </si>
  <si>
    <t xml:space="preserve">Energy &amp; Clean Cooking</t>
  </si>
  <si>
    <t xml:space="preserve">Demand-side energy: clean cooking solutions, adoption, fuel savings, sales.</t>
  </si>
  <si>
    <t xml:space="preserve">Wood-energy plantation areas are FOR-02 (end use = wood energy). Training in improved carbonisation is GOV-01.</t>
  </si>
  <si>
    <t xml:space="preserve">#E1A100</t>
  </si>
  <si>
    <t xml:space="preserve">CLM</t>
  </si>
  <si>
    <t xml:space="preserve">Climate, Carbon &amp; MRV</t>
  </si>
  <si>
    <t xml:space="preserve">Emission reductions and removals, deforestation and degradation in project areas, national forest monitoring / MRV systems.</t>
  </si>
  <si>
    <t xml:space="preserve">Projects report activity data; tCO2e and deforestation are calculated by the Secretariat. Responses to alerts are FOR (monitoring &amp; control).</t>
  </si>
  <si>
    <t xml:space="preserve">#36003E</t>
  </si>
  <si>
    <t xml:space="preserve">INC</t>
  </si>
  <si>
    <t xml:space="preserve">Demography, Health &amp; Social Inclusion</t>
  </si>
  <si>
    <t xml:space="preserve">Demography &amp; Inclusion</t>
  </si>
  <si>
    <t xml:space="preserve">Family planning and demography, outreach to indigenous peoples and vulnerable groups.</t>
  </si>
  <si>
    <t xml:space="preserve">Gender / indigenous-peoples disaggregations of other indicators stay with those indicators.</t>
  </si>
  <si>
    <t xml:space="preserve">#C2185B</t>
  </si>
  <si>
    <t xml:space="preserve">PPL</t>
  </si>
  <si>
    <t xml:space="preserve">People &amp; Livelihoods</t>
  </si>
  <si>
    <t xml:space="preserve">Beneficiaries, jobs, household income and rural infrastructure serving communities.</t>
  </si>
  <si>
    <t xml:space="preserve">Crop yields and production are AGR; training is GOV.</t>
  </si>
  <si>
    <t xml:space="preserve">#F28C28</t>
  </si>
  <si>
    <t xml:space="preserve">NEW outcome – proposed to replace "Cross-cutting / Other Results" as outcome 9 for standard indicators (Cross-cutting kept as 10 for legacy rows not yet mapped)</t>
  </si>
  <si>
    <t xml:space="preserve">Sub-categories</t>
  </si>
  <si>
    <t xml:space="preserve">SubcategoryCode</t>
  </si>
  <si>
    <t xml:space="preserve">Subcategory</t>
  </si>
  <si>
    <t xml:space="preserve">Description</t>
  </si>
  <si>
    <t xml:space="preserve">GOV.POL</t>
  </si>
  <si>
    <t xml:space="preserve">Policy &amp; regulation</t>
  </si>
  <si>
    <t xml:space="preserve">Policies, strategies, laws, regulations and provincial edicts.</t>
  </si>
  <si>
    <t xml:space="preserve">GOV.INS</t>
  </si>
  <si>
    <t xml:space="preserve">Institutions &amp; coordination</t>
  </si>
  <si>
    <t xml:space="preserve">National and provincial institutions, interministerial coordination.</t>
  </si>
  <si>
    <t xml:space="preserve">GOV.LOC</t>
  </si>
  <si>
    <t xml:space="preserve">Local governance</t>
  </si>
  <si>
    <t xml:space="preserve">Local decision-making structures and the services they deliver.</t>
  </si>
  <si>
    <t xml:space="preserve">GOV.CAP</t>
  </si>
  <si>
    <t xml:space="preserve">Capacity building</t>
  </si>
  <si>
    <t xml:space="preserve">Training of people and equipment of technical services and organisations.</t>
  </si>
  <si>
    <t xml:space="preserve">GOV.CSO</t>
  </si>
  <si>
    <t xml:space="preserve">Civil society</t>
  </si>
  <si>
    <t xml:space="preserve">Independent monitoring and oversight by civil society.</t>
  </si>
  <si>
    <t xml:space="preserve">FOR.SFM</t>
  </si>
  <si>
    <t xml:space="preserve">Sustainable forest management &amp; certification</t>
  </si>
  <si>
    <t xml:space="preserve">Chain designated (management plan) → effectively managed → certified.</t>
  </si>
  <si>
    <t xml:space="preserve">FOR.CNS</t>
  </si>
  <si>
    <t xml:space="preserve">Conservation</t>
  </si>
  <si>
    <t xml:space="preserve">Forest under conservation status.</t>
  </si>
  <si>
    <t xml:space="preserve">FOR.RST</t>
  </si>
  <si>
    <t xml:space="preserve">Restoration &amp; plantations</t>
  </si>
  <si>
    <t xml:space="preserve">Natural regeneration and tree plantations.</t>
  </si>
  <si>
    <t xml:space="preserve">FOR.PRT</t>
  </si>
  <si>
    <t xml:space="preserve">Fire &amp; wildlife protection</t>
  </si>
  <si>
    <t xml:space="preserve">Fire prevention and human–wildlife conflict mitigation.</t>
  </si>
  <si>
    <t xml:space="preserve">FOR.MCL</t>
  </si>
  <si>
    <t xml:space="preserve">Monitoring, control &amp; legality</t>
  </si>
  <si>
    <t xml:space="preserve">Forest monitoring, deforestation alerts, timber legality.</t>
  </si>
  <si>
    <t xml:space="preserve">FIN.COF</t>
  </si>
  <si>
    <t xml:space="preserve">Co-financing</t>
  </si>
  <si>
    <t xml:space="preserve">All co-financing mobilised.</t>
  </si>
  <si>
    <t xml:space="preserve">FIN.PRV</t>
  </si>
  <si>
    <t xml:space="preserve">Private investment</t>
  </si>
  <si>
    <t xml:space="preserve">Private finance, leverage, enterprises supported.</t>
  </si>
  <si>
    <t xml:space="preserve">FIN.SCH</t>
  </si>
  <si>
    <t xml:space="preserve">Supply chains</t>
  </si>
  <si>
    <t xml:space="preserve">Deforestation-free commodity supply chains.</t>
  </si>
  <si>
    <t xml:space="preserve">FIN.EXT</t>
  </si>
  <si>
    <t xml:space="preserve">Extractives</t>
  </si>
  <si>
    <t xml:space="preserve">Finance for forest-friendly mining and hydrocarbons.</t>
  </si>
  <si>
    <t xml:space="preserve">FIN.RBP</t>
  </si>
  <si>
    <t xml:space="preserve">Results-based payments (PES)</t>
  </si>
  <si>
    <t xml:space="preserve">Steps specific to the PES instrument: eligibility, verified compliance, payments.</t>
  </si>
  <si>
    <t xml:space="preserve">LUT.PLN</t>
  </si>
  <si>
    <t xml:space="preserve">Land-use planning</t>
  </si>
  <si>
    <t xml:space="preserve">Land-use and NRM plans and their coverage.</t>
  </si>
  <si>
    <t xml:space="preserve">LUT.CMP</t>
  </si>
  <si>
    <t xml:space="preserve">Plan compliance</t>
  </si>
  <si>
    <t xml:space="preserve">Violations of land-use plans.</t>
  </si>
  <si>
    <t xml:space="preserve">LUT.TEN</t>
  </si>
  <si>
    <t xml:space="preserve">Tenure security</t>
  </si>
  <si>
    <t xml:space="preserve">Secured land rights, registries, land arrangements.</t>
  </si>
  <si>
    <t xml:space="preserve">LUT.CON</t>
  </si>
  <si>
    <t xml:space="preserve">Conflict resolution</t>
  </si>
  <si>
    <t xml:space="preserve">Arbitration of land and resource-use conflicts.</t>
  </si>
  <si>
    <t xml:space="preserve">AGR.FCS</t>
  </si>
  <si>
    <t xml:space="preserve">Food crops &amp; seed</t>
  </si>
  <si>
    <t xml:space="preserve">Improved food-crop varieties and seed multiplication.</t>
  </si>
  <si>
    <t xml:space="preserve">AGR.PER</t>
  </si>
  <si>
    <t xml:space="preserve">Perennial crops &amp; agroforestry</t>
  </si>
  <si>
    <t xml:space="preserve">Deforestation-free perennial crops and agroforestry.</t>
  </si>
  <si>
    <t xml:space="preserve">AGR.PRD</t>
  </si>
  <si>
    <t xml:space="preserve">Productivity</t>
  </si>
  <si>
    <t xml:space="preserve">Production volumes and yields.</t>
  </si>
  <si>
    <t xml:space="preserve">AGR.MKT</t>
  </si>
  <si>
    <t xml:space="preserve">Market access</t>
  </si>
  <si>
    <t xml:space="preserve">Sales and share of production marketed.</t>
  </si>
  <si>
    <t xml:space="preserve">ENR.CCK</t>
  </si>
  <si>
    <t xml:space="preserve">Clean cooking</t>
  </si>
  <si>
    <t xml:space="preserve">Distribution, adoption, fuel savings and sales of clean cooking solutions.</t>
  </si>
  <si>
    <t xml:space="preserve">CLM.EMI</t>
  </si>
  <si>
    <t xml:space="preserve">Emissions &amp; removals</t>
  </si>
  <si>
    <t xml:space="preserve">GHG emission reductions and removals.</t>
  </si>
  <si>
    <t xml:space="preserve">CLM.FCC</t>
  </si>
  <si>
    <t xml:space="preserve">Forest cover change</t>
  </si>
  <si>
    <t xml:space="preserve">Deforestation and degradation in project areas.</t>
  </si>
  <si>
    <t xml:space="preserve">CLM.MRV</t>
  </si>
  <si>
    <t xml:space="preserve">MRV systems</t>
  </si>
  <si>
    <t xml:space="preserve">National forest monitoring and MRV systems.</t>
  </si>
  <si>
    <t xml:space="preserve">INC.DEM</t>
  </si>
  <si>
    <t xml:space="preserve">Demography</t>
  </si>
  <si>
    <t xml:space="preserve">Family planning.</t>
  </si>
  <si>
    <t xml:space="preserve">INC.OUT</t>
  </si>
  <si>
    <t xml:space="preserve">Inclusion &amp; outreach</t>
  </si>
  <si>
    <t xml:space="preserve">Awareness campaigns and outreach to vulnerable groups.</t>
  </si>
  <si>
    <t xml:space="preserve">PPL.BEN</t>
  </si>
  <si>
    <t xml:space="preserve">Beneficiaries</t>
  </si>
  <si>
    <t xml:space="preserve">Direct and indirect beneficiaries.</t>
  </si>
  <si>
    <t xml:space="preserve">PPL.JOB</t>
  </si>
  <si>
    <t xml:space="preserve">Jobs &amp; income</t>
  </si>
  <si>
    <t xml:space="preserve">Jobs created and income change.</t>
  </si>
  <si>
    <t xml:space="preserve">PPL.INF</t>
  </si>
  <si>
    <t xml:space="preserve">Rural infrastructure</t>
  </si>
  <si>
    <t xml:space="preserve">Community infrastructure and rural roads.</t>
  </si>
  <si>
    <t xml:space="preserve">Standard indicators – main reference table (67 indicators)</t>
  </si>
  <si>
    <t xml:space="preserve">Short names for dashboards in columns B–C; full definition in D. Applies_*: M = mandatory, C = if the activity is carried out.</t>
  </si>
  <si>
    <t xml:space="preserve">IndicatorCode</t>
  </si>
  <si>
    <t xml:space="preserve">IndicatorName</t>
  </si>
  <si>
    <t xml:space="preserve">IndicatorNameFR</t>
  </si>
  <si>
    <t xml:space="preserve">SortOrder</t>
  </si>
  <si>
    <t xml:space="preserve">Tier</t>
  </si>
  <si>
    <t xml:space="preserve">ResultLevel</t>
  </si>
  <si>
    <t xml:space="preserve">ResultType</t>
  </si>
  <si>
    <t xml:space="preserve">Unit</t>
  </si>
  <si>
    <t xml:space="preserve">UnitGroup</t>
  </si>
  <si>
    <t xml:space="preserve">MeasurementType</t>
  </si>
  <si>
    <t xml:space="preserve">AggregationRule</t>
  </si>
  <si>
    <t xml:space="preserve">RelatedIndicator</t>
  </si>
  <si>
    <t xml:space="preserve">Disaggregations</t>
  </si>
  <si>
    <t xml:space="preserve">Applies_Enabling</t>
  </si>
  <si>
    <t xml:space="preserve">Applies_AFOLU</t>
  </si>
  <si>
    <t xml:space="preserve">Applies_PES</t>
  </si>
  <si>
    <t xml:space="preserve">Applies_PrivateSector</t>
  </si>
  <si>
    <t xml:space="preserve">Tags</t>
  </si>
  <si>
    <t xml:space="preserve">DataSource</t>
  </si>
  <si>
    <t xml:space="preserve">Frequency</t>
  </si>
  <si>
    <t xml:space="preserve">LegacyFrameworkCodes</t>
  </si>
  <si>
    <t xml:space="preserve">DraftNo</t>
  </si>
  <si>
    <t xml:space="preserve">ChangeFromDraft</t>
  </si>
  <si>
    <t xml:space="preserve">GOV-01</t>
  </si>
  <si>
    <t xml:space="preserve">People trained</t>
  </si>
  <si>
    <t xml:space="preserve">Personnes formées</t>
  </si>
  <si>
    <t xml:space="preserve">Individuals who completed a project-supported training (minimum duration per methodological note), counted once per training type.</t>
  </si>
  <si>
    <t xml:space="preserve">Output</t>
  </si>
  <si>
    <t xml:space="preserve">Output / Deliverable</t>
  </si>
  <si>
    <t xml:space="preserve">People</t>
  </si>
  <si>
    <t xml:space="preserve">Cumulative / Stock</t>
  </si>
  <si>
    <t xml:space="preserve">Sum</t>
  </si>
  <si>
    <t xml:space="preserve">—</t>
  </si>
  <si>
    <t xml:space="preserve">Gender; Vulnerable group; Training type; Institution type</t>
  </si>
  <si>
    <t xml:space="preserve">C</t>
  </si>
  <si>
    <t xml:space="preserve">GENDER; IP</t>
  </si>
  <si>
    <t xml:space="preserve">Project report</t>
  </si>
  <si>
    <t xml:space="preserve">Annual</t>
  </si>
  <si>
    <t xml:space="preserve">G.4; FOR.4; E.3a</t>
  </si>
  <si>
    <t xml:space="preserve">5 (+68, 73)</t>
  </si>
  <si>
    <t xml:space="preserve">Kept</t>
  </si>
  <si>
    <t xml:space="preserve">GOV-02</t>
  </si>
  <si>
    <t xml:space="preserve">Policy and regulatory measures supported</t>
  </si>
  <si>
    <t xml:space="preserve">Mesures politiques et réglementaires appuyées</t>
  </si>
  <si>
    <t xml:space="preserve">Policies, strategies, laws, regulations/decrees and provincial edicts developed with project support, by the highest status reached (drafted, adopted, implemented). The portfolio headline reports "adopted".</t>
  </si>
  <si>
    <t xml:space="preserve">Number</t>
  </si>
  <si>
    <t xml:space="preserve">Count</t>
  </si>
  <si>
    <t xml:space="preserve">Sum by status (each measure at its highest status)</t>
  </si>
  <si>
    <t xml:space="preserve">Measure type; Measure status</t>
  </si>
  <si>
    <t xml:space="preserve">M</t>
  </si>
  <si>
    <t xml:space="preserve">FON.1</t>
  </si>
  <si>
    <t xml:space="preserve">8 (+33, 34, 61)</t>
  </si>
  <si>
    <t xml:space="preserve">Reworded</t>
  </si>
  <si>
    <t xml:space="preserve">GOV-03</t>
  </si>
  <si>
    <t xml:space="preserve">Operational local governance structures</t>
  </si>
  <si>
    <t xml:space="preserve">Structures locales de gouvernance opérationnelles</t>
  </si>
  <si>
    <t xml:space="preserve">Local decision-making structures (CLD, CLG, CARG, CPAT, CCPF, CCPA, etc.) created or strengthened that meet the operational criteria (regular meetings with minutes, mandate in force).</t>
  </si>
  <si>
    <t xml:space="preserve">Local structure type; Intervention area</t>
  </si>
  <si>
    <t xml:space="preserve">G.1</t>
  </si>
  <si>
    <t xml:space="preserve">12</t>
  </si>
  <si>
    <t xml:space="preserve">Moved</t>
  </si>
  <si>
    <t xml:space="preserve">GOV-04</t>
  </si>
  <si>
    <t xml:space="preserve">Interministerial coordination meetings</t>
  </si>
  <si>
    <t xml:space="preserve">Réunions de coordination interministérielle</t>
  </si>
  <si>
    <t xml:space="preserve">Interministerial or intersectoral coordination meetings held with project support during the year.</t>
  </si>
  <si>
    <t xml:space="preserve">Annual / Flow</t>
  </si>
  <si>
    <t xml:space="preserve">35</t>
  </si>
  <si>
    <t xml:space="preserve">GOV-05</t>
  </si>
  <si>
    <t xml:space="preserve">Institutions strengthened</t>
  </si>
  <si>
    <t xml:space="preserve">Institutions renforcées</t>
  </si>
  <si>
    <t xml:space="preserve">National or provincial institutions or units receiving structured support (staff, equipment, procedures, systems), by type and functional status.</t>
  </si>
  <si>
    <t xml:space="preserve">Institution type</t>
  </si>
  <si>
    <t xml:space="preserve">36</t>
  </si>
  <si>
    <t xml:space="preserve">GOV-06</t>
  </si>
  <si>
    <t xml:space="preserve">Technical services equipped</t>
  </si>
  <si>
    <t xml:space="preserve">Services techniques équipés</t>
  </si>
  <si>
    <t xml:space="preserve">Government technical services and civil society organisations equipped and operational with project support (land registry and brigades, land-use planning, agriculture, environment, rural development, CSOs).</t>
  </si>
  <si>
    <t xml:space="preserve">Technical service type</t>
  </si>
  <si>
    <t xml:space="preserve">G.3; G.4</t>
  </si>
  <si>
    <t xml:space="preserve">38 (+56)</t>
  </si>
  <si>
    <t xml:space="preserve">GOV-07</t>
  </si>
  <si>
    <t xml:space="preserve">People supported by technical services</t>
  </si>
  <si>
    <t xml:space="preserve">Personnes appuyées par les services techniques</t>
  </si>
  <si>
    <t xml:space="preserve">People receiving support from technical services during the year (extension, inspections, natural-resource-management assessments).</t>
  </si>
  <si>
    <t xml:space="preserve">Gender; Vulnerable group; Support type</t>
  </si>
  <si>
    <t xml:space="preserve">OUT.8</t>
  </si>
  <si>
    <t xml:space="preserve">47</t>
  </si>
  <si>
    <t xml:space="preserve">GOV-08</t>
  </si>
  <si>
    <t xml:space="preserve">Participants in local governance structures</t>
  </si>
  <si>
    <t xml:space="preserve">Participants aux structures locales de gouvernance</t>
  </si>
  <si>
    <t xml:space="preserve">Members actively participating in the structures counted in GOV-03, distinguishing steering members from general assembly members.</t>
  </si>
  <si>
    <t xml:space="preserve">Linked to GOV-03</t>
  </si>
  <si>
    <t xml:space="preserve">Gender; Vulnerable group; Participant role; Local structure type</t>
  </si>
  <si>
    <t xml:space="preserve">G.2</t>
  </si>
  <si>
    <t xml:space="preserve">55</t>
  </si>
  <si>
    <t xml:space="preserve">GOV-09</t>
  </si>
  <si>
    <t xml:space="preserve">CSOs doing independent monitoring</t>
  </si>
  <si>
    <t xml:space="preserve">OSC assurant un suivi indépendant</t>
  </si>
  <si>
    <t xml:space="preserve">Civil society organisations conducting independent monitoring of REDD+ projects and programmes, with at least one monitoring report produced during the period.</t>
  </si>
  <si>
    <t xml:space="preserve">Intervention area</t>
  </si>
  <si>
    <t xml:space="preserve">New</t>
  </si>
  <si>
    <t xml:space="preserve">FOR-01</t>
  </si>
  <si>
    <t xml:space="preserve">Area under natural regeneration</t>
  </si>
  <si>
    <t xml:space="preserve">Superficie en régénération naturelle</t>
  </si>
  <si>
    <t xml:space="preserve">Savannah or degraded land set aside for natural regeneration (assisted or unassisted) and still protected at the reporting date. Includes PES regeneration contracts.</t>
  </si>
  <si>
    <t xml:space="preserve">ha</t>
  </si>
  <si>
    <t xml:space="preserve">Area (ha)</t>
  </si>
  <si>
    <t xml:space="preserve">Regeneration type; Delivery mechanism; PES activity</t>
  </si>
  <si>
    <t xml:space="preserve">PES; CARBON; SPATIAL</t>
  </si>
  <si>
    <t xml:space="preserve">Project report; PES platform</t>
  </si>
  <si>
    <t xml:space="preserve">E.1; OUT.16b</t>
  </si>
  <si>
    <t xml:space="preserve">17 (+26, 52, 82, 83)</t>
  </si>
  <si>
    <t xml:space="preserve">FOR-02</t>
  </si>
  <si>
    <t xml:space="preserve">Area of tree plantations</t>
  </si>
  <si>
    <t xml:space="preserve">Superficie de plantations forestières</t>
  </si>
  <si>
    <t xml:space="preserve">Area planted with trees for wood energy, timber or mixed use, with surviving stands at the reporting date (survival threshold per methodological note). Includes PES afforestation/reforestation contracts.</t>
  </si>
  <si>
    <t xml:space="preserve">Plantation end use; Delivery mechanism; PES activity</t>
  </si>
  <si>
    <t xml:space="preserve">E.2; OUT.16a</t>
  </si>
  <si>
    <t xml:space="preserve">19 (+26, 52, 79)</t>
  </si>
  <si>
    <t xml:space="preserve">FOR-03</t>
  </si>
  <si>
    <t xml:space="preserve">Area under sustainable forest management</t>
  </si>
  <si>
    <t xml:space="preserve">Superficie sous gestion forestière durable</t>
  </si>
  <si>
    <t xml:space="preserve">Forest area where an approved management plan is effectively implemented (industrial concession, community forest/CFCL, artisanal logging, PSAT). Includes PES SFM contracts (EFIR-C). Second step after FOR-06.</t>
  </si>
  <si>
    <t xml:space="preserve">Outcome</t>
  </si>
  <si>
    <t xml:space="preserve">Field Result / Outcome Proxy</t>
  </si>
  <si>
    <t xml:space="preserve">Subset of FOR-06</t>
  </si>
  <si>
    <t xml:space="preserve">Forest management type; Delivery mechanism; PES activity</t>
  </si>
  <si>
    <t xml:space="preserve">FOR.4</t>
  </si>
  <si>
    <t xml:space="preserve">20 (+26, 71, 84)</t>
  </si>
  <si>
    <t xml:space="preserve">FOR-04</t>
  </si>
  <si>
    <t xml:space="preserve">Forest area under conservation</t>
  </si>
  <si>
    <t xml:space="preserve">Superficie forestière sous conservation</t>
  </si>
  <si>
    <t xml:space="preserve">Forest area placed under conservation (protected areas, conservation zones of community forests and PSATs). Includes PES conservation contracts.</t>
  </si>
  <si>
    <t xml:space="preserve">Conservation status; Delivery mechanism; PES activity</t>
  </si>
  <si>
    <t xml:space="preserve">FOR.5; OUT.6</t>
  </si>
  <si>
    <t xml:space="preserve">21 (+26, 86)</t>
  </si>
  <si>
    <t xml:space="preserve">FOR-05</t>
  </si>
  <si>
    <t xml:space="preserve">Certified forest area</t>
  </si>
  <si>
    <t xml:space="preserve">Superficie forestière certifiée</t>
  </si>
  <si>
    <t xml:space="preserve">Forest concessions holding a valid third-party certification (FSC, PAFC) or legality certificate. Subset of FOR-03 – do not add.</t>
  </si>
  <si>
    <t xml:space="preserve">Sum (subset of FOR-03 – do not add)</t>
  </si>
  <si>
    <t xml:space="preserve">Subset of FOR-03</t>
  </si>
  <si>
    <t xml:space="preserve">Certification scheme; Delivery mechanism</t>
  </si>
  <si>
    <t xml:space="preserve">PES; SPATIAL</t>
  </si>
  <si>
    <t xml:space="preserve">Project report; certification bodies</t>
  </si>
  <si>
    <t xml:space="preserve">FOR.8</t>
  </si>
  <si>
    <t xml:space="preserve">22 (+85)</t>
  </si>
  <si>
    <t xml:space="preserve">FOR-06</t>
  </si>
  <si>
    <t xml:space="preserve">Area under approved forest management plans</t>
  </si>
  <si>
    <t xml:space="preserve">Superficie sous plan de gestion forestière approuvé</t>
  </si>
  <si>
    <t xml:space="preserve">Forest area designated under an approved management plan (concession management plan, community forest simple management plan, PSAT). First step of designated (FOR-06) → effectively managed (FOR-03) → certified (FOR-05).</t>
  </si>
  <si>
    <t xml:space="preserve">Forest management type</t>
  </si>
  <si>
    <t xml:space="preserve">SPATIAL</t>
  </si>
  <si>
    <t xml:space="preserve">FOR.1</t>
  </si>
  <si>
    <t xml:space="preserve">69 (+42)</t>
  </si>
  <si>
    <t xml:space="preserve">FOR-07</t>
  </si>
  <si>
    <t xml:space="preserve">Timber legality system maturity</t>
  </si>
  <si>
    <t xml:space="preserve">Maturité du système de légalité du bois</t>
  </si>
  <si>
    <t xml:space="preserve">Maturity score of the timber legality verification system: 0 = none; 1 = designed; 2 = legal framework adopted; 3 = operational; 4 = operational and independently audited.</t>
  </si>
  <si>
    <t xml:space="preserve">Score 0–4</t>
  </si>
  <si>
    <t xml:space="preserve">Qualitative</t>
  </si>
  <si>
    <t xml:space="preserve">Not summed (report per country)</t>
  </si>
  <si>
    <t xml:space="preserve">43</t>
  </si>
  <si>
    <t xml:space="preserve">FOR-08</t>
  </si>
  <si>
    <t xml:space="preserve">Deforestation alerts processed</t>
  </si>
  <si>
    <t xml:space="preserve">Alertes de déforestation traitées</t>
  </si>
  <si>
    <t xml:space="preserve">Deforestation alerts in project areas received, verified in the field and acted upon (sanction, mediation, restoration). Alert source and confidence level stated.</t>
  </si>
  <si>
    <t xml:space="preserve">Sum by stage</t>
  </si>
  <si>
    <t xml:space="preserve">Alert stage; Alert source</t>
  </si>
  <si>
    <t xml:space="preserve">Project report; Secretariat (remote sensing)</t>
  </si>
  <si>
    <t xml:space="preserve">OUT.17</t>
  </si>
  <si>
    <t xml:space="preserve">53</t>
  </si>
  <si>
    <t xml:space="preserve">FOR-09</t>
  </si>
  <si>
    <t xml:space="preserve">Area of verified alerts in protected zones</t>
  </si>
  <si>
    <t xml:space="preserve">Superficie des alertes vérifiées en zones protégées</t>
  </si>
  <si>
    <t xml:space="preserve">Area affected by verified deforestation alerts inside conservation or protected zones of PSATs and community forests.</t>
  </si>
  <si>
    <t xml:space="preserve">Linked to FOR-08</t>
  </si>
  <si>
    <t xml:space="preserve">Alert source</t>
  </si>
  <si>
    <t xml:space="preserve">54</t>
  </si>
  <si>
    <t xml:space="preserve">FOR-10</t>
  </si>
  <si>
    <t xml:space="preserve">Area protected by firebreaks</t>
  </si>
  <si>
    <t xml:space="preserve">Superficie protégée par des pare-feux</t>
  </si>
  <si>
    <t xml:space="preserve">Area effectively protected by maintained firebreaks at the end of the dry season.</t>
  </si>
  <si>
    <t xml:space="preserve">Delivery mechanism</t>
  </si>
  <si>
    <t xml:space="preserve">SPATIAL; PES</t>
  </si>
  <si>
    <t xml:space="preserve">OUT.5</t>
  </si>
  <si>
    <t xml:space="preserve">70</t>
  </si>
  <si>
    <t xml:space="preserve">FOR-11</t>
  </si>
  <si>
    <t xml:space="preserve">Community forests with simple management plan</t>
  </si>
  <si>
    <t xml:space="preserve">CFCL dotées d’un plan simple de gestion</t>
  </si>
  <si>
    <t xml:space="preserve">Community forests (CFCL) with an approved simple management plan for forest operations.</t>
  </si>
  <si>
    <t xml:space="preserve">FOR.4c</t>
  </si>
  <si>
    <t xml:space="preserve">72</t>
  </si>
  <si>
    <t xml:space="preserve">FOR-12</t>
  </si>
  <si>
    <t xml:space="preserve">Electric fences installed</t>
  </si>
  <si>
    <t xml:space="preserve">Clôtures électriques installées</t>
  </si>
  <si>
    <t xml:space="preserve">Electric fences installed or rehabilitated to mitigate human–wildlife (elephant) conflict.</t>
  </si>
  <si>
    <t xml:space="preserve">76</t>
  </si>
  <si>
    <t xml:space="preserve">FOR-13</t>
  </si>
  <si>
    <t xml:space="preserve">Cropland protected by electric fences</t>
  </si>
  <si>
    <t xml:space="preserve">Superficie cultivée protégée par clôtures électriques</t>
  </si>
  <si>
    <t xml:space="preserve">Cultivated area protected by functional electric fences at the reporting date.</t>
  </si>
  <si>
    <t xml:space="preserve">Linked to FOR-12</t>
  </si>
  <si>
    <t xml:space="preserve">77</t>
  </si>
  <si>
    <t xml:space="preserve">FOR-14</t>
  </si>
  <si>
    <t xml:space="preserve">Area under forest monitoring and control</t>
  </si>
  <si>
    <t xml:space="preserve">Superficie sous surveillance forestière</t>
  </si>
  <si>
    <t xml:space="preserve">Area covered by operational forest monitoring and control systems supported by the project (patrols, community monitoring, alert systems).</t>
  </si>
  <si>
    <t xml:space="preserve">78</t>
  </si>
  <si>
    <t xml:space="preserve">FIN-01</t>
  </si>
  <si>
    <t xml:space="preserve">Co-financing mobilised</t>
  </si>
  <si>
    <t xml:space="preserve">Cofinancements mobilisés</t>
  </si>
  <si>
    <t xml:space="preserve">Financing from other sources (government, private, other donors, beneficiaries) committed or disbursed for the project’s activities, upstream or during implementation. Includes FIN-02.</t>
  </si>
  <si>
    <t xml:space="preserve">USD</t>
  </si>
  <si>
    <t xml:space="preserve">Finance (USD)</t>
  </si>
  <si>
    <t xml:space="preserve">Includes FIN-02</t>
  </si>
  <si>
    <t xml:space="preserve">Co-financing source; Timing</t>
  </si>
  <si>
    <t xml:space="preserve">CORE</t>
  </si>
  <si>
    <t xml:space="preserve">6</t>
  </si>
  <si>
    <t xml:space="preserve">FIN-02</t>
  </si>
  <si>
    <t xml:space="preserve">Private finance mobilised</t>
  </si>
  <si>
    <t xml:space="preserve">Financements privés mobilisés</t>
  </si>
  <si>
    <t xml:space="preserve">Private capital invested or committed alongside CAFI funding: direct (investment by the project’s private partners) or catalysed (third-party investment attributable to the project). Subset of FIN-01 – never add.</t>
  </si>
  <si>
    <t xml:space="preserve">Sum (subset of FIN-01 – do not add)</t>
  </si>
  <si>
    <t xml:space="preserve">Subset of FIN-01</t>
  </si>
  <si>
    <t xml:space="preserve">Private finance type; Sector / value chain</t>
  </si>
  <si>
    <t xml:space="preserve">7</t>
  </si>
  <si>
    <t xml:space="preserve">FIN-03</t>
  </si>
  <si>
    <t xml:space="preserve">Eligible PES applicants</t>
  </si>
  <si>
    <t xml:space="preserve">Candidats PSE éligibles</t>
  </si>
  <si>
    <t xml:space="preserve">Applicants meeting all PES participation requirements: identification, free prior and informed consent (FPIC), land rights and eligible area.</t>
  </si>
  <si>
    <t xml:space="preserve">Provider type; Gender; Vulnerable group</t>
  </si>
  <si>
    <t xml:space="preserve">PES; GENDER; IP</t>
  </si>
  <si>
    <t xml:space="preserve">PES platform</t>
  </si>
  <si>
    <t xml:space="preserve">24</t>
  </si>
  <si>
    <t xml:space="preserve">FIN-04</t>
  </si>
  <si>
    <t xml:space="preserve">PES payments to service providers</t>
  </si>
  <si>
    <t xml:space="preserve">Paiements PSE aux prestataires</t>
  </si>
  <si>
    <t xml:space="preserve">Results-based payments disbursed to environmental service providers after verification, by PES activity.</t>
  </si>
  <si>
    <t xml:space="preserve">PES activity; Provider type; Gender; Vulnerable group</t>
  </si>
  <si>
    <t xml:space="preserve">OUT.1</t>
  </si>
  <si>
    <t xml:space="preserve">27 (+87–94)</t>
  </si>
  <si>
    <t xml:space="preserve">FIN-05</t>
  </si>
  <si>
    <t xml:space="preserve">PES area verified as compliant</t>
  </si>
  <si>
    <t xml:space="preserve">Superficie PSE vérifiée conforme</t>
  </si>
  <si>
    <t xml:space="preserve">Area under PES contracts found compliant at the latest monitoring visit; also reported as a share of contracted area.</t>
  </si>
  <si>
    <t xml:space="preserve">Share of PES-contract area (FOR/AGR, DLV = PES)</t>
  </si>
  <si>
    <t xml:space="preserve">PES activity</t>
  </si>
  <si>
    <t xml:space="preserve">FIN-06</t>
  </si>
  <si>
    <t xml:space="preserve">Enterprises and producer organisations supported</t>
  </si>
  <si>
    <t xml:space="preserve">Entreprises et organisations de producteurs appuyées</t>
  </si>
  <si>
    <t xml:space="preserve">Enterprises and producer organisations receiving finance or technical assistance from the project.</t>
  </si>
  <si>
    <t xml:space="preserve">Enterprise type; Sector / value chain</t>
  </si>
  <si>
    <t xml:space="preserve">FIN-07</t>
  </si>
  <si>
    <t xml:space="preserve">Private finance leverage ratio</t>
  </si>
  <si>
    <t xml:space="preserve">Effet de levier du financement privé</t>
  </si>
  <si>
    <t xml:space="preserve">Private finance mobilised (FIN-02) per USD of CAFI funding transferred to the project (MPTF Gateway).</t>
  </si>
  <si>
    <t xml:space="preserve">Ratio</t>
  </si>
  <si>
    <t xml:space="preserve">Derived (not summed)</t>
  </si>
  <si>
    <t xml:space="preserve">FIN-02 ÷ CAFI transfers</t>
  </si>
  <si>
    <t xml:space="preserve">SECRETARIAT</t>
  </si>
  <si>
    <t xml:space="preserve">Secretariat (FIN-02 + MPTF)</t>
  </si>
  <si>
    <t xml:space="preserve">FIN-08</t>
  </si>
  <si>
    <t xml:space="preserve">Deforestation-free commodity volumes</t>
  </si>
  <si>
    <t xml:space="preserve">Volumes de produits zéro déforestation</t>
  </si>
  <si>
    <t xml:space="preserve">Volume of commodities sourced through supply chains with verified deforestation-free status (traceable to plot and checked against deforestation data).</t>
  </si>
  <si>
    <t xml:space="preserve">Tonnes</t>
  </si>
  <si>
    <t xml:space="preserve">Volume (t)</t>
  </si>
  <si>
    <t xml:space="preserve">Sum by commodity</t>
  </si>
  <si>
    <t xml:space="preserve">Commodity</t>
  </si>
  <si>
    <t xml:space="preserve">FIN-09</t>
  </si>
  <si>
    <t xml:space="preserve">Finance for forest-friendly extractives</t>
  </si>
  <si>
    <t xml:space="preserve">Financements pour des industries extractives respectueuses des forêts</t>
  </si>
  <si>
    <t xml:space="preserve">Finance mobilised (CAFI and other) for forest-friendly practices in the mining and hydrocarbon sectors.</t>
  </si>
  <si>
    <t xml:space="preserve">Co-financing source</t>
  </si>
  <si>
    <t xml:space="preserve">44</t>
  </si>
  <si>
    <t xml:space="preserve">FIN-10</t>
  </si>
  <si>
    <t xml:space="preserve">Smallholders in supported supply chains</t>
  </si>
  <si>
    <t xml:space="preserve">Petits producteurs intégrés aux chaînes d’approvisionnement</t>
  </si>
  <si>
    <t xml:space="preserve">Smallholders integrated into supported deforestation-free supply chains. Also counted in PPL-01 – do not add.</t>
  </si>
  <si>
    <t xml:space="preserve">Sum (also in PPL-01 – do not add)</t>
  </si>
  <si>
    <t xml:space="preserve">Subset of PPL-01</t>
  </si>
  <si>
    <t xml:space="preserve">Gender; Commodity</t>
  </si>
  <si>
    <t xml:space="preserve">GENDER</t>
  </si>
  <si>
    <t xml:space="preserve">LUT-01</t>
  </si>
  <si>
    <t xml:space="preserve">Land-use plans validated</t>
  </si>
  <si>
    <t xml:space="preserve">Plans d’aménagement validés</t>
  </si>
  <si>
    <t xml:space="preserve">Land-use and natural-resource-management plans formally validated, by administrative level (province, territory, sector/groupement, terroir/PSAT).</t>
  </si>
  <si>
    <t xml:space="preserve">Plan level</t>
  </si>
  <si>
    <t xml:space="preserve">AT.1</t>
  </si>
  <si>
    <t xml:space="preserve">9</t>
  </si>
  <si>
    <t xml:space="preserve">LUT-02</t>
  </si>
  <si>
    <t xml:space="preserve">Area under validated land-use plans</t>
  </si>
  <si>
    <t xml:space="preserve">Superficie sous plans d’aménagement validés</t>
  </si>
  <si>
    <t xml:space="preserve">Area covered by the plans counted in LUT-01. Overlaps with FOR and AGR areas – never add to them.</t>
  </si>
  <si>
    <t xml:space="preserve">Sum (do not add to FOR/AGR areas)</t>
  </si>
  <si>
    <t xml:space="preserve">Linked to LUT-01</t>
  </si>
  <si>
    <t xml:space="preserve">AT.2; AT.3</t>
  </si>
  <si>
    <t xml:space="preserve">10</t>
  </si>
  <si>
    <t xml:space="preserve">LUT-03</t>
  </si>
  <si>
    <t xml:space="preserve">Area with secured land tenure</t>
  </si>
  <si>
    <t xml:space="preserve">Superficie sécurisée au plan foncier</t>
  </si>
  <si>
    <t xml:space="preserve">Land area with legally recognised tenure rights secured with project support (individual or collective titles, community forest concessions/CFCL).</t>
  </si>
  <si>
    <t xml:space="preserve">Tenure type</t>
  </si>
  <si>
    <t xml:space="preserve">FON.3</t>
  </si>
  <si>
    <t xml:space="preserve">11</t>
  </si>
  <si>
    <t xml:space="preserve">LUT-04</t>
  </si>
  <si>
    <t xml:space="preserve">Land-use plan violations recorded</t>
  </si>
  <si>
    <t xml:space="preserve">Infractions aux plans d’aménagement</t>
  </si>
  <si>
    <t xml:space="preserve">Recorded violations of the major provisions of validated land-use plans. A rise may reflect better enforcement – read with LUT-05.</t>
  </si>
  <si>
    <t xml:space="preserve">AT.4</t>
  </si>
  <si>
    <t xml:space="preserve">57</t>
  </si>
  <si>
    <t xml:space="preserve">LUT-05</t>
  </si>
  <si>
    <t xml:space="preserve">Area affected by land-use plan violations</t>
  </si>
  <si>
    <t xml:space="preserve">Superficie affectée par des infractions</t>
  </si>
  <si>
    <t xml:space="preserve">Area affected by the violations counted in LUT-04.</t>
  </si>
  <si>
    <t xml:space="preserve">Linked to LUT-04</t>
  </si>
  <si>
    <t xml:space="preserve">AT.5</t>
  </si>
  <si>
    <t xml:space="preserve">58</t>
  </si>
  <si>
    <t xml:space="preserve">LUT-06</t>
  </si>
  <si>
    <t xml:space="preserve">Population covered by land-use plans</t>
  </si>
  <si>
    <t xml:space="preserve">Population couverte par des plans d’aménagement</t>
  </si>
  <si>
    <t xml:space="preserve">People living in administrative units with validated land-use plans.</t>
  </si>
  <si>
    <t xml:space="preserve">Gender; Vulnerable group</t>
  </si>
  <si>
    <t xml:space="preserve">Project report (census data)</t>
  </si>
  <si>
    <t xml:space="preserve">AT.8</t>
  </si>
  <si>
    <t xml:space="preserve">59</t>
  </si>
  <si>
    <t xml:space="preserve">LUT-07</t>
  </si>
  <si>
    <t xml:space="preserve">Land conflicts arbitrated and resolved</t>
  </si>
  <si>
    <t xml:space="preserve">Conflits fonciers arbitrés et résolus</t>
  </si>
  <si>
    <t xml:space="preserve">Land and natural-resource-use conflicts submitted to an arbitration procedure, and of which resolved (procedure closed with agreement).</t>
  </si>
  <si>
    <t xml:space="preserve">Conflict stage</t>
  </si>
  <si>
    <t xml:space="preserve">AT.9; OUT.7</t>
  </si>
  <si>
    <t xml:space="preserve">60 (+46)</t>
  </si>
  <si>
    <t xml:space="preserve">LUT-08</t>
  </si>
  <si>
    <t xml:space="preserve">Operational decentralised land registries</t>
  </si>
  <si>
    <t xml:space="preserve">Registres fonciers décentralisés opérationnels</t>
  </si>
  <si>
    <t xml:space="preserve">Decentralised land registries supported, by stage reached (piloted, established, functional).</t>
  </si>
  <si>
    <t xml:space="preserve">Registry stage</t>
  </si>
  <si>
    <t xml:space="preserve">FON.2</t>
  </si>
  <si>
    <t xml:space="preserve">62</t>
  </si>
  <si>
    <t xml:space="preserve">LUT-09</t>
  </si>
  <si>
    <t xml:space="preserve">Land arrangements registered</t>
  </si>
  <si>
    <t xml:space="preserve">Arrangements fonciers enregistrés</t>
  </si>
  <si>
    <t xml:space="preserve">Land arrangements registered with project support.</t>
  </si>
  <si>
    <t xml:space="preserve">Tenure type; Formality</t>
  </si>
  <si>
    <t xml:space="preserve">FON.4</t>
  </si>
  <si>
    <t xml:space="preserve">63</t>
  </si>
  <si>
    <t xml:space="preserve">LUT-10</t>
  </si>
  <si>
    <t xml:space="preserve">PSATs with NRM good-practice guides</t>
  </si>
  <si>
    <t xml:space="preserve">PSAT dotés de guides de bonnes pratiques GRN</t>
  </si>
  <si>
    <t xml:space="preserve">Share of PSATs (village land-use plans) with an adopted good-practice guide for natural-resource management.</t>
  </si>
  <si>
    <t xml:space="preserve">%</t>
  </si>
  <si>
    <t xml:space="preserve">Percent</t>
  </si>
  <si>
    <t xml:space="preserve">Not summed</t>
  </si>
  <si>
    <t xml:space="preserve">FOR.6; AT.6</t>
  </si>
  <si>
    <t xml:space="preserve">74</t>
  </si>
  <si>
    <t xml:space="preserve">AGR-01</t>
  </si>
  <si>
    <t xml:space="preserve">Area under improved food crop varieties</t>
  </si>
  <si>
    <t xml:space="preserve">Superficie vivrière en variétés améliorées</t>
  </si>
  <si>
    <t xml:space="preserve">Area cropped with improved food-crop varieties in the rural complex, per growing season, excluding seed multiplication fields (AGR-08).</t>
  </si>
  <si>
    <t xml:space="preserve">Crop / product; Intervention area</t>
  </si>
  <si>
    <t xml:space="preserve">CARBON; SPATIAL</t>
  </si>
  <si>
    <t xml:space="preserve">Annual (per season)</t>
  </si>
  <si>
    <t xml:space="preserve">AG.2</t>
  </si>
  <si>
    <t xml:space="preserve">15</t>
  </si>
  <si>
    <t xml:space="preserve">AGR-02</t>
  </si>
  <si>
    <t xml:space="preserve">Area under deforestation-free perennial crops</t>
  </si>
  <si>
    <t xml:space="preserve">Superficie de cultures pérennes zéro déforestation</t>
  </si>
  <si>
    <t xml:space="preserve">Perennial crops (cocoa, coffee, oil palm, etc.) established on savannah, rural complex or degraded forest without forest clearing. Includes PES deforestation-free agriculture contracts.</t>
  </si>
  <si>
    <t xml:space="preserve">Crop / product; Delivery mechanism; PES activity</t>
  </si>
  <si>
    <t xml:space="preserve">AG.3a</t>
  </si>
  <si>
    <t xml:space="preserve">16 (+26, 81)</t>
  </si>
  <si>
    <t xml:space="preserve">AGR-03</t>
  </si>
  <si>
    <t xml:space="preserve">Area under agroforestry</t>
  </si>
  <si>
    <t xml:space="preserve">Superficie en agroforesterie</t>
  </si>
  <si>
    <t xml:space="preserve">Area of agroforestry plantations (trees associated with crops) established and maintained. Includes PES agroforestry contracts.</t>
  </si>
  <si>
    <t xml:space="preserve">Delivery mechanism; PES activity</t>
  </si>
  <si>
    <t xml:space="preserve">AG.3b</t>
  </si>
  <si>
    <t xml:space="preserve">18 (+26, 80)</t>
  </si>
  <si>
    <t xml:space="preserve">AGR-04</t>
  </si>
  <si>
    <t xml:space="preserve">Production from supported plantations</t>
  </si>
  <si>
    <t xml:space="preserve">Production des plantations appuyées</t>
  </si>
  <si>
    <t xml:space="preserve">Quantity harvested from project-supported plantations, by product.</t>
  </si>
  <si>
    <t xml:space="preserve">Sum by product</t>
  </si>
  <si>
    <t xml:space="preserve">Crop / product</t>
  </si>
  <si>
    <t xml:space="preserve">OUT.11</t>
  </si>
  <si>
    <t xml:space="preserve">48</t>
  </si>
  <si>
    <t xml:space="preserve">AGR-05</t>
  </si>
  <si>
    <t xml:space="preserve">Sales revenue from supported plantations</t>
  </si>
  <si>
    <t xml:space="preserve">Revenus des ventes des plantations appuyées</t>
  </si>
  <si>
    <t xml:space="preserve">Total revenue from the sale of products from project-supported plantations, by product.</t>
  </si>
  <si>
    <t xml:space="preserve">OUT.13</t>
  </si>
  <si>
    <t xml:space="preserve">49</t>
  </si>
  <si>
    <t xml:space="preserve">AGR-06</t>
  </si>
  <si>
    <t xml:space="preserve">Share of production sold</t>
  </si>
  <si>
    <t xml:space="preserve">Part de la production commercialisée</t>
  </si>
  <si>
    <t xml:space="preserve">Share of production from supported plantations sold to market (not consumed by households).</t>
  </si>
  <si>
    <t xml:space="preserve">Linked to AGR-04</t>
  </si>
  <si>
    <t xml:space="preserve">SURVEY</t>
  </si>
  <si>
    <t xml:space="preserve">Project report / survey</t>
  </si>
  <si>
    <t xml:space="preserve">OUT.14</t>
  </si>
  <si>
    <t xml:space="preserve">50</t>
  </si>
  <si>
    <t xml:space="preserve">AGR-07</t>
  </si>
  <si>
    <t xml:space="preserve">Change in crop yields</t>
  </si>
  <si>
    <t xml:space="preserve">Évolution des rendements agricoles</t>
  </si>
  <si>
    <t xml:space="preserve">Percentage change in yields of key crops for beneficiary households compared with baseline, by crop.</t>
  </si>
  <si>
    <t xml:space="preserve">% change</t>
  </si>
  <si>
    <t xml:space="preserve">Survey</t>
  </si>
  <si>
    <t xml:space="preserve">Baseline / mid-term / final</t>
  </si>
  <si>
    <t xml:space="preserve">OUT.15; IMP.2 (Co-bénéfices)</t>
  </si>
  <si>
    <t xml:space="preserve">51 (+30)</t>
  </si>
  <si>
    <t xml:space="preserve">AGR-08</t>
  </si>
  <si>
    <t xml:space="preserve">Seed multiplication area</t>
  </si>
  <si>
    <t xml:space="preserve">Superficie de multiplication de semences</t>
  </si>
  <si>
    <t xml:space="preserve">Area of improved seed multiplication fields, per growing season.</t>
  </si>
  <si>
    <t xml:space="preserve">AG.1</t>
  </si>
  <si>
    <t xml:space="preserve">65</t>
  </si>
  <si>
    <t xml:space="preserve">ENR-01</t>
  </si>
  <si>
    <t xml:space="preserve">Clean cooking solutions distributed</t>
  </si>
  <si>
    <t xml:space="preserve">Solutions de cuisson propre distribuées</t>
  </si>
  <si>
    <t xml:space="preserve">Clean cooking solutions (LPG kits, improved cookstoves, electric) distributed or sold to households and institutions.</t>
  </si>
  <si>
    <t xml:space="preserve">Cooking solution type; Intervention area</t>
  </si>
  <si>
    <t xml:space="preserve">CARBON</t>
  </si>
  <si>
    <t xml:space="preserve">E.3b</t>
  </si>
  <si>
    <t xml:space="preserve">23</t>
  </si>
  <si>
    <t xml:space="preserve">ENR-02</t>
  </si>
  <si>
    <t xml:space="preserve">Clean cooking adoption rate</t>
  </si>
  <si>
    <t xml:space="preserve">Taux d’adoption de la cuisson propre</t>
  </si>
  <si>
    <t xml:space="preserve">Share of recipient households using the solution as their main cooking device at the follow-up survey (at least 6 months after distribution).</t>
  </si>
  <si>
    <t xml:space="preserve">Linked to ENR-01</t>
  </si>
  <si>
    <t xml:space="preserve">Cooking solution type</t>
  </si>
  <si>
    <t xml:space="preserve">SURVEY; CARBON</t>
  </si>
  <si>
    <t xml:space="preserve">39</t>
  </si>
  <si>
    <t xml:space="preserve">ENR-03</t>
  </si>
  <si>
    <t xml:space="preserve">Fuel savings from clean cooking</t>
  </si>
  <si>
    <t xml:space="preserve">Économie de combustible</t>
  </si>
  <si>
    <t xml:space="preserve">Average reduction in wood or charcoal consumption per household attributable to the solution, measured by kitchen performance test or survey.</t>
  </si>
  <si>
    <t xml:space="preserve">40</t>
  </si>
  <si>
    <t xml:space="preserve">ENR-04</t>
  </si>
  <si>
    <t xml:space="preserve">Sales value of clean cooking solutions</t>
  </si>
  <si>
    <t xml:space="preserve">Valeur des ventes de solutions de cuisson propre</t>
  </si>
  <si>
    <t xml:space="preserve">Value of clean cooking solutions sold during the year.</t>
  </si>
  <si>
    <t xml:space="preserve">41</t>
  </si>
  <si>
    <t xml:space="preserve">CLM-01</t>
  </si>
  <si>
    <t xml:space="preserve">Emission reductions and removals</t>
  </si>
  <si>
    <t xml:space="preserve">Réductions d’émissions et absorptions</t>
  </si>
  <si>
    <t xml:space="preserve">Estimated GHG emission reductions (avoided deforestation and degradation, reduced fuelwood use) and removals (regeneration, plantations, agroforestry) attributable to the project. Calculated by the Secretariat from the activity indicators tagged CARBON with the CAFI carbon factors; projects do not report tCO2e.</t>
  </si>
  <si>
    <t xml:space="preserve">Impact</t>
  </si>
  <si>
    <t xml:space="preserve">tCO2e</t>
  </si>
  <si>
    <t xml:space="preserve">Carbon (tCO2e)</t>
  </si>
  <si>
    <t xml:space="preserve">Calculated from CARBON-tagged indicators</t>
  </si>
  <si>
    <t xml:space="preserve">CORE; SECRETARIAT; PES</t>
  </si>
  <si>
    <t xml:space="preserve">Secretariat (carbon model)</t>
  </si>
  <si>
    <t xml:space="preserve">IMPACT couvert forestier</t>
  </si>
  <si>
    <t xml:space="preserve">1</t>
  </si>
  <si>
    <t xml:space="preserve">CLM-02</t>
  </si>
  <si>
    <t xml:space="preserve">Deforestation and degradation in project area</t>
  </si>
  <si>
    <t xml:space="preserve">Déforestation et dégradation dans la zone du projet</t>
  </si>
  <si>
    <t xml:space="preserve">Average annual area of deforestation and forest degradation (or tree-cover loss where degradation cannot be measured) in the project intervention area, compared with the pre-project baseline. Calculated by the Secretariat from remote sensing; dataset and alert confidence level stated.</t>
  </si>
  <si>
    <t xml:space="preserve">ha / year</t>
  </si>
  <si>
    <t xml:space="preserve">CORE; SECRETARIAT; SPATIAL; CARBON</t>
  </si>
  <si>
    <t xml:space="preserve">Secretariat (remote sensing)</t>
  </si>
  <si>
    <t xml:space="preserve">IMP.1 (Couvert forestier)</t>
  </si>
  <si>
    <t xml:space="preserve">2</t>
  </si>
  <si>
    <t xml:space="preserve">CLM-03</t>
  </si>
  <si>
    <t xml:space="preserve">MRV system functionality</t>
  </si>
  <si>
    <t xml:space="preserve">Fonctionnalité du système MNV</t>
  </si>
  <si>
    <t xml:space="preserve">Maturity score of the national forest monitoring / MRV system supported: 0 = not in place; 1 = designed; 2 = institutions and staff in place; 3 = producing data (activity data, FREL); 4 = producing official data used in national reporting (NDC, BTR, REDD+ results).</t>
  </si>
  <si>
    <t xml:space="preserve">INC-01</t>
  </si>
  <si>
    <t xml:space="preserve">Couple-years of protection</t>
  </si>
  <si>
    <t xml:space="preserve">Années-couple de protection</t>
  </si>
  <si>
    <t xml:space="preserve">Couple-years of protection (CYP) provided through family planning services, computed from contraceptives distributed with standard conversion factors.</t>
  </si>
  <si>
    <t xml:space="preserve">CYP</t>
  </si>
  <si>
    <t xml:space="preserve">45</t>
  </si>
  <si>
    <t xml:space="preserve">INC-02</t>
  </si>
  <si>
    <t xml:space="preserve">Awareness campaigns</t>
  </si>
  <si>
    <t xml:space="preserve">Campagnes de sensibilisation</t>
  </si>
  <si>
    <t xml:space="preserve">Awareness and communication campaigns conducted; the share using tools specifically targeting indigenous peoples and vulnerable groups is reported alongside.</t>
  </si>
  <si>
    <t xml:space="preserve">Sum (share not summed)</t>
  </si>
  <si>
    <t xml:space="preserve">Vulnerable group</t>
  </si>
  <si>
    <t xml:space="preserve">IP</t>
  </si>
  <si>
    <t xml:space="preserve">37</t>
  </si>
  <si>
    <t xml:space="preserve">INC-03</t>
  </si>
  <si>
    <t xml:space="preserve">New users of modern contraception</t>
  </si>
  <si>
    <t xml:space="preserve">Nouvelles utilisatrices de contraception moderne</t>
  </si>
  <si>
    <t xml:space="preserve">New users of modern contraceptive methods reached through supported services.</t>
  </si>
  <si>
    <t xml:space="preserve">PPL-01</t>
  </si>
  <si>
    <t xml:space="preserve">Direct beneficiaries</t>
  </si>
  <si>
    <t xml:space="preserve">Bénéficiaires directs</t>
  </si>
  <si>
    <t xml:space="preserve">Unique individuals who directly receive project goods, services, payments or training, including environmental service providers with a signed PES contract and beneficiaries of land tenure security. Each person is counted once, whatever the number of interventions received.</t>
  </si>
  <si>
    <t xml:space="preserve">Sum (unique persons)</t>
  </si>
  <si>
    <t xml:space="preserve">Gender; Vulnerable group; Intervention type; Provider type; Intervention area</t>
  </si>
  <si>
    <t xml:space="preserve">CORE; GENDER; IP; PES</t>
  </si>
  <si>
    <t xml:space="preserve">OUT.4; FON.5; E.3</t>
  </si>
  <si>
    <t xml:space="preserve">3 (+25, 64, 66, 67)</t>
  </si>
  <si>
    <t xml:space="preserve">Kept – absorbs 4 draft indicators</t>
  </si>
  <si>
    <t xml:space="preserve">PPL-02</t>
  </si>
  <si>
    <t xml:space="preserve">Direct jobs created</t>
  </si>
  <si>
    <t xml:space="preserve">Emplois directs créés</t>
  </si>
  <si>
    <t xml:space="preserve">Full-time-equivalent jobs created by the project or by the enterprises it supports along the value chain. The methodological note sets the FTE definition and minimum duration.</t>
  </si>
  <si>
    <t xml:space="preserve">FTE jobs</t>
  </si>
  <si>
    <t xml:space="preserve">Gender; Sector / value chain</t>
  </si>
  <si>
    <t xml:space="preserve">CORE; GENDER</t>
  </si>
  <si>
    <t xml:space="preserve">4</t>
  </si>
  <si>
    <t xml:space="preserve">PPL-03</t>
  </si>
  <si>
    <t xml:space="preserve">Rural infrastructure built or rehabilitated</t>
  </si>
  <si>
    <t xml:space="preserve">Infrastructures rurales construites ou réhabilitées</t>
  </si>
  <si>
    <t xml:space="preserve">Infrastructure works (buildings, bridges, water points, other) built or rehabilitated, funded from the project budget or through collective PES payments.</t>
  </si>
  <si>
    <t xml:space="preserve">Sum by type</t>
  </si>
  <si>
    <t xml:space="preserve">Infrastructure type; Funding source; Intervention area</t>
  </si>
  <si>
    <t xml:space="preserve">AT.7a; OUT.3</t>
  </si>
  <si>
    <t xml:space="preserve">13</t>
  </si>
  <si>
    <t xml:space="preserve">PPL-04</t>
  </si>
  <si>
    <t xml:space="preserve">Rural roads built or rehabilitated</t>
  </si>
  <si>
    <t xml:space="preserve">Routes rurales construites ou réhabilitées</t>
  </si>
  <si>
    <t xml:space="preserve">Length of rural roads and tracks built, rehabilitated or maintained with project support. A section maintained in several years is counted once in the cumulative total.</t>
  </si>
  <si>
    <t xml:space="preserve">km</t>
  </si>
  <si>
    <t xml:space="preserve">Length (km)</t>
  </si>
  <si>
    <t xml:space="preserve">AT.7b</t>
  </si>
  <si>
    <t xml:space="preserve">14</t>
  </si>
  <si>
    <t xml:space="preserve">PPL-05</t>
  </si>
  <si>
    <t xml:space="preserve">Change in beneficiaries’ income</t>
  </si>
  <si>
    <t xml:space="preserve">Évolution des revenus des bénéficiaires</t>
  </si>
  <si>
    <t xml:space="preserve">Percentage change in the average monetary income of direct beneficiary households compared with baseline, measured by sample survey (baseline, mid-term, final). Sample size and method stated.</t>
  </si>
  <si>
    <t xml:space="preserve">Not summed (average and range)</t>
  </si>
  <si>
    <t xml:space="preserve">SURVEY; GENDER</t>
  </si>
  <si>
    <t xml:space="preserve">IMP.1 (Co-bénéfices)</t>
  </si>
  <si>
    <t xml:space="preserve">29</t>
  </si>
  <si>
    <t xml:space="preserve">PPL-06</t>
  </si>
  <si>
    <t xml:space="preserve">Indirect beneficiaries</t>
  </si>
  <si>
    <t xml:space="preserve">Bénéficiaires indirects</t>
  </si>
  <si>
    <t xml:space="preserve">People benefiting indirectly: household members of direct beneficiaries, residents of communities covered by supported plans, community forests or infrastructure. Estimation method stated.</t>
  </si>
  <si>
    <t xml:space="preserve">Not summed (estimation methods differ)</t>
  </si>
  <si>
    <t xml:space="preserve">Beneficiary group; Intervention area</t>
  </si>
  <si>
    <t xml:space="preserve">FOR.2; FOR.7</t>
  </si>
  <si>
    <t xml:space="preserve">28 (+67, 75)</t>
  </si>
  <si>
    <t xml:space="preserve">Indicator ↔ disaggregation (bridge table)</t>
  </si>
  <si>
    <t xml:space="preserve">DimensionCode</t>
  </si>
  <si>
    <t xml:space="preserve">Dimension</t>
  </si>
  <si>
    <t xml:space="preserve">Order</t>
  </si>
  <si>
    <t xml:space="preserve">GEN</t>
  </si>
  <si>
    <t xml:space="preserve">Gender</t>
  </si>
  <si>
    <t xml:space="preserve">VUL</t>
  </si>
  <si>
    <t xml:space="preserve">TRN</t>
  </si>
  <si>
    <t xml:space="preserve">Training type</t>
  </si>
  <si>
    <t xml:space="preserve">INST</t>
  </si>
  <si>
    <t xml:space="preserve">MTY</t>
  </si>
  <si>
    <t xml:space="preserve">Measure type</t>
  </si>
  <si>
    <t xml:space="preserve">MST</t>
  </si>
  <si>
    <t xml:space="preserve">Measure status</t>
  </si>
  <si>
    <t xml:space="preserve">LGS</t>
  </si>
  <si>
    <t xml:space="preserve">Local structure type</t>
  </si>
  <si>
    <t xml:space="preserve">GEO</t>
  </si>
  <si>
    <t xml:space="preserve">TSV</t>
  </si>
  <si>
    <t xml:space="preserve">SUP</t>
  </si>
  <si>
    <t xml:space="preserve">Support type</t>
  </si>
  <si>
    <t xml:space="preserve">ROLE</t>
  </si>
  <si>
    <t xml:space="preserve">Participant role</t>
  </si>
  <si>
    <t xml:space="preserve">RGT</t>
  </si>
  <si>
    <t xml:space="preserve">Regeneration type</t>
  </si>
  <si>
    <t xml:space="preserve">DLV</t>
  </si>
  <si>
    <t xml:space="preserve">PESA</t>
  </si>
  <si>
    <t xml:space="preserve">END</t>
  </si>
  <si>
    <t xml:space="preserve">Plantation end use</t>
  </si>
  <si>
    <t xml:space="preserve">SFMT</t>
  </si>
  <si>
    <t xml:space="preserve">CNS</t>
  </si>
  <si>
    <t xml:space="preserve">Conservation status</t>
  </si>
  <si>
    <t xml:space="preserve">CERT</t>
  </si>
  <si>
    <t xml:space="preserve">Certification scheme</t>
  </si>
  <si>
    <t xml:space="preserve">ALS</t>
  </si>
  <si>
    <t xml:space="preserve">Alert stage</t>
  </si>
  <si>
    <t xml:space="preserve">ALSRC</t>
  </si>
  <si>
    <t xml:space="preserve">CFS</t>
  </si>
  <si>
    <t xml:space="preserve">TIM</t>
  </si>
  <si>
    <t xml:space="preserve">Timing</t>
  </si>
  <si>
    <t xml:space="preserve">PFT</t>
  </si>
  <si>
    <t xml:space="preserve">Private finance type</t>
  </si>
  <si>
    <t xml:space="preserve">SEC</t>
  </si>
  <si>
    <t xml:space="preserve">Sector / value chain</t>
  </si>
  <si>
    <t xml:space="preserve">PROV</t>
  </si>
  <si>
    <t xml:space="preserve">Provider type</t>
  </si>
  <si>
    <t xml:space="preserve">ENT</t>
  </si>
  <si>
    <t xml:space="preserve">Enterprise type</t>
  </si>
  <si>
    <t xml:space="preserve">COM</t>
  </si>
  <si>
    <t xml:space="preserve">PLV</t>
  </si>
  <si>
    <t xml:space="preserve">TEN</t>
  </si>
  <si>
    <t xml:space="preserve">CST</t>
  </si>
  <si>
    <t xml:space="preserve">RGS</t>
  </si>
  <si>
    <t xml:space="preserve">FRM</t>
  </si>
  <si>
    <t xml:space="preserve">Formality</t>
  </si>
  <si>
    <t xml:space="preserve">CRP</t>
  </si>
  <si>
    <t xml:space="preserve">CCS</t>
  </si>
  <si>
    <t xml:space="preserve">INT</t>
  </si>
  <si>
    <t xml:space="preserve">Intervention type</t>
  </si>
  <si>
    <t xml:space="preserve">INF</t>
  </si>
  <si>
    <t xml:space="preserve">Infrastructure type</t>
  </si>
  <si>
    <t xml:space="preserve">FND</t>
  </si>
  <si>
    <t xml:space="preserve">Funding source</t>
  </si>
  <si>
    <t xml:space="preserve">BEN</t>
  </si>
  <si>
    <t xml:space="preserve">Beneficiary group</t>
  </si>
  <si>
    <t xml:space="preserve">Disaggregation dimensions and standard values</t>
  </si>
  <si>
    <t xml:space="preserve">Values are separated by ";". Projects may add sub-values but must be able to roll up to these.</t>
  </si>
  <si>
    <t xml:space="preserve">DimensionFR</t>
  </si>
  <si>
    <t xml:space="preserve">Values</t>
  </si>
  <si>
    <t xml:space="preserve">UsedByIndicators</t>
  </si>
  <si>
    <t xml:space="preserve">Genre</t>
  </si>
  <si>
    <t xml:space="preserve">Female; Male</t>
  </si>
  <si>
    <t xml:space="preserve">Groupe vulnérable</t>
  </si>
  <si>
    <t xml:space="preserve">Indigenous peoples; Other minorities; Migrants; Youth; Not vulnerable</t>
  </si>
  <si>
    <t xml:space="preserve">Zone d’intervention</t>
  </si>
  <si>
    <t xml:space="preserve">Province; Territory / district (project-defined)</t>
  </si>
  <si>
    <t xml:space="preserve">Type d’intervention</t>
  </si>
  <si>
    <t xml:space="preserve">Agriculture; Agroforestry; Forestry; Conservation; Restoration; Tenure security; Energy; PES contract; Other</t>
  </si>
  <si>
    <t xml:space="preserve">Mécanisme de mise en œuvre</t>
  </si>
  <si>
    <t xml:space="preserve">PES contract; Other project support</t>
  </si>
  <si>
    <t xml:space="preserve">Activité PSE</t>
  </si>
  <si>
    <t xml:space="preserve">Afforestation/reforestation; Agroforestry; Deforestation-free agriculture; Natural regeneration – unassisted; Natural regeneration – assisted; SFM (EFIR-C) – not certified; SFM (EFIR-C) – certified; Conservation</t>
  </si>
  <si>
    <t xml:space="preserve">Type de prestataire</t>
  </si>
  <si>
    <t xml:space="preserve">Individual; Community / collective</t>
  </si>
  <si>
    <t xml:space="preserve">Type de formation</t>
  </si>
  <si>
    <t xml:space="preserve">Sustainable agriculture; Sustainable forestry; Improved carbonisation; Land-use planning &amp; tenure; MRV &amp; GIS; Governance &amp; management; Other</t>
  </si>
  <si>
    <t xml:space="preserve">Type d’institution</t>
  </si>
  <si>
    <t xml:space="preserve">Government; Civil society / NGO; Private sector; Community</t>
  </si>
  <si>
    <t xml:space="preserve">Type de mesure</t>
  </si>
  <si>
    <t xml:space="preserve">Policy / strategy; Law; Regulation / decree; Provincial edict</t>
  </si>
  <si>
    <t xml:space="preserve">Statut de la mesure</t>
  </si>
  <si>
    <t xml:space="preserve">Drafted; Adopted; Implemented</t>
  </si>
  <si>
    <t xml:space="preserve">Type de structure locale</t>
  </si>
  <si>
    <t xml:space="preserve">CLD; CLG; CARG; CPAT; CCPF; CCPA; Other</t>
  </si>
  <si>
    <t xml:space="preserve">Rôle du participant</t>
  </si>
  <si>
    <t xml:space="preserve">Steering member; General assembly member</t>
  </si>
  <si>
    <t xml:space="preserve">Échelon du plan</t>
  </si>
  <si>
    <t xml:space="preserve">Province; Territory; Sector / groupement; Terroir (PSAT)</t>
  </si>
  <si>
    <t xml:space="preserve">Type de tenure</t>
  </si>
  <si>
    <t xml:space="preserve">Individual; Collective; Community forest (CFCL)</t>
  </si>
  <si>
    <t xml:space="preserve">Formalité</t>
  </si>
  <si>
    <t xml:space="preserve">Formal; Informal</t>
  </si>
  <si>
    <t xml:space="preserve">Étape du registre</t>
  </si>
  <si>
    <t xml:space="preserve">Piloted; Established; Functional</t>
  </si>
  <si>
    <t xml:space="preserve">Étape du conflit</t>
  </si>
  <si>
    <t xml:space="preserve">Submitted to arbitration; Resolved</t>
  </si>
  <si>
    <t xml:space="preserve">Type d’infrastructure</t>
  </si>
  <si>
    <t xml:space="preserve">Buildings; Bridges; Water points; Other</t>
  </si>
  <si>
    <t xml:space="preserve">Source de financement</t>
  </si>
  <si>
    <t xml:space="preserve">Project budget; Collective PES</t>
  </si>
  <si>
    <t xml:space="preserve">Usage de la plantation</t>
  </si>
  <si>
    <t xml:space="preserve">Wood energy; Timber; Mixed</t>
  </si>
  <si>
    <t xml:space="preserve">Type de régénération</t>
  </si>
  <si>
    <t xml:space="preserve">Assisted; Unassisted</t>
  </si>
  <si>
    <t xml:space="preserve">Type de gestion forestière</t>
  </si>
  <si>
    <t xml:space="preserve">Industrial concession; Community forest (CFCL); Artisanal; PSAT</t>
  </si>
  <si>
    <t xml:space="preserve">Statut de conservation</t>
  </si>
  <si>
    <t xml:space="preserve">Protected area; Community forest (CFCL) conservation zone; PSAT conservation zone</t>
  </si>
  <si>
    <t xml:space="preserve">Schéma de certification</t>
  </si>
  <si>
    <t xml:space="preserve">FSC; PAFC; Legality certificate; Other</t>
  </si>
  <si>
    <t xml:space="preserve">Étape de l’alerte</t>
  </si>
  <si>
    <t xml:space="preserve">Received; Verified; Acted upon</t>
  </si>
  <si>
    <t xml:space="preserve">Source des alertes</t>
  </si>
  <si>
    <t xml:space="preserve">RADD; GLAD; National system; Other</t>
  </si>
  <si>
    <t xml:space="preserve">Culture / produit</t>
  </si>
  <si>
    <t xml:space="preserve">Cassava; Maize; Rice; Coffee; Cocoa; Palm oil; Other</t>
  </si>
  <si>
    <t xml:space="preserve">Produit de base</t>
  </si>
  <si>
    <t xml:space="preserve">Cocoa; Coffee; Palm oil; Rubber; Timber; Other</t>
  </si>
  <si>
    <t xml:space="preserve">Type de solution de cuisson</t>
  </si>
  <si>
    <t xml:space="preserve">LPG; Improved cookstove; Electric; Other</t>
  </si>
  <si>
    <t xml:space="preserve">Source du cofinancement</t>
  </si>
  <si>
    <t xml:space="preserve">Government; Private; Other donor; Beneficiary contribution</t>
  </si>
  <si>
    <t xml:space="preserve">Calendrier</t>
  </si>
  <si>
    <t xml:space="preserve">Upstream (before start); During implementation</t>
  </si>
  <si>
    <t xml:space="preserve">Type de financement privé</t>
  </si>
  <si>
    <t xml:space="preserve">Direct; Catalysed</t>
  </si>
  <si>
    <t xml:space="preserve">Type d’entreprise</t>
  </si>
  <si>
    <t xml:space="preserve">Micro; Small; Medium; Large; Producer organisation</t>
  </si>
  <si>
    <t xml:space="preserve">Secteur / filière</t>
  </si>
  <si>
    <t xml:space="preserve">Agriculture; Forestry; Energy; Ecotourism; Other</t>
  </si>
  <si>
    <t xml:space="preserve">Type de service technique</t>
  </si>
  <si>
    <t xml:space="preserve">Land administration / registry; Land-use planning; Agriculture; Environment; Rural development; CSO</t>
  </si>
  <si>
    <t xml:space="preserve">Type d’appui</t>
  </si>
  <si>
    <t xml:space="preserve">Extension; Inspection; NRM assessment</t>
  </si>
  <si>
    <t xml:space="preserve">Groupe de bénéficiaires</t>
  </si>
  <si>
    <t xml:space="preserve">Community forest (CFCL); PSAT; Other</t>
  </si>
  <si>
    <t xml:space="preserve">Tags (Power BI slicers)</t>
  </si>
  <si>
    <t xml:space="preserve">TagCode</t>
  </si>
  <si>
    <t xml:space="preserve">Tag</t>
  </si>
  <si>
    <t xml:space="preserve">PES</t>
  </si>
  <si>
    <t xml:space="preserve">PES view</t>
  </si>
  <si>
    <t xml:space="preserve">Indicator (or its PES-contract disaggregation) feeds the PES dashboard. Filter Delivery mechanism = PES contract where relevant.</t>
  </si>
  <si>
    <t xml:space="preserve">Carbon input</t>
  </si>
  <si>
    <t xml:space="preserve">Activity data used by the Secretariat to calculate CLM-01 with the CAFI carbon factors (09_CarbonFactors).</t>
  </si>
  <si>
    <t xml:space="preserve">Gender-disaggregated</t>
  </si>
  <si>
    <t xml:space="preserve">Must be reported by gender.</t>
  </si>
  <si>
    <t xml:space="preserve">Indigenous peoples / vulnerable groups</t>
  </si>
  <si>
    <t xml:space="preserve">Must be reported by vulnerable group, incl. indigenous peoples.</t>
  </si>
  <si>
    <t xml:space="preserve">Spatial</t>
  </si>
  <si>
    <t xml:space="preserve">Area-based: polygons or georeferenced boundaries expected, allowing remote-sensing verification.</t>
  </si>
  <si>
    <t xml:space="preserve">Calculated by Secretariat</t>
  </si>
  <si>
    <t xml:space="preserve">Not reported by projects; computed centrally.</t>
  </si>
  <si>
    <t xml:space="preserve">Survey-based</t>
  </si>
  <si>
    <t xml:space="preserve">Requires a baseline and follow-up survey; not summed across projects.</t>
  </si>
  <si>
    <t xml:space="preserve">Universal core</t>
  </si>
  <si>
    <t xml:space="preserve">Tier 1 – reported by every project.</t>
  </si>
  <si>
    <t xml:space="preserve">Indicator ↔ tag (bridge table)</t>
  </si>
  <si>
    <t xml:space="preserve">Unit groups – existing Metrics Hub groups + proposed additions</t>
  </si>
  <si>
    <t xml:space="preserve">UnitGroupSort</t>
  </si>
  <si>
    <t xml:space="preserve">Existing</t>
  </si>
  <si>
    <t xml:space="preserve">Existing – also used for 0–4 maturity scores</t>
  </si>
  <si>
    <t xml:space="preserve">NEW – rural roads</t>
  </si>
  <si>
    <t xml:space="preserve">NEW – production and commodity volumes</t>
  </si>
  <si>
    <t xml:space="preserve">NEW – leverage ratio</t>
  </si>
  <si>
    <t xml:space="preserve">Metrics Hub standard framework (08_Framework) → new indicator codes</t>
  </si>
  <si>
    <t xml:space="preserve">Level</t>
  </si>
  <si>
    <t xml:space="preserve">Theme</t>
  </si>
  <si>
    <t xml:space="preserve">FrameworkCode</t>
  </si>
  <si>
    <t xml:space="preserve">FrameworkIndicator</t>
  </si>
  <si>
    <t xml:space="preserve">NewIndicatorCode</t>
  </si>
  <si>
    <t xml:space="preserve">Match</t>
  </si>
  <si>
    <t xml:space="preserve">Note</t>
  </si>
  <si>
    <t xml:space="preserve">1. Gouvernance</t>
  </si>
  <si>
    <t xml:space="preserve">Gouvernance locale des ressources naturelles · Nb de structures de gouvernance décisionnaires créées ou renforcées, et fonctionnelles, ventilé par type (CLD, CLG (pour les CFCL), CARG, CPAT, CCPF, CCPA, etc)</t>
  </si>
  <si>
    <t xml:space="preserve">Direct</t>
  </si>
  <si>
    <t xml:space="preserve">Gouvernance locale des ressources naturelles · Nb de personnes participant activement à ces structures de gouvernance décisionnaires, ventilé par type (CLD, CARG, CCPF, CCPA, etc), par genre et par groupe vulnérable (PA)</t>
  </si>
  <si>
    <t xml:space="preserve">G.3</t>
  </si>
  <si>
    <t xml:space="preserve">Gouvernance locale · Nombre de services techniques partenaires formels du projet, en distinguant le pourcentage de ces services techniques avec qui sont passés des contrats de performance</t>
  </si>
  <si>
    <t xml:space="preserve">Partial</t>
  </si>
  <si>
    <t xml:space="preserve">Partner technical services; the share with performance contracts is not retained</t>
  </si>
  <si>
    <t xml:space="preserve">G.4</t>
  </si>
  <si>
    <t xml:space="preserve">Gouvernance locale des ressources naturelles · Nombre de services techniques équipés et opérationnels, ventilé par type : · a) Brigades Foncières équipées et formées, cadastre en place, suivi des registres, etc · b) Services AT provinciaux et de territoire équipés et formés (SIG, etc) · c) Services Agriculture provinciaux, de Territoire et de Secteur équipés et formés · d) Services de l’Environnem</t>
  </si>
  <si>
    <t xml:space="preserve">G.5</t>
  </si>
  <si>
    <t xml:space="preserve">Gouvernance du projet · Nombre de visites de suivi réalisées par les agents du projet qui font l’objet de rapports formels transmis, ventilé par type (Agence, ALE, services techniques par type)</t>
  </si>
  <si>
    <t xml:space="preserve">Removed</t>
  </si>
  <si>
    <t xml:space="preserve">Project-management indicator (follow-up visits) – project level only</t>
  </si>
  <si>
    <t xml:space="preserve">G.6</t>
  </si>
  <si>
    <t xml:space="preserve">Gouvernance du projet · Nombre de réunions du COPIL de projet organisés et préparés de manière adéquate</t>
  </si>
  <si>
    <t xml:space="preserve">Project-management indicator (steering committees)</t>
  </si>
  <si>
    <t xml:space="preserve">G.7</t>
  </si>
  <si>
    <t xml:space="preserve">Gouvernance du projet · Nombre de réunions du Comité de gestion de projet (FONAREDD, CAFI, organisation de mise en œuvre) organisés et préparés de manière adéquate</t>
  </si>
  <si>
    <t xml:space="preserve">Project-management indicator (management committees)</t>
  </si>
  <si>
    <t xml:space="preserve">2. Aménagement du Territoire (AT)</t>
  </si>
  <si>
    <t xml:space="preserve">Nombre de plans d’AT et de Gestion des Ressources Naturelles (a) élaborés et (b) validés ou non, ventilé par type d’échelon administratif (province, groupement/secteurs administratifs, territoires, terroirs)</t>
  </si>
  <si>
    <t xml:space="preserve">AT.2</t>
  </si>
  <si>
    <t xml:space="preserve">Superficies (ha) sous plans d’Aménagement du Territoire : i) élaborés ii) soumis iii) validés, ventilé par type d’échelon administratif : province, groupement/secteurs administratifs, territoires, terroirs)</t>
  </si>
  <si>
    <t xml:space="preserve">Elaborated/submitted stages not retained – validated only</t>
  </si>
  <si>
    <t xml:space="preserve">AT.3</t>
  </si>
  <si>
    <t xml:space="preserve">Superficies a) par catégorie d’occupation des sols (ha) sous les plans d’AT et b) par affectation des terres (ha) prévues par les Plan d’AT</t>
  </si>
  <si>
    <t xml:space="preserve">Land-use classes become a project-level breakdown</t>
  </si>
  <si>
    <t xml:space="preserve">Nombre d’infractions aux dispositions majeures des plans d’AT</t>
  </si>
  <si>
    <t xml:space="preserve">Superficies impactées par ces infractions aux dispositions majeures des plans d’AT</t>
  </si>
  <si>
    <t xml:space="preserve">AT.6</t>
  </si>
  <si>
    <t xml:space="preserve">Degré de respect des règles de gestion des Ressources naturelles établies par les PGRN</t>
  </si>
  <si>
    <t xml:space="preserve">Compliance degree not retained as a standard score</t>
  </si>
  <si>
    <t xml:space="preserve">AT.7</t>
  </si>
  <si>
    <t xml:space="preserve">a) Nb d’infrastructures construites, réhabilitées, entretenues (sur budget projet / PSE collectifs) · b) Longueur de routes rurales construites, réhabilitées et entretenues (effectif et cumulé)</t>
  </si>
  <si>
    <t xml:space="preserve">PPL-03; PPL-04</t>
  </si>
  <si>
    <t xml:space="preserve">a) infrastructure → PPL-03; b) rural roads → PPL-04</t>
  </si>
  <si>
    <t xml:space="preserve">Nombre de personnes habitant dans les entités administratives sous plan d’AT, ventilé par genre et par groupe vulnérable (PA)</t>
  </si>
  <si>
    <t xml:space="preserve">AT.9</t>
  </si>
  <si>
    <t xml:space="preserve">Nb de procédures d’arbitrage pour résoudre les conflits d’usage des terres (a) engagées, et (b) ayant mis un terme au conflit</t>
  </si>
  <si>
    <t xml:space="preserve">3. Foncier</t>
  </si>
  <si>
    <t xml:space="preserve">Nombre d’édits fonciers provinciaux élaborés / promulgués de manière participative</t>
  </si>
  <si>
    <t xml:space="preserve">Measure type = provincial edict</t>
  </si>
  <si>
    <t xml:space="preserve">Nombre de registres fonciers décentralisés pilotés / établis / fonctionnels</t>
  </si>
  <si>
    <t xml:space="preserve">Superficies de terres sécurisées au niveau foncier, ventilées par type de sécurisation foncière (individuelle ou collective)</t>
  </si>
  <si>
    <t xml:space="preserve">Nombre d’arrangements fonciers enregistrés, ventilé par type (individuel/collectif, formel/informel)</t>
  </si>
  <si>
    <t xml:space="preserve">FON.5</t>
  </si>
  <si>
    <t xml:space="preserve">Nombres de bénéficiaires directs et indirects de la sécurisation foncière, ventilée par type de sécurisation (individuelle ou collective), par genre et par groupe vulnérable</t>
  </si>
  <si>
    <t xml:space="preserve">PPL-01; PPL-06</t>
  </si>
  <si>
    <t xml:space="preserve">Intervention type = tenure security</t>
  </si>
  <si>
    <t xml:space="preserve">4. Agriculture</t>
  </si>
  <si>
    <t xml:space="preserve">Superficies de champs de multiplication de semences améliorées établis (par saison de culture et en cumulé) · Superficie consacrée á la production de semences et de plants ?</t>
  </si>
  <si>
    <t xml:space="preserve">Superficies vivrières établies sous variétés améliorées dans le complexe rural (hors agri-multiplication)</t>
  </si>
  <si>
    <t xml:space="preserve">AG.3</t>
  </si>
  <si>
    <t xml:space="preserve">Superficies d’agriculture durable réalisées, totales et ventilées par : · a) Cultures pérennes sans déforestation (savane ou complexe rural et forêts dégradées) · b) Plantations agroforestières</t>
  </si>
  <si>
    <t xml:space="preserve">AGR-02; AGR-03</t>
  </si>
  <si>
    <t xml:space="preserve">a) perennial crops → AGR-02; b) agroforestry → AGR-03</t>
  </si>
  <si>
    <t xml:space="preserve">5. Energie</t>
  </si>
  <si>
    <t xml:space="preserve">E.1</t>
  </si>
  <si>
    <t xml:space="preserve">Superficie de régénération forestière en savane par mise en défens (naturelle et assistée)</t>
  </si>
  <si>
    <t xml:space="preserve">Moved from Energy to Forests</t>
  </si>
  <si>
    <t xml:space="preserve">E.2</t>
  </si>
  <si>
    <t xml:space="preserve">Superficie de plantations à vocation totale ou partielle bois-énergie / bois d’œuvre</t>
  </si>
  <si>
    <t xml:space="preserve">Moved from Energy to Forests; end use as breakdown</t>
  </si>
  <si>
    <t xml:space="preserve">E.3</t>
  </si>
  <si>
    <t xml:space="preserve">Nombre de bénéficiaires directs / indirects, ventilé par genre et type (minorité)) dont : · a) Paysans, charbonniers et entrepreneurs de charbonnage formés aux techniques de carbonisation améliorées · b) Nombres de solutions de cuissons propres achetées/distribuées (si inclus dans projet)</t>
  </si>
  <si>
    <t xml:space="preserve">PPL-01; GOV-01; ENR-01</t>
  </si>
  <si>
    <t xml:space="preserve">Beneficiaries → PPL-01; carbonisation training → GOV-01; cooking solutions → ENR-01</t>
  </si>
  <si>
    <t xml:space="preserve">6. Gestion forestière &amp; conservation</t>
  </si>
  <si>
    <t xml:space="preserve">Superficies à vocation de gestion forestière durable, ventilé par statut (catégorie GDF du )</t>
  </si>
  <si>
    <t xml:space="preserve">FOR.2</t>
  </si>
  <si>
    <t xml:space="preserve">Nombre de personnes habitant dans les zones de foresterie communautaire formalisées (en RDC : sous CFCL)</t>
  </si>
  <si>
    <t xml:space="preserve">Beneficiary group = CFCL</t>
  </si>
  <si>
    <t xml:space="preserve">Exploitation forestière durable : · Superficie sous CFCL et PSAT sous exploitation forestière effective engagée dans une démarche de durabilité · Superficie sous exploitation forestière artisanale durable (y compris dans CFCL) · Nb de CFCL, (CLD et ETD?) disposant d’un Plan Simple de Gestion (PSG) de l’exploitation forestière · Superficie sous contrat de PSE de gestion forestière durable · Nombre </t>
  </si>
  <si>
    <t xml:space="preserve">FOR-03; FOR-11; GOV-01</t>
  </si>
  <si>
    <t xml:space="preserve">Effective SFM → FOR-03; CFCL with PSG → FOR-11; people trained → GOV-01; PES SFM contracts → FOR-03 (DLV = PES)</t>
  </si>
  <si>
    <t xml:space="preserve">FOR.5</t>
  </si>
  <si>
    <t xml:space="preserve">Superficies forestières (ha) placées sous conservation, totale et · a) A l’intérieur d’une CFCL · b) Au sein d’un PSAT (terroirs villageois)</t>
  </si>
  <si>
    <t xml:space="preserve">FOR.6</t>
  </si>
  <si>
    <t xml:space="preserve">Conservation · % de PSAT auxquels sont associés des guides de bonnes pratiques de Gestion Naturelle des ressources · b) Degré d’application de ces pratiques</t>
  </si>
  <si>
    <t xml:space="preserve">Degree of application not retained</t>
  </si>
  <si>
    <t xml:space="preserve">FOR.7</t>
  </si>
  <si>
    <t xml:space="preserve">Nombre total de bénéficiaires indirects, ventilé par genre et type (CFCL, PSAT) · (inclut FOR 4 e et f)</t>
  </si>
  <si>
    <t xml:space="preserve">Superficies de forêts sous concessions certifiées</t>
  </si>
  <si>
    <t xml:space="preserve">Progrès vers les indicateurs d’impact – pauvreté</t>
  </si>
  <si>
    <t xml:space="preserve">Paiements effectués sur la base de la performance · Montant des PSE transférés, ventilé par i) type de PSE (cultures pérennes, agroforesterie, régénération, conservation, gestion forestière durable, reboisement etc), ii)genre et iii)groupe vulnérable</t>
  </si>
  <si>
    <t xml:space="preserve">OUT.2</t>
  </si>
  <si>
    <t xml:space="preserve">Sécurité alimentaire améliorée : · a) Les zones et périodes de disette identifiées par le projet sont résorbées · b) Les activités commerciales et les choix de spéculation promues ne créent pas de nouvelle disette</t>
  </si>
  <si>
    <t xml:space="preserve">Not retained</t>
  </si>
  <si>
    <t xml:space="preserve">Qualitative food-security statement – project level</t>
  </si>
  <si>
    <t xml:space="preserve">OUT.3</t>
  </si>
  <si>
    <t xml:space="preserve">Conditions de vie améliorées · Nombre de villages ayant bénéficié d’équipements (incluant les infrastructures, mais pas les intrants) financés au travers des PSE collectifs reçus</t>
  </si>
  <si>
    <t xml:space="preserve">Funding source = collective PES; counts infrastructure, not villages</t>
  </si>
  <si>
    <t xml:space="preserve">OUT.4</t>
  </si>
  <si>
    <t xml:space="preserve">Nombre total de bénéficiaires directs du projet, désagrégé par la géographie, le genre et les minorités (peuples autochtones)</t>
  </si>
  <si>
    <t xml:space="preserve">Progrès vers les indicateurs d’impact – couvert forestier</t>
  </si>
  <si>
    <t xml:space="preserve">Superficie, sous contrat PSE ou PSAT, annuelle moyenne brûlée dans les terroirs (zones agricoles, sous régénération naturelle, conservation)</t>
  </si>
  <si>
    <t xml:space="preserve">Burned area not retained; firebreak protection kept</t>
  </si>
  <si>
    <t xml:space="preserve">OUT.6</t>
  </si>
  <si>
    <t xml:space="preserve">Superficies, sous PSAT, de tourbières et forêts inondées préservées ou gérées en accord avec les règles de bonnes pratiques de GRN</t>
  </si>
  <si>
    <t xml:space="preserve">Peatlands / flooded forest as conservation status</t>
  </si>
  <si>
    <t xml:space="preserve">Gouvernance</t>
  </si>
  <si>
    <t xml:space="preserve">OUT.7</t>
  </si>
  <si>
    <t xml:space="preserve">Les plateformes multi-acteurs s’impliquent activement dans la GRN: · Nb d’arbitrages réalisés par les structures de gouvernance pour assurer le respect des pratiques agréées, ventilé par type de structure : PSG, PSAT/PGRN, PLD, etc</t>
  </si>
  <si>
    <t xml:space="preserve">Les services techniques sont opérationnels et contribuent activement à la meilleure Gestion des ressources naturelles. · Nombre de personnes recevant un appui par les services techniques (formations, contrôles, bilans de GRN), ventilé par genre et groupes vulnérables (PA, jeunes)</t>
  </si>
  <si>
    <t xml:space="preserve">OUT.9</t>
  </si>
  <si>
    <t xml:space="preserve">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 % de fonds transférés aux ONG locales · Les ALE sont en charge sur toutes les activités du début à la fin du</t>
  </si>
  <si>
    <t xml:space="preserve">Local implementing agency capacity – project level</t>
  </si>
  <si>
    <t xml:space="preserve">OUT.10</t>
  </si>
  <si>
    <t xml:space="preserve">Superficies sous contrat PSE, ventilé par ALE et par type de PSE (agriculture durable, cultures pérennes, agroforesterie, régénération etc)</t>
  </si>
  <si>
    <t xml:space="preserve">FOR-01…04; AGR-02; AGR-03</t>
  </si>
  <si>
    <t xml:space="preserve">Delivery mechanism = PES contract (PES view)</t>
  </si>
  <si>
    <t xml:space="preserve">Agriculture</t>
  </si>
  <si>
    <t xml:space="preserve">Productions issues des plantations, ventilé par type (makala, manioc, café, cacao, huile de palme, etc)</t>
  </si>
  <si>
    <t xml:space="preserve">OUT.12</t>
  </si>
  <si>
    <t xml:space="preserve">Acceptabilité par les ménages des bénéfices et de la rentabilité des spéculations promues</t>
  </si>
  <si>
    <t xml:space="preserve">Household acceptability – qualitative</t>
  </si>
  <si>
    <t xml:space="preserve">Revenus agricoles augmentés · Revenu global généré par le projet dans la vente des produits issus des plantations, ventilé par type (makala, manioc, café, cacao, huile de palme, etc)</t>
  </si>
  <si>
    <t xml:space="preserve">Les chaînes de valeur sont opérationnelles et prêtes à absorber les productions (marges de commercialisation raisonnables et prix attractifs) : · Pourcentage de produits achetées issus des plantations appuyées par le projet (non consommés par les ménages)</t>
  </si>
  <si>
    <t xml:space="preserve">OUT.15</t>
  </si>
  <si>
    <t xml:space="preserve">Les rendements des cultures vivrières sont améliorés : · Pourcentage d’augmentation des rendements des cultures vivrières</t>
  </si>
  <si>
    <t xml:space="preserve">Energie</t>
  </si>
  <si>
    <t xml:space="preserve">OUT.16</t>
  </si>
  <si>
    <t xml:space="preserve">Taux de survie des plantations et mises en défens appuyées par le projet · Superficies · a) plantées subsistantes · b) mises en défens subsistantes · ventilées par type</t>
  </si>
  <si>
    <t xml:space="preserve">FOR-01; FOR-02</t>
  </si>
  <si>
    <t xml:space="preserve">Surviving areas = definition of FOR-01 / FOR-02</t>
  </si>
  <si>
    <t xml:space="preserve">Forets</t>
  </si>
  <si>
    <t xml:space="preserve">Nb et superficie d’alertes de déforestation dans les zones PSAT sous mise en défens et/ou conservation, ventilé par alertes reçues / contrôlées / traitées</t>
  </si>
  <si>
    <t xml:space="preserve">FOR-08; FOR-09</t>
  </si>
  <si>
    <t xml:space="preserve">Couvert forestier</t>
  </si>
  <si>
    <t xml:space="preserve">IMP.1</t>
  </si>
  <si>
    <t xml:space="preserve">Superficie annuelle moyenne de déforestation et de dégradation (ou à défaut, de perte de couvert arboré) dans la zone de projet</t>
  </si>
  <si>
    <t xml:space="preserve">IMP.2</t>
  </si>
  <si>
    <t xml:space="preserve">Superficie totale de compensation des pertes du couvert forestier, ventilé par type : agroforesterie, cultures pérennes, restauration par mise en défens, plantation, etc</t>
  </si>
  <si>
    <t xml:space="preserve">FOR-01; FOR-02; AGR-02; AGR-03</t>
  </si>
  <si>
    <t xml:space="preserve">Derived</t>
  </si>
  <si>
    <t xml:space="preserve">Sum of restoration / agroforestry / perennial areas</t>
  </si>
  <si>
    <t xml:space="preserve">Co-bénéfices du développement</t>
  </si>
  <si>
    <t xml:space="preserve">Augmentation des revenus monétaires directs pour les bénéficiaires directs</t>
  </si>
  <si>
    <t xml:space="preserve">Augmentation de la production vivrière des ménages bénéficiaires, ventilé par type de culture clé</t>
  </si>
  <si>
    <t xml:space="preserve">Production increase → yield change</t>
  </si>
  <si>
    <t xml:space="preserve">Metrics Hub harmonised indicators (05_Results.Indicator) → suggested new codes</t>
  </si>
  <si>
    <t xml:space="preserve">ResultRows = number of rows in 05_Results with this label (source: CAFI_MetricsHub_Tables_2026.xlsx). "Partial" = check unit/definition row by row before re-coding.</t>
  </si>
  <si>
    <t xml:space="preserve">HubIndicator</t>
  </si>
  <si>
    <t xml:space="preserve">CurrentOutcome</t>
  </si>
  <si>
    <t xml:space="preserve">ResultRows</t>
  </si>
  <si>
    <t xml:space="preserve">Project-specific output/result</t>
  </si>
  <si>
    <t xml:space="preserve">Project-specific</t>
  </si>
  <si>
    <t xml:space="preserve">Review row by row</t>
  </si>
  <si>
    <t xml:space="preserve">Finance mobilised or deployed</t>
  </si>
  <si>
    <t xml:space="preserve">FIN-01; FIN-02; FIN-04</t>
  </si>
  <si>
    <t xml:space="preserve">Split by type: co-financing / private / PES payments</t>
  </si>
  <si>
    <t xml:space="preserve">Institutional mechanisms, plans or tools supported</t>
  </si>
  <si>
    <t xml:space="preserve">Forest areas under sustainable management, restoration or conservation</t>
  </si>
  <si>
    <t xml:space="preserve">FOR-01; FOR-03; FOR-04</t>
  </si>
  <si>
    <t xml:space="preserve">Split by activity</t>
  </si>
  <si>
    <t xml:space="preserve">To be mapped</t>
  </si>
  <si>
    <t xml:space="preserve">Cross-cutting / Other Results</t>
  </si>
  <si>
    <t xml:space="preserve">To review</t>
  </si>
  <si>
    <t xml:space="preserve">Not yet classified in the Metrics Hub</t>
  </si>
  <si>
    <t xml:space="preserve">Sustainable agriculture and agroforestry practices adopted</t>
  </si>
  <si>
    <t xml:space="preserve">AGR-02; AGR-03; PPL-01</t>
  </si>
  <si>
    <t xml:space="preserve">Split by unit: ha → AGR-02/03; people → PPL-01</t>
  </si>
  <si>
    <t xml:space="preserve">Clean cooking / renewable energy solutions supported</t>
  </si>
  <si>
    <t xml:space="preserve">Land-use planning instruments developed or implemented</t>
  </si>
  <si>
    <t xml:space="preserve">Human-elephant conflict mitigation measures and beneficiaries</t>
  </si>
  <si>
    <t xml:space="preserve">FOR-12; FOR-13; PPL-01</t>
  </si>
  <si>
    <t xml:space="preserve">Split by unit</t>
  </si>
  <si>
    <t xml:space="preserve">Institutions, governance frameworks and capacities strengthened</t>
  </si>
  <si>
    <t xml:space="preserve">Civil society and decentralized monitoring strengthened</t>
  </si>
  <si>
    <t xml:space="preserve">Forest monitoring, MRV and climate data systems strengthened</t>
  </si>
  <si>
    <t xml:space="preserve">Studies, reports or analytical products produced</t>
  </si>
  <si>
    <t xml:space="preserve">Climate transparency, carbon market and MRV instruments strengthened</t>
  </si>
  <si>
    <t xml:space="preserve">CLM-03; GOV-02</t>
  </si>
  <si>
    <t xml:space="preserve">Priority/eligible sites identified</t>
  </si>
  <si>
    <t xml:space="preserve">Land tenure governance and security strengthened</t>
  </si>
  <si>
    <t xml:space="preserve">LUT-03; LUT-08; LUT-09</t>
  </si>
  <si>
    <t xml:space="preserve">Urban greening initiatives and protected urban forest landscapes</t>
  </si>
  <si>
    <t xml:space="preserve">FOR-02; FOR-04</t>
  </si>
  <si>
    <t xml:space="preserve">Area under improved/sustainable management or conservation</t>
  </si>
  <si>
    <t xml:space="preserve">FOR-03; FOR-04; AGR-02</t>
  </si>
  <si>
    <t xml:space="preserve">Workshops/consultations organised</t>
  </si>
  <si>
    <t xml:space="preserve">Community forestry management plans and governance strengthened</t>
  </si>
  <si>
    <t xml:space="preserve">FOR-11; GOV-03</t>
  </si>
  <si>
    <t xml:space="preserve">Land-use planning instruments and conflict management mechanisms</t>
  </si>
  <si>
    <t xml:space="preserve">LUT-01; LUT-07</t>
  </si>
  <si>
    <t xml:space="preserve">Forest certification systems and certified forest areas</t>
  </si>
  <si>
    <t xml:space="preserve">FOR-05; FOR-07</t>
  </si>
  <si>
    <t xml:space="preserve">Family planning services and contraceptive access supported</t>
  </si>
  <si>
    <t xml:space="preserve">INC-01; INC-03</t>
  </si>
  <si>
    <t xml:space="preserve">Research, ecological monitoring and forest ecosystem data produced</t>
  </si>
  <si>
    <t xml:space="preserve">People and institutions trained or strengthened</t>
  </si>
  <si>
    <t xml:space="preserve">GOV-01; GOV-06</t>
  </si>
  <si>
    <t xml:space="preserve">Split people / institutions</t>
  </si>
  <si>
    <t xml:space="preserve">Countries supported</t>
  </si>
  <si>
    <t xml:space="preserve">Environmental and social governance in extractive sectors strengthened</t>
  </si>
  <si>
    <t xml:space="preserve">FIN-09; GOV-02</t>
  </si>
  <si>
    <t xml:space="preserve">Technical assistance requests processed</t>
  </si>
  <si>
    <t xml:space="preserve">Data system / dashboard produced</t>
  </si>
  <si>
    <t xml:space="preserve">Marketing actions for sustainable products</t>
  </si>
  <si>
    <t xml:space="preserve">Seedlings produced/in production</t>
  </si>
  <si>
    <t xml:space="preserve">FOR-02; AGR-03</t>
  </si>
  <si>
    <t xml:space="preserve">Nursery output; report the resulting planted area</t>
  </si>
  <si>
    <t xml:space="preserve">Beneficiaries with secured land access</t>
  </si>
  <si>
    <t xml:space="preserve">CO2 emissions avoided</t>
  </si>
  <si>
    <t xml:space="preserve">Land prepared for planting</t>
  </si>
  <si>
    <t xml:space="preserve">Agroforestry area established</t>
  </si>
  <si>
    <t xml:space="preserve">Area planted</t>
  </si>
  <si>
    <t xml:space="preserve">Climate-smart and zero-deforestation value chains supported</t>
  </si>
  <si>
    <t xml:space="preserve">Local land-use planning process operationalized</t>
  </si>
  <si>
    <t xml:space="preserve">National land-use planning process structured</t>
  </si>
  <si>
    <t xml:space="preserve">Conflict analysis methodology developed</t>
  </si>
  <si>
    <t xml:space="preserve">Sustainable wood-energy supply master plans initiated</t>
  </si>
  <si>
    <t xml:space="preserve">Improved cookstoves disseminated</t>
  </si>
  <si>
    <t xml:space="preserve">Improved cookstoves in production</t>
  </si>
  <si>
    <t xml:space="preserve">Production ≠ distribution</t>
  </si>
  <si>
    <t xml:space="preserve">Production workshops engaged</t>
  </si>
  <si>
    <t xml:space="preserve">Sales outlets operational</t>
  </si>
  <si>
    <t xml:space="preserve">Forest economy planning instruments developed</t>
  </si>
  <si>
    <t xml:space="preserve">Strategic plans and governance instruments developed</t>
  </si>
  <si>
    <t xml:space="preserve">Consultation and coordination mechanism established</t>
  </si>
  <si>
    <t xml:space="preserve">GOV-03; GOV-04</t>
  </si>
  <si>
    <t xml:space="preserve">Trainings delivered</t>
  </si>
  <si>
    <t xml:space="preserve">Count people, not sessions</t>
  </si>
  <si>
    <t xml:space="preserve">Multi-stakeholder planning platforms supported</t>
  </si>
  <si>
    <t xml:space="preserve">Agro-industrial planning instruments developed</t>
  </si>
  <si>
    <t xml:space="preserve">Business plans developed</t>
  </si>
  <si>
    <t xml:space="preserve">Communication and awareness tools produced</t>
  </si>
  <si>
    <t xml:space="preserve">Data sharing agreement signed</t>
  </si>
  <si>
    <t xml:space="preserve">Field missions for forest carbon data</t>
  </si>
  <si>
    <t xml:space="preserve">Forest Reference Emission Level assessed</t>
  </si>
  <si>
    <t xml:space="preserve">Forest/non-forest area estimates produced</t>
  </si>
  <si>
    <t xml:space="preserve">Geoportal operational</t>
  </si>
  <si>
    <t xml:space="preserve">M&amp;E and learning mechanism initiated</t>
  </si>
  <si>
    <t xml:space="preserve">National climate plans and NDCs developed/revised</t>
  </si>
  <si>
    <t xml:space="preserve">National consultation completed</t>
  </si>
  <si>
    <t xml:space="preserve">National forest monitoring system operational</t>
  </si>
  <si>
    <t xml:space="preserve">National policy/regulatory studies produced</t>
  </si>
  <si>
    <t xml:space="preserve">Input to GOV-02</t>
  </si>
  <si>
    <t xml:space="preserve">Pilot districts validated</t>
  </si>
  <si>
    <t xml:space="preserve">Research protocols signed</t>
  </si>
  <si>
    <t xml:space="preserve">Sectoral reviews integrating environmental considerations</t>
  </si>
  <si>
    <t xml:space="preserve">Technical assistants recruited</t>
  </si>
  <si>
    <t xml:space="preserve">Technical missions conducted</t>
  </si>
  <si>
    <t xml:space="preserve">Young participants in workshops</t>
  </si>
  <si>
    <t xml:space="preserve">Total rows</t>
  </si>
  <si>
    <t xml:space="preserve">of which Direct</t>
  </si>
  <si>
    <t xml:space="preserve">of which Partial</t>
  </si>
  <si>
    <t xml:space="preserve">of which Project-specific / To review</t>
  </si>
  <si>
    <t xml:space="preserve">CAFI Connect draft list (94 indicators) → new indicator codes</t>
  </si>
  <si>
    <t xml:space="preserve">DraftIndicator</t>
  </si>
  <si>
    <t xml:space="preserve">Action</t>
  </si>
  <si>
    <t xml:space="preserve">Estimated emissions reduction and removals from the project</t>
  </si>
  <si>
    <t xml:space="preserve">Keep</t>
  </si>
  <si>
    <t xml:space="preserve">Estimated reduction in deforestation and degradation in the project area</t>
  </si>
  <si>
    <t xml:space="preserve">Reword</t>
  </si>
  <si>
    <t xml:space="preserve">Number of direct beneficiaries, disaggregated by gender, minority/vulnerable group and intervention area</t>
  </si>
  <si>
    <t xml:space="preserve">Number of direct jobs created along the value chain</t>
  </si>
  <si>
    <t xml:space="preserve">Number of people trained, disaggregated by gender, type of training and institution represented (if relevant)</t>
  </si>
  <si>
    <t xml:space="preserve">Amount of co-financing mobilised by the project</t>
  </si>
  <si>
    <t xml:space="preserve">Mobilised private finance (USD)</t>
  </si>
  <si>
    <t xml:space="preserve">Number of policy, legislative and regulatory measures supported, by type and status</t>
  </si>
  <si>
    <t xml:space="preserve">Number of land-use and natural-resource-management plans validated</t>
  </si>
  <si>
    <t xml:space="preserve">Area (ha) under validated land-use plans</t>
  </si>
  <si>
    <t xml:space="preserve">Area (ha) legally secured for communities, disaggregated by tenure type</t>
  </si>
  <si>
    <t xml:space="preserve">Number of local development or decision-making committees established/strengthened and operational</t>
  </si>
  <si>
    <t xml:space="preserve">Move</t>
  </si>
  <si>
    <t xml:space="preserve">Number of infrastructures constructed or rehabilitated, by type</t>
  </si>
  <si>
    <t xml:space="preserve">Length (km) of rural roads constructed, rehabilitated or maintained</t>
  </si>
  <si>
    <t xml:space="preserve">Area (ha) under improved varieties for subsistence food production</t>
  </si>
  <si>
    <t xml:space="preserve">Area (ha) under deforestation-free perennial crops</t>
  </si>
  <si>
    <t xml:space="preserve">Area (ha) of savannah forest regeneration</t>
  </si>
  <si>
    <t xml:space="preserve">Area (ha) under agroforestry</t>
  </si>
  <si>
    <t xml:space="preserve">Area (ha) of wood-energy and timber plantations</t>
  </si>
  <si>
    <t xml:space="preserve">Area (ha) under effective sustainable forest management</t>
  </si>
  <si>
    <t xml:space="preserve">Area (ha) under forest conservation</t>
  </si>
  <si>
    <t xml:space="preserve">Area (ha) of forest under certified concessions</t>
  </si>
  <si>
    <t xml:space="preserve">Number of clean-cooking solutions distributed</t>
  </si>
  <si>
    <t xml:space="preserve">Number of eligible PES applicants</t>
  </si>
  <si>
    <t xml:space="preserve">Number of environmental service providers with one or more signed PES contracts</t>
  </si>
  <si>
    <t xml:space="preserve">Merge</t>
  </si>
  <si>
    <t xml:space="preserve">Area (ha) under signed PES contracts, by activity</t>
  </si>
  <si>
    <t xml:space="preserve">Convert to disaggregation</t>
  </si>
  <si>
    <t xml:space="preserve">AGR-02 / FOR-01 / AGR-03 / FOR-02 / FOR-03 / FOR-04</t>
  </si>
  <si>
    <t xml:space="preserve">Amount (USD) paid to environmental service providers, by PES activity</t>
  </si>
  <si>
    <t xml:space="preserve">Number of indirect beneficiaries, disaggregated by intervention area</t>
  </si>
  <si>
    <t xml:space="preserve">Increase in direct monetary income for direct beneficiaries</t>
  </si>
  <si>
    <t xml:space="preserve">Increase in agricultural production of beneficiary households, disaggregated by key crop type</t>
  </si>
  <si>
    <t xml:space="preserve">Number of follow-up visits carried out by project staff</t>
  </si>
  <si>
    <t xml:space="preserve">Remove from standard set</t>
  </si>
  <si>
    <t xml:space="preserve">— (project-level only)</t>
  </si>
  <si>
    <t xml:space="preserve">Number of project steering committee meetings held</t>
  </si>
  <si>
    <t xml:space="preserve">Number of legislative texts supported</t>
  </si>
  <si>
    <t xml:space="preserve">Number of priority regulatory texts drafted with the support of the project, including those approved</t>
  </si>
  <si>
    <t xml:space="preserve">Number of interministerial meetings supported by the project each year</t>
  </si>
  <si>
    <t xml:space="preserve">Number of institutional units supported, disaggregated by type and status</t>
  </si>
  <si>
    <t xml:space="preserve">Percentage of campaigns using tools to specifically target minorities and vulnerable groups</t>
  </si>
  <si>
    <t xml:space="preserve">Number of individuals equipped, disaggregated by a) government technical services b) non-governmental or civil society organisations</t>
  </si>
  <si>
    <t xml:space="preserve">Adoption rate of clean cooking solutions (Disaggregated by type: LPG or improved stoves)</t>
  </si>
  <si>
    <t xml:space="preserve">Fuel consumption reduction (%) attributable to clean cooking solutions distributed (disaggregated by type)</t>
  </si>
  <si>
    <t xml:space="preserve">Value of clean cooking solutions sold</t>
  </si>
  <si>
    <t xml:space="preserve">Forest areas under forest management plans</t>
  </si>
  <si>
    <t xml:space="preserve">Existence and operationalisation of a secure system to ensure robust monitoring of timber legality</t>
  </si>
  <si>
    <t xml:space="preserve">Volume of funding mobilised (CAFI/other) for forest-friendly extractive industries</t>
  </si>
  <si>
    <t xml:space="preserve">Years of protection, disaggregated by geography</t>
  </si>
  <si>
    <t xml:space="preserve">Number of arbitrations carried out by governance structures</t>
  </si>
  <si>
    <t xml:space="preserve">Number of people receiving support from technical services (training, inspections, NRM assessments), disaggregated by gender and vulnerable groups (PA, young people)</t>
  </si>
  <si>
    <t xml:space="preserve">Production from plantations, disaggregated by type (makala, cassava, coffee, cocoa, palm oil, etc.)</t>
  </si>
  <si>
    <t xml:space="preserve">Income generated by the project from the sale of plantation products, disaggregated by type (makala, cassava, coffee, cocoa, palm oil, etc.)</t>
  </si>
  <si>
    <t xml:space="preserve">Percentage of products purchased from plantations supported by the project (not consumed by households)</t>
  </si>
  <si>
    <t xml:space="preserve">Percentage increase in food crop yields</t>
  </si>
  <si>
    <t xml:space="preserve">Areas of plantations and set-aside areas supported, disaggregated by type of: a) planted areas b) set-aside areas</t>
  </si>
  <si>
    <t xml:space="preserve">FOR-01 / FOR-02</t>
  </si>
  <si>
    <t xml:space="preserve">Number of deforestation alerts in PSAT areas, disaggregated by alerts received/checked/processed</t>
  </si>
  <si>
    <t xml:space="preserve">Area of deforestation alerts in PSAT areas under protection and/or conservation</t>
  </si>
  <si>
    <t xml:space="preserve">Number of people actively participating in these decision-making governance structures, disaggregated by gender and by vulnerable group (PA)</t>
  </si>
  <si>
    <t xml:space="preserve">Number of technical services equipped, disaggregated by type: a) Land brigades equipped and trained, land registry in place, record keeping, etc. b) Provincial and territorial technical assistance services equipped and trained (GIS, etc.) d) Environmental services e) Rural development services</t>
  </si>
  <si>
    <t xml:space="preserve">Number of violations of land use plans</t>
  </si>
  <si>
    <t xml:space="preserve">Areas affected by these violations of the major provisions of the AT plans</t>
  </si>
  <si>
    <t xml:space="preserve">Number of people living in administrative entities under AT plans, disaggregated by gender and vulnerable group (PA)</t>
  </si>
  <si>
    <t xml:space="preserve">Number of arbitration procedures to resolve land use conflicts (a) initiated, and (b) having ended the conflict</t>
  </si>
  <si>
    <t xml:space="preserve">Number of provincial land edicts developed/promulgated in a participatory manner</t>
  </si>
  <si>
    <t xml:space="preserve">Number of decentralised land registers piloted/established/functional</t>
  </si>
  <si>
    <t xml:space="preserve">Number of land arrangements registered, disaggregated by type (individual/collective, formal/informal)</t>
  </si>
  <si>
    <t xml:space="preserve">Number of direct and indirect beneficiaries of land tenure security, disaggregated by type of security (individual or collective), by gender and by vulnerable group</t>
  </si>
  <si>
    <t xml:space="preserve">Area of established improved seed multiplication fields (by growing season and cumulative)</t>
  </si>
  <si>
    <t xml:space="preserve">Number of direct beneficiaries, disaggregated by type of agricultural support (perennials, agroforestry, food crops) Of which number of households that have received improved seeds</t>
  </si>
  <si>
    <t xml:space="preserve">Number of direct/indirect beneficiaries, disaggregated by gender and type (minority), including:</t>
  </si>
  <si>
    <t xml:space="preserve">PPL-01 / PPL-06</t>
  </si>
  <si>
    <t xml:space="preserve">a) Farmers, charcoal burners and charcoal entrepreneurs trained in improved carbonisation techniques</t>
  </si>
  <si>
    <t xml:space="preserve">Areas designated for sustainable forest management, disaggregated by status (GDF category of the Simple Management Plan (for CFCL) or PSAT</t>
  </si>
  <si>
    <t xml:space="preserve">Areas effectively protected by firebreaks</t>
  </si>
  <si>
    <t xml:space="preserve">b. Area under sustainable artisanal forestry (including under CFCL)</t>
  </si>
  <si>
    <t xml:space="preserve">c. Number of CFCLs with a Simple Management Plan (PSG) for forestry operations</t>
  </si>
  <si>
    <t xml:space="preserve">Number of people trained in sustainable forestry</t>
  </si>
  <si>
    <t xml:space="preserve">% of PSATs associated with good practice guides for natural resource management</t>
  </si>
  <si>
    <t xml:space="preserve">Total number of indirect beneficiaries, disaggregated by gender and type (CFCL, PSAT)</t>
  </si>
  <si>
    <t xml:space="preserve">Number of electric fences installed or rehabilitated, by province</t>
  </si>
  <si>
    <t xml:space="preserve">Area (ha) of cultivated land protected by functional electric fences</t>
  </si>
  <si>
    <t xml:space="preserve">Area (ha) covered by operational forest monitoring and control systems supported by the project</t>
  </si>
  <si>
    <t xml:space="preserve">Area (ha) under signed PES contracts for afforestation/reforestation</t>
  </si>
  <si>
    <t xml:space="preserve">Area (ha) under signed PES contracts for agroforestry</t>
  </si>
  <si>
    <t xml:space="preserve">Area (ha) under signed PES contracts for deforestation-free agriculture</t>
  </si>
  <si>
    <t xml:space="preserve">Area (ha) under signed PES contracts for unassisted natural regeneration</t>
  </si>
  <si>
    <t xml:space="preserve">Area (ha) under signed PES contracts for assisted natural regeneration</t>
  </si>
  <si>
    <t xml:space="preserve">Area (ha) under signed PES contracts for sustainable forest management (EFIR-C without certification)</t>
  </si>
  <si>
    <t xml:space="preserve">Area (ha) under signed PES contracts for sustainable forest management (EFIR-C with certification)</t>
  </si>
  <si>
    <t xml:space="preserve">Area (ha) under signed PES contracts for conservation</t>
  </si>
  <si>
    <t xml:space="preserve">Amount (USD) paid in PES to environmental service providers for afforestation/reforestation contracts, disaggregated by i) gender and ii) vulnerable group (ethnicity, including indigenous peoples and migrants)</t>
  </si>
  <si>
    <t xml:space="preserve">Amount (USD) paid in PES to environmental service providers for agroforestry contracts, disaggregated by i) gender and ii) vulnerable group (ethnicity, including indigenous peoples and migrants)</t>
  </si>
  <si>
    <t xml:space="preserve">Amount (USD) paid in PES to environmental service providers for deforestation-free agriculture contracts, disaggregated by i) gender and ii) vulnerable group (ethnicity, including indigenous peoples and migrants)</t>
  </si>
  <si>
    <t xml:space="preserve">Amount (USD) paid in PES to environmental service providers for natural (unassisted) regeneration contracts, disaggregated by i) gender and ii) vulnerable group (ethnicity, including indigenous peoples and migrants)</t>
  </si>
  <si>
    <t xml:space="preserve">Amount (USD) paid in PES to environmental service providers for assisted natural regeneration contracts, disaggregated by i) gender and ii) vulnerable group (ethnicity, including indigenous peoples and migrants)</t>
  </si>
  <si>
    <t xml:space="preserve">Amount (USD) paid in PES to environmental service providers under EFIR-C sustainable forest management contracts without certification, disaggregated by i) gender and ii) vulnerable group (ethnicity, including indigenous peoples and migrants)</t>
  </si>
  <si>
    <t xml:space="preserve">Amount (USD) paid in PES to environmental service providers under EFIR-C sustainable forest management contracts with certification, disaggregated by i) gender and ii) vulnerable group (ethnicity, including indigenous peoples and migrants)</t>
  </si>
  <si>
    <t xml:space="preserve">Amount (USD) paid in PES to environmental service providers under conservation contracts</t>
  </si>
  <si>
    <t xml:space="preserve">Project activities – each activity triggers a set of conditional indicators</t>
  </si>
  <si>
    <t xml:space="preserve">ActivityCode</t>
  </si>
  <si>
    <t xml:space="preserve">Activity</t>
  </si>
  <si>
    <t xml:space="preserve">TriggeredIndicators</t>
  </si>
  <si>
    <t xml:space="preserve">ProjectCount</t>
  </si>
  <si>
    <t xml:space="preserve">POL</t>
  </si>
  <si>
    <t xml:space="preserve">Policy &amp; regulatory support</t>
  </si>
  <si>
    <t xml:space="preserve">GOV-02, GOV-05</t>
  </si>
  <si>
    <t xml:space="preserve">COORD</t>
  </si>
  <si>
    <t xml:space="preserve">Institutional coordination</t>
  </si>
  <si>
    <t xml:space="preserve">GOV-04, GOV-05</t>
  </si>
  <si>
    <t xml:space="preserve">CAP</t>
  </si>
  <si>
    <t xml:space="preserve">GOV-01, GOV-06</t>
  </si>
  <si>
    <t xml:space="preserve">LOCGOV</t>
  </si>
  <si>
    <t xml:space="preserve">Local governance structures</t>
  </si>
  <si>
    <t xml:space="preserve">GOV-03, GOV-07, GOV-08</t>
  </si>
  <si>
    <t xml:space="preserve">CSO</t>
  </si>
  <si>
    <t xml:space="preserve">Civil society oversight</t>
  </si>
  <si>
    <t xml:space="preserve">GOV-09, GOV-01</t>
  </si>
  <si>
    <t xml:space="preserve">LUP</t>
  </si>
  <si>
    <t xml:space="preserve">LUT-01, LUT-02, LUT-04, LUT-05, LUT-06, LUT-07, LUT-10</t>
  </si>
  <si>
    <t xml:space="preserve">Land tenure</t>
  </si>
  <si>
    <t xml:space="preserve">LUT-03, LUT-07, LUT-08, LUT-09</t>
  </si>
  <si>
    <t xml:space="preserve">INFRA</t>
  </si>
  <si>
    <t xml:space="preserve">PPL-03, PPL-04</t>
  </si>
  <si>
    <t xml:space="preserve">LIV</t>
  </si>
  <si>
    <t xml:space="preserve">Livelihoods &amp; income</t>
  </si>
  <si>
    <t xml:space="preserve">PPL-02, PPL-05, PPL-06</t>
  </si>
  <si>
    <t xml:space="preserve">AGRI</t>
  </si>
  <si>
    <t xml:space="preserve">AGR-01, AGR-07, AGR-08</t>
  </si>
  <si>
    <t xml:space="preserve">PER</t>
  </si>
  <si>
    <t xml:space="preserve">AGR-02, AGR-03, AGR-04, AGR-05, AGR-06</t>
  </si>
  <si>
    <t xml:space="preserve">REST</t>
  </si>
  <si>
    <t xml:space="preserve">Regeneration &amp; plantations</t>
  </si>
  <si>
    <t xml:space="preserve">FOR-01, FOR-02, FOR-10</t>
  </si>
  <si>
    <t xml:space="preserve">SFM</t>
  </si>
  <si>
    <t xml:space="preserve">Sustainable forest management</t>
  </si>
  <si>
    <t xml:space="preserve">FOR-03, FOR-05, FOR-06, FOR-11</t>
  </si>
  <si>
    <t xml:space="preserve">CONS</t>
  </si>
  <si>
    <t xml:space="preserve">Conservation &amp; forest monitoring</t>
  </si>
  <si>
    <t xml:space="preserve">FOR-04, FOR-08, FOR-09, FOR-14</t>
  </si>
  <si>
    <t xml:space="preserve">HWC</t>
  </si>
  <si>
    <t xml:space="preserve">Human–wildlife conflict</t>
  </si>
  <si>
    <t xml:space="preserve">FOR-12, FOR-13</t>
  </si>
  <si>
    <t xml:space="preserve">LEGAL</t>
  </si>
  <si>
    <t xml:space="preserve">Timber legality</t>
  </si>
  <si>
    <t xml:space="preserve">MRV</t>
  </si>
  <si>
    <t xml:space="preserve">MRV &amp; forest monitoring systems</t>
  </si>
  <si>
    <t xml:space="preserve">CLM-03, FOR-14</t>
  </si>
  <si>
    <t xml:space="preserve">CCK</t>
  </si>
  <si>
    <t xml:space="preserve">ENR-01, ENR-02, ENR-03, ENR-04</t>
  </si>
  <si>
    <t xml:space="preserve">PES scheme</t>
  </si>
  <si>
    <t xml:space="preserve">FIN-03, FIN-04, FIN-05</t>
  </si>
  <si>
    <t xml:space="preserve">PRIV</t>
  </si>
  <si>
    <t xml:space="preserve">FIN-02, FIN-06, FIN-07</t>
  </si>
  <si>
    <t xml:space="preserve">SCH</t>
  </si>
  <si>
    <t xml:space="preserve">Deforestation-free supply chains</t>
  </si>
  <si>
    <t xml:space="preserve">FIN-08, FIN-10</t>
  </si>
  <si>
    <t xml:space="preserve">EXT</t>
  </si>
  <si>
    <t xml:space="preserve">Extractive sector</t>
  </si>
  <si>
    <t xml:space="preserve">FIN-09, GOV-02</t>
  </si>
  <si>
    <t xml:space="preserve">DEM</t>
  </si>
  <si>
    <t xml:space="preserve">Family planning</t>
  </si>
  <si>
    <t xml:space="preserve">INC-01, INC-03</t>
  </si>
  <si>
    <t xml:space="preserve">OUT</t>
  </si>
  <si>
    <t xml:space="preserve">Awareness &amp; inclusion</t>
  </si>
  <si>
    <t xml:space="preserve">Projects (CAFI and FONAREDD portfolio) with project type, activities and indicator counts</t>
  </si>
  <si>
    <t xml:space="preserve">Indicator counts are formulas on 14_ProjectIndicators. Activities column uses the activity names of 12_Activities. Types and activities to be confirmed where ClassificationConfidence is Medium/Low.</t>
  </si>
  <si>
    <t xml:space="preserve">ProjectID</t>
  </si>
  <si>
    <t xml:space="preserve">ProjectCode</t>
  </si>
  <si>
    <t xml:space="preserve">TrustFund</t>
  </si>
  <si>
    <t xml:space="preserve">Country</t>
  </si>
  <si>
    <t xml:space="preserve">ProjectShort</t>
  </si>
  <si>
    <t xml:space="preserve">ProjectTitle</t>
  </si>
  <si>
    <t xml:space="preserve">ImplementingOrg</t>
  </si>
  <si>
    <t xml:space="preserve">BudgetUSD</t>
  </si>
  <si>
    <t xml:space="preserve">StartDate</t>
  </si>
  <si>
    <t xml:space="preserve">EndDate</t>
  </si>
  <si>
    <t xml:space="preserve">ProjectType</t>
  </si>
  <si>
    <t xml:space="preserve">PESProject</t>
  </si>
  <si>
    <t xml:space="preserve">Activities</t>
  </si>
  <si>
    <t xml:space="preserve">Mandatory</t>
  </si>
  <si>
    <t xml:space="preserve">RequiredByActivity</t>
  </si>
  <si>
    <t xml:space="preserve">Optional</t>
  </si>
  <si>
    <t xml:space="preserve">ReportedInHub</t>
  </si>
  <si>
    <t xml:space="preserve">PossiblyReported</t>
  </si>
  <si>
    <t xml:space="preserve">NotYetReported</t>
  </si>
  <si>
    <t xml:space="preserve">ClassificationConfidence</t>
  </si>
  <si>
    <t xml:space="preserve">MPTFLink</t>
  </si>
  <si>
    <t xml:space="preserve">00102121</t>
  </si>
  <si>
    <t xml:space="preserve">CAFI</t>
  </si>
  <si>
    <t xml:space="preserve">CAR</t>
  </si>
  <si>
    <t xml:space="preserve">WB preparatory funding</t>
  </si>
  <si>
    <t xml:space="preserve">CAR/World Bank (TF071553): CAFI Preparatory Funding</t>
  </si>
  <si>
    <t xml:space="preserve">World Bank-IBRD</t>
  </si>
  <si>
    <t xml:space="preserve">Closed</t>
  </si>
  <si>
    <t xml:space="preserve">Preparatory / feasibility grant</t>
  </si>
  <si>
    <t xml:space="preserve">No</t>
  </si>
  <si>
    <t xml:space="preserve">High</t>
  </si>
  <si>
    <t xml:space="preserve">National investment framework preparation</t>
  </si>
  <si>
    <t xml:space="preserve">https://mptf.undp.org/project/00102121</t>
  </si>
  <si>
    <t xml:space="preserve">00127867</t>
  </si>
  <si>
    <t xml:space="preserve">Feasibility Study Grant</t>
  </si>
  <si>
    <t xml:space="preserve">Central African Republic Preparatory Feasibility study grant</t>
  </si>
  <si>
    <t xml:space="preserve">AFD</t>
  </si>
  <si>
    <t xml:space="preserve">Feasibility study</t>
  </si>
  <si>
    <t xml:space="preserve">https://mptf.undp.org/project/00127867</t>
  </si>
  <si>
    <t xml:space="preserve">00140619</t>
  </si>
  <si>
    <t xml:space="preserve">Feasibility Grant</t>
  </si>
  <si>
    <t xml:space="preserve">Feasibility Grant CAR</t>
  </si>
  <si>
    <t xml:space="preserve">UNDP</t>
  </si>
  <si>
    <t xml:space="preserve">Feasibility grant</t>
  </si>
  <si>
    <t xml:space="preserve">https://mptf.undp.org/project/00140619</t>
  </si>
  <si>
    <t xml:space="preserve">00141105</t>
  </si>
  <si>
    <t xml:space="preserve">Prep Grant PIREDD Bangui</t>
  </si>
  <si>
    <t xml:space="preserve">Land-use planning; Policy &amp; regulatory support</t>
  </si>
  <si>
    <t xml:space="preserve">PIREDD Bangui preparation</t>
  </si>
  <si>
    <t xml:space="preserve">https://mptf.undp.org/project/00141105</t>
  </si>
  <si>
    <t xml:space="preserve">00141300</t>
  </si>
  <si>
    <t xml:space="preserve">Cameroon</t>
  </si>
  <si>
    <t xml:space="preserve">Grand Mbam Integrated Landscape Project</t>
  </si>
  <si>
    <t xml:space="preserve">Projet de gestion intégrée du paysage Grand Mbam – PGIP-GM</t>
  </si>
  <si>
    <t xml:space="preserve">KFW</t>
  </si>
  <si>
    <t xml:space="preserve">Active</t>
  </si>
  <si>
    <t xml:space="preserve">AFOLU / integrated + PES</t>
  </si>
  <si>
    <t xml:space="preserve">Yes</t>
  </si>
  <si>
    <t xml:space="preserve">Land-use planning; Local governance structures; Land tenure; Food crops &amp; seed; Perennial crops &amp; agroforestry; Regeneration &amp; plantations; Conservation &amp; forest monitoring; Livelihoods &amp; income; Capacity building; PES scheme</t>
  </si>
  <si>
    <t xml:space="preserve">Medium</t>
  </si>
  <si>
    <t xml:space="preserve">Integrated landscape (PES call: private sector – KfW) – confirm PES</t>
  </si>
  <si>
    <t xml:space="preserve">https://mptf.undp.org/project/00141300</t>
  </si>
  <si>
    <t xml:space="preserve">00140915</t>
  </si>
  <si>
    <t xml:space="preserve">Cocoa and Coffee Sectors Development Fund Support (2024)</t>
  </si>
  <si>
    <t xml:space="preserve">Cocoa and Coffee Development Fund Pilot Project in Cameroon</t>
  </si>
  <si>
    <t xml:space="preserve">IFAD</t>
  </si>
  <si>
    <t xml:space="preserve">Private sector</t>
  </si>
  <si>
    <t xml:space="preserve">Private investment; Deforestation-free supply chains; Perennial crops &amp; agroforestry; Capacity building; Livelihoods &amp; income</t>
  </si>
  <si>
    <t xml:space="preserve">Cocoa &amp; coffee development fund</t>
  </si>
  <si>
    <t xml:space="preserve">https://mptf.undp.org/project/00140915</t>
  </si>
  <si>
    <t xml:space="preserve">00141297</t>
  </si>
  <si>
    <t xml:space="preserve">Intersectoral and Multi-Level Coordination Project</t>
  </si>
  <si>
    <t xml:space="preserve">Projet d'Appui à la Coordination Intersectorielle et Multi-Niveaux dans le Cadre du Partenariat entre CAFI et le Cameroun</t>
  </si>
  <si>
    <t xml:space="preserve">GIZ</t>
  </si>
  <si>
    <t xml:space="preserve">Enabling</t>
  </si>
  <si>
    <t xml:space="preserve">Institutional coordination; Policy &amp; regulatory support; Capacity building</t>
  </si>
  <si>
    <t xml:space="preserve">Intersectoral coordination</t>
  </si>
  <si>
    <t xml:space="preserve">https://mptf.undp.org/project/00141297</t>
  </si>
  <si>
    <t xml:space="preserve">00141343</t>
  </si>
  <si>
    <t xml:space="preserve">Capacity Building Project for Land Use Planning</t>
  </si>
  <si>
    <t xml:space="preserve">Projet de Renforcement des capacités en matière d'aménagement du territoire</t>
  </si>
  <si>
    <t xml:space="preserve">Land-use planning; Capacity building; Policy &amp; regulatory support</t>
  </si>
  <si>
    <t xml:space="preserve">Land-use planning capacity</t>
  </si>
  <si>
    <t xml:space="preserve">https://mptf.undp.org/project/00141343</t>
  </si>
  <si>
    <t xml:space="preserve">00102312</t>
  </si>
  <si>
    <t xml:space="preserve">Preparatory grant to develop Nat. Inv. Framework WB (closed in 2019)</t>
  </si>
  <si>
    <t xml:space="preserve">CAMEROON/World Bank (TF071553) -AFD: CAFI Preparatory Funding</t>
  </si>
  <si>
    <t xml:space="preserve">World Bank-IBRD; AFD</t>
  </si>
  <si>
    <t xml:space="preserve">National investment framework preparation (World Bank and AFD tranches)</t>
  </si>
  <si>
    <t xml:space="preserve">https://mptf.undp.org/project/00102312</t>
  </si>
  <si>
    <t xml:space="preserve">00130213</t>
  </si>
  <si>
    <t xml:space="preserve">Coordination (preparatory grant)</t>
  </si>
  <si>
    <t xml:space="preserve">Preparatory Grant UNDP-MINEPAT Coordination support</t>
  </si>
  <si>
    <t xml:space="preserve">Partnership start-up coordination</t>
  </si>
  <si>
    <t xml:space="preserve">https://mptf.undp.org/project/00140410</t>
  </si>
  <si>
    <t xml:space="preserve">00140520</t>
  </si>
  <si>
    <t xml:space="preserve">Cocoa and Coffee Sectors Development Fund Support (preparatory grant)</t>
  </si>
  <si>
    <t xml:space="preserve">IFAD-FODECC Preparatory Grant</t>
  </si>
  <si>
    <t xml:space="preserve">Private investment; Deforestation-free supply chains</t>
  </si>
  <si>
    <t xml:space="preserve">Cocoa &amp; coffee fund preparation</t>
  </si>
  <si>
    <t xml:space="preserve">https://mptf.undp.org/project/00140520</t>
  </si>
  <si>
    <t xml:space="preserve">00141291</t>
  </si>
  <si>
    <t xml:space="preserve">Sustainable intensification of smallholder palm oil production in southwest Cameroon (PAMOL)</t>
  </si>
  <si>
    <t xml:space="preserve">Perennial crops &amp; agroforestry; Deforestation-free supply chains; PES scheme</t>
  </si>
  <si>
    <t xml:space="preserve">PAMOL preparation (PES call: private sector – KfW) – confirm</t>
  </si>
  <si>
    <t xml:space="preserve">https://mptf.undp.org/project/00141291</t>
  </si>
  <si>
    <t xml:space="preserve">00103594</t>
  </si>
  <si>
    <t xml:space="preserve">Equatorial Guinea</t>
  </si>
  <si>
    <t xml:space="preserve">Development of REDD+ Investment Plan</t>
  </si>
  <si>
    <t xml:space="preserve">EQ. GUINEA/FAO- Desarrollo del Plan Nacional de Inversion REDD+ (PNI-REDD+) de Guinea Ecuatorial</t>
  </si>
  <si>
    <t xml:space="preserve">FAO</t>
  </si>
  <si>
    <t xml:space="preserve">REDD+ investment plan preparation</t>
  </si>
  <si>
    <t xml:space="preserve">https://mptf.undp.org/project/00103594</t>
  </si>
  <si>
    <t xml:space="preserve">00133387</t>
  </si>
  <si>
    <t xml:space="preserve">Gabon</t>
  </si>
  <si>
    <t xml:space="preserve">Urban Greening</t>
  </si>
  <si>
    <t xml:space="preserve">Providing Education and Access Opportunities of Urban Populations to Forested Gardens and City Parks / CAFI 3</t>
  </si>
  <si>
    <t xml:space="preserve">UNESCO &amp; UNDP</t>
  </si>
  <si>
    <t xml:space="preserve">AFOLU / integrated</t>
  </si>
  <si>
    <t xml:space="preserve">Regeneration &amp; plantations; Conservation &amp; forest monitoring; Awareness &amp; inclusion; Livelihoods &amp; income; Capacity building</t>
  </si>
  <si>
    <t xml:space="preserve">Urban greening and forested gardens</t>
  </si>
  <si>
    <t xml:space="preserve">https://mptf.undp.org/project/00133387</t>
  </si>
  <si>
    <t xml:space="preserve">00141081</t>
  </si>
  <si>
    <t xml:space="preserve">Peaceful human-elephant co-existence in Gabon</t>
  </si>
  <si>
    <t xml:space="preserve">Coexistence pacifique entre l'homme et l'éléphant au Gabon</t>
  </si>
  <si>
    <t xml:space="preserve">WCS</t>
  </si>
  <si>
    <t xml:space="preserve">Human–wildlife conflict; Conservation &amp; forest monitoring; Livelihoods &amp; income; Capacity building; Awareness &amp; inclusion</t>
  </si>
  <si>
    <t xml:space="preserve">Human–elephant conflict</t>
  </si>
  <si>
    <t xml:space="preserve">https://mptf.undp.org/project/00141081</t>
  </si>
  <si>
    <t xml:space="preserve">00111269</t>
  </si>
  <si>
    <t xml:space="preserve">Land Use Planning and Monitoring (CAFI 1)</t>
  </si>
  <si>
    <t xml:space="preserve">GABON AFD-National Planning</t>
  </si>
  <si>
    <t xml:space="preserve">Land-use planning; MRV &amp; forest monitoring systems; Policy &amp; regulatory support; Capacity building</t>
  </si>
  <si>
    <t xml:space="preserve">PNAT land-use planning and national land observation system</t>
  </si>
  <si>
    <t xml:space="preserve">https://mptf.undp.org/project/00111269</t>
  </si>
  <si>
    <t xml:space="preserve">00122613</t>
  </si>
  <si>
    <t xml:space="preserve">Expansion of Protected Areas (CAFI 2)</t>
  </si>
  <si>
    <t xml:space="preserve">Expansion des aires protégées</t>
  </si>
  <si>
    <t xml:space="preserve">Conservation &amp; forest monitoring; Policy &amp; regulatory support; Capacity building</t>
  </si>
  <si>
    <t xml:space="preserve">Protected area network expansion</t>
  </si>
  <si>
    <t xml:space="preserve">https://mptf.undp.org/project/00122613</t>
  </si>
  <si>
    <t xml:space="preserve">132798</t>
  </si>
  <si>
    <t xml:space="preserve">Certification and Legality (CAFI 2)</t>
  </si>
  <si>
    <t xml:space="preserve">TNC CAFI GABON: Réduire les émissions grâce à une meilleure gestion forestière</t>
  </si>
  <si>
    <t xml:space="preserve">TNC</t>
  </si>
  <si>
    <t xml:space="preserve">Sustainable forest management; Timber legality; Policy &amp; regulatory support; Capacity building</t>
  </si>
  <si>
    <t xml:space="preserve">Certification and legality</t>
  </si>
  <si>
    <t xml:space="preserve">https://mptf.undp.org/project/00132798</t>
  </si>
  <si>
    <t xml:space="preserve">0013319</t>
  </si>
  <si>
    <t xml:space="preserve">Coordination</t>
  </si>
  <si>
    <t xml:space="preserve">Renforcement des institutions de coordination et de mise en œuvre des programmes et politiques climatiques/ Coordination_CAFI 3</t>
  </si>
  <si>
    <t xml:space="preserve">Climate programme coordination</t>
  </si>
  <si>
    <t xml:space="preserve">https://mptf.undp.org/project/00133375</t>
  </si>
  <si>
    <t xml:space="preserve">00133386</t>
  </si>
  <si>
    <t xml:space="preserve">Protected Areas</t>
  </si>
  <si>
    <t xml:space="preserve">Safeguarding and Expanding Gabon's Protected Area Network / Protected Areas_CAFI 3</t>
  </si>
  <si>
    <t xml:space="preserve">Protected area network</t>
  </si>
  <si>
    <t xml:space="preserve">https://mptf.undp.org/project/00133386</t>
  </si>
  <si>
    <t xml:space="preserve">133560</t>
  </si>
  <si>
    <t xml:space="preserve">Certification and Legality (CAFI 3)</t>
  </si>
  <si>
    <t xml:space="preserve">Reducing Emissions Through Improved Forestry Management: Implementation of a National Scale Certification and Community Forestry Program in Gabon/ Forestry_CAFI 3_TNC</t>
  </si>
  <si>
    <t xml:space="preserve">Sustainable forest management; Timber legality; Local governance structures; Capacity building</t>
  </si>
  <si>
    <t xml:space="preserve">National certification and community forestry</t>
  </si>
  <si>
    <t xml:space="preserve">https://mptf.undp.org/project/00133560</t>
  </si>
  <si>
    <t xml:space="preserve">133561</t>
  </si>
  <si>
    <t xml:space="preserve">Research &amp; Monitoring</t>
  </si>
  <si>
    <t xml:space="preserve">Gabon Forest Ecosystem Research and Monitoring Program / CAFI 3_TNC</t>
  </si>
  <si>
    <t xml:space="preserve">MRV &amp; forest monitoring systems; Conservation &amp; forest monitoring; Capacity building</t>
  </si>
  <si>
    <t xml:space="preserve">Forest ecosystem research and monitoring</t>
  </si>
  <si>
    <t xml:space="preserve">https://mptf.undp.org/project/00133561</t>
  </si>
  <si>
    <t xml:space="preserve">00140885</t>
  </si>
  <si>
    <t xml:space="preserve">RDC</t>
  </si>
  <si>
    <t xml:space="preserve">Zero-deforestation smallholder agriculture in Kongo Central</t>
  </si>
  <si>
    <t xml:space="preserve">Agriculture sans déforestation de petites exploitations au Kongo Central</t>
  </si>
  <si>
    <t xml:space="preserve">OAF</t>
  </si>
  <si>
    <t xml:space="preserve">Food crops &amp; seed; Perennial crops &amp; agroforestry; Regeneration &amp; plantations; Capacity building; Livelihoods &amp; income</t>
  </si>
  <si>
    <t xml:space="preserve">Zero-deforestation smallholder agriculture</t>
  </si>
  <si>
    <t xml:space="preserve">https://mptf.undp.org/project/00140885</t>
  </si>
  <si>
    <t xml:space="preserve">00133419</t>
  </si>
  <si>
    <t xml:space="preserve">NDC support (not via FONAREDD) 2022-2023</t>
  </si>
  <si>
    <t xml:space="preserve">Projet d'appui pour la mise en oeuvre de la Contribution Déterminée (CDN) en République Démocratique du Congo / NDC_DRC</t>
  </si>
  <si>
    <t xml:space="preserve">Policy &amp; regulatory support; MRV &amp; forest monitoring systems</t>
  </si>
  <si>
    <t xml:space="preserve">NDC support</t>
  </si>
  <si>
    <t xml:space="preserve">https://mptf.undp.org/project/00133419</t>
  </si>
  <si>
    <t xml:space="preserve">00103702</t>
  </si>
  <si>
    <t xml:space="preserve">Disbursement to DRC National Fund REDD+ MPTF in accordance with the LOI and instructions from the CAFI Executive Board</t>
  </si>
  <si>
    <t xml:space="preserve">FONAREDD</t>
  </si>
  <si>
    <t xml:space="preserve">Support / direct cost (no results indicators)</t>
  </si>
  <si>
    <t xml:space="preserve">Pass-through to the DRC National REDD+ Fund – results reported by the FONAREDD projects</t>
  </si>
  <si>
    <t xml:space="preserve">https://mptf.undp.org/project/00103702</t>
  </si>
  <si>
    <t xml:space="preserve">00105662</t>
  </si>
  <si>
    <t xml:space="preserve">CAFI: Support the DRC National REDD+ Fund - Direct Cost</t>
  </si>
  <si>
    <t xml:space="preserve">Direct cost</t>
  </si>
  <si>
    <t xml:space="preserve">https://mptf.undp.org/project/00105662</t>
  </si>
  <si>
    <t xml:space="preserve">141057</t>
  </si>
  <si>
    <t xml:space="preserve">Regional</t>
  </si>
  <si>
    <t xml:space="preserve">reVive Central Africa</t>
  </si>
  <si>
    <t xml:space="preserve">IDH</t>
  </si>
  <si>
    <t xml:space="preserve">Private sector + PES</t>
  </si>
  <si>
    <t xml:space="preserve">PES scheme; Private investment; Perennial crops &amp; agroforestry; Deforestation-free supply chains</t>
  </si>
  <si>
    <t xml:space="preserve">Investment &amp; PES hub (PES call: private sector – IDH)</t>
  </si>
  <si>
    <t xml:space="preserve">https://mptf.undp.org/project/00141057</t>
  </si>
  <si>
    <t xml:space="preserve">00131425</t>
  </si>
  <si>
    <t xml:space="preserve">CPIC Conservation Initiative</t>
  </si>
  <si>
    <t xml:space="preserve">IUCN - CPIC Conservation Finance Initiative - scaling up and demonstrating the value of blended finance in conservation (Nature+ Accelerator Fund)</t>
  </si>
  <si>
    <t xml:space="preserve">IUCN</t>
  </si>
  <si>
    <t xml:space="preserve">Private investment; Conservation &amp; forest monitoring</t>
  </si>
  <si>
    <t xml:space="preserve">Blended conservation finance (Nature+ Accelerator)</t>
  </si>
  <si>
    <t xml:space="preserve">https://mptf.undp.org/project/00131425</t>
  </si>
  <si>
    <t xml:space="preserve">00133946</t>
  </si>
  <si>
    <t xml:space="preserve">Scaling-up Commercial investment</t>
  </si>
  <si>
    <t xml:space="preserve">UNCDF</t>
  </si>
  <si>
    <t xml:space="preserve">Closed – funds refunded</t>
  </si>
  <si>
    <t xml:space="preserve">https://mptf.undp.org/project/00133946</t>
  </si>
  <si>
    <t xml:space="preserve">00140783</t>
  </si>
  <si>
    <t xml:space="preserve">Scaling-up Commercial investment in Deforestation-Free Central African Commodity Supply Chains</t>
  </si>
  <si>
    <t xml:space="preserve">&amp;Green</t>
  </si>
  <si>
    <t xml:space="preserve">Private investment; Deforestation-free supply chains; Perennial crops &amp; agroforestry</t>
  </si>
  <si>
    <t xml:space="preserve">Deforestation-free commodity investment fund</t>
  </si>
  <si>
    <t xml:space="preserve">https://mptf.undp.org/project/00140783</t>
  </si>
  <si>
    <t xml:space="preserve">04000100 / 4115003</t>
  </si>
  <si>
    <t xml:space="preserve">PRO-CONGO: Catalytic Private Sector Investment in Congo Basin Natural Capital</t>
  </si>
  <si>
    <t xml:space="preserve">UNCDF &amp; UNEP</t>
  </si>
  <si>
    <t xml:space="preserve">Catalytic private investment</t>
  </si>
  <si>
    <t xml:space="preserve">https://mptf.undp.org/project/00141114</t>
  </si>
  <si>
    <t xml:space="preserve">00141415</t>
  </si>
  <si>
    <t xml:space="preserve">Canopy Trust Project</t>
  </si>
  <si>
    <t xml:space="preserve">Catalytic</t>
  </si>
  <si>
    <t xml:space="preserve">Conservation trust fund</t>
  </si>
  <si>
    <t xml:space="preserve">https://mptf.undp.org/project/00141415</t>
  </si>
  <si>
    <t xml:space="preserve">00123542</t>
  </si>
  <si>
    <t xml:space="preserve">Regional Study on Deforestation</t>
  </si>
  <si>
    <t xml:space="preserve">Assessment of deforestation and forest degradation and related direct drivers using SEPAL</t>
  </si>
  <si>
    <t xml:space="preserve">MRV &amp; forest monitoring systems; Capacity building</t>
  </si>
  <si>
    <t xml:space="preserve">Regional deforestation drivers assessment (SEPAL)</t>
  </si>
  <si>
    <t xml:space="preserve">https://mptf.undp.org/project/00123542</t>
  </si>
  <si>
    <t xml:space="preserve">140486</t>
  </si>
  <si>
    <t xml:space="preserve">Regional Technical Assistance Facility</t>
  </si>
  <si>
    <t xml:space="preserve">UNOPS</t>
  </si>
  <si>
    <t xml:space="preserve">Capacity building; Policy &amp; regulatory support; Institutional coordination</t>
  </si>
  <si>
    <t xml:space="preserve">Regional technical assistance facility</t>
  </si>
  <si>
    <t xml:space="preserve">https://mptf.undp.org/project/00140486</t>
  </si>
  <si>
    <t xml:space="preserve">00141031</t>
  </si>
  <si>
    <t xml:space="preserve">Building a South-South cooperation initiative on payments for environmental services</t>
  </si>
  <si>
    <t xml:space="preserve">Capacity building; Policy &amp; regulatory support</t>
  </si>
  <si>
    <t xml:space="preserve">South-South PES knowledge exchange (no PES scheme operated)</t>
  </si>
  <si>
    <t xml:space="preserve">https://mptf.undp.org/project/00141031</t>
  </si>
  <si>
    <t xml:space="preserve">00131426</t>
  </si>
  <si>
    <t xml:space="preserve">Innovative Agriculture \ (preparatory grant)</t>
  </si>
  <si>
    <t xml:space="preserve">One Acre Fund</t>
  </si>
  <si>
    <t xml:space="preserve">Food crops &amp; seed; Capacity building</t>
  </si>
  <si>
    <t xml:space="preserve">Innovative agriculture preparatory grant</t>
  </si>
  <si>
    <t xml:space="preserve">https://mptf.undp.org/project/00131426</t>
  </si>
  <si>
    <t xml:space="preserve">00131427</t>
  </si>
  <si>
    <t xml:space="preserve">Innovative Agriculture (preparatory grant)- closed in 2023</t>
  </si>
  <si>
    <t xml:space="preserve">Farm Africa</t>
  </si>
  <si>
    <t xml:space="preserve">https://mptf.undp.org/project/00131427</t>
  </si>
  <si>
    <t xml:space="preserve">00141054</t>
  </si>
  <si>
    <t xml:space="preserve">Preparatory Grant - Shaping deforestation-free agricultural value chains in the Congo Basin region</t>
  </si>
  <si>
    <t xml:space="preserve">CFC</t>
  </si>
  <si>
    <t xml:space="preserve">Deforestation-free supply chains; Perennial crops &amp; agroforestry; PES scheme</t>
  </si>
  <si>
    <t xml:space="preserve">PROBAK preparation (CFC/FRMi) – confirm PES component</t>
  </si>
  <si>
    <t xml:space="preserve">https://mptf.undp.org/project/00141054</t>
  </si>
  <si>
    <t xml:space="preserve">00141098</t>
  </si>
  <si>
    <t xml:space="preserve">HIFOR Preparatory Grant</t>
  </si>
  <si>
    <t xml:space="preserve">Conservation &amp; forest monitoring; MRV &amp; forest monitoring systems; Private investment</t>
  </si>
  <si>
    <t xml:space="preserve">HIFOR site identification</t>
  </si>
  <si>
    <t xml:space="preserve">https://mptf.undp.org/project/00141098</t>
  </si>
  <si>
    <t xml:space="preserve">0097460</t>
  </si>
  <si>
    <t xml:space="preserve">CAFI: Direct Cost - Technical</t>
  </si>
  <si>
    <t xml:space="preserve">CAFI Secretariat direct cost</t>
  </si>
  <si>
    <t xml:space="preserve">https://mptf.undp.org/project/0097460</t>
  </si>
  <si>
    <t xml:space="preserve">00130492</t>
  </si>
  <si>
    <t xml:space="preserve">Republic of Congo</t>
  </si>
  <si>
    <t xml:space="preserve">Sustainable Wood Energy Plantations</t>
  </si>
  <si>
    <t xml:space="preserve">Projet de renforcement du potentiel en bois energie durable en République du Congo - PROREP Bois-Energie</t>
  </si>
  <si>
    <t xml:space="preserve">Regeneration &amp; plantations; Livelihoods &amp; income; Capacity building</t>
  </si>
  <si>
    <t xml:space="preserve">Wood-energy plantations</t>
  </si>
  <si>
    <t xml:space="preserve">https://mptf.undp.org/project/00130492</t>
  </si>
  <si>
    <t xml:space="preserve">00140280</t>
  </si>
  <si>
    <t xml:space="preserve">Sustainable Land Use Investment</t>
  </si>
  <si>
    <t xml:space="preserve">Programme d'Investissements du Programme d'utilisation durable des terres (en sigle Kopekoba)</t>
  </si>
  <si>
    <t xml:space="preserve">Land-use planning; Local governance structures; Food crops &amp; seed; Perennial crops &amp; agroforestry; Regeneration &amp; plantations; Conservation &amp; forest monitoring; Rural infrastructure; Livelihoods &amp; income; Capacity building</t>
  </si>
  <si>
    <t xml:space="preserve">PUDT investment programme (Kopekoba) – check whether it uses PES contracts</t>
  </si>
  <si>
    <t xml:space="preserve">https://mptf.undp.org/project/00140280</t>
  </si>
  <si>
    <t xml:space="preserve">140442</t>
  </si>
  <si>
    <t xml:space="preserve">Improved Cookstoves</t>
  </si>
  <si>
    <t xml:space="preserve">Lituka – Projet de lutte contre la déforestation par la diffusion de foyers améliorés à Brazzaville et Pointe-Noire</t>
  </si>
  <si>
    <t xml:space="preserve">ID</t>
  </si>
  <si>
    <t xml:space="preserve">Clean cooking; Private investment; Livelihoods &amp; income</t>
  </si>
  <si>
    <t xml:space="preserve">Market-based improved cookstove dissemination</t>
  </si>
  <si>
    <t xml:space="preserve">https://mptf.undp.org/project/00140442</t>
  </si>
  <si>
    <t xml:space="preserve">00129333</t>
  </si>
  <si>
    <t xml:space="preserve">Operationalization of the National MRV System</t>
  </si>
  <si>
    <t xml:space="preserve">Opérationnalisation du Système national de mesure de notification et de vérification (SYNA-MNV) de la République du Congo</t>
  </si>
  <si>
    <t xml:space="preserve">National MRV system</t>
  </si>
  <si>
    <t xml:space="preserve">https://mptf.undp.org/project/00129333</t>
  </si>
  <si>
    <t xml:space="preserve">00129481</t>
  </si>
  <si>
    <t xml:space="preserve">Projet d'Appui à la Coordination (PAC) de la mise en oeuvre de la Lettre d'intention</t>
  </si>
  <si>
    <t xml:space="preserve">LOI coordination</t>
  </si>
  <si>
    <t xml:space="preserve">https://mptf.undp.org/project/00129481</t>
  </si>
  <si>
    <t xml:space="preserve">00134411</t>
  </si>
  <si>
    <t xml:space="preserve">Sustainable Land Use Planning Governance</t>
  </si>
  <si>
    <t xml:space="preserve">PUDT de la République du Congo</t>
  </si>
  <si>
    <t xml:space="preserve">Land-use planning; Land tenure; Local governance structures; Policy &amp; regulatory support; Capacity building</t>
  </si>
  <si>
    <t xml:space="preserve">PUDT land-use governance</t>
  </si>
  <si>
    <t xml:space="preserve">https://mptf.undp.org/project/00134411</t>
  </si>
  <si>
    <t xml:space="preserve">00102120</t>
  </si>
  <si>
    <t xml:space="preserve">Preparatory grant to Prepare NIF</t>
  </si>
  <si>
    <t xml:space="preserve">CONGO/World Bank (TF071553): CAFI Preparatory Funding</t>
  </si>
  <si>
    <t xml:space="preserve">https://mptf.undp.org/project/00102120</t>
  </si>
  <si>
    <t xml:space="preserve">00116876</t>
  </si>
  <si>
    <t xml:space="preserve">Preparatory grant for GCF Proposal</t>
  </si>
  <si>
    <t xml:space="preserve">Preparatory grant</t>
  </si>
  <si>
    <t xml:space="preserve">GCF proposal preparation</t>
  </si>
  <si>
    <t xml:space="preserve">https://mptf.undp.org/project/00116876</t>
  </si>
  <si>
    <t xml:space="preserve">00103850</t>
  </si>
  <si>
    <t xml:space="preserve">PIREDD Mai-Ndombe</t>
  </si>
  <si>
    <t xml:space="preserve">Programme Integre REDD+ du Mai-Ndombe (PIREDD Mai-Ndombe)/ World Bank (TF071553)</t>
  </si>
  <si>
    <t xml:space="preserve">Local governance structures; Land-use planning; Land tenure; Food crops &amp; seed; Perennial crops &amp; agroforestry; Regeneration &amp; plantations; Sustainable forest management; Conservation &amp; forest monitoring; Rural infrastructure; Livelihoods &amp; income; Capacity building; PES scheme</t>
  </si>
  <si>
    <t xml:space="preserve">PIREDD</t>
  </si>
  <si>
    <t xml:space="preserve">https://mptf.undp.org/project/00103850</t>
  </si>
  <si>
    <t xml:space="preserve">00105031</t>
  </si>
  <si>
    <t xml:space="preserve">Programme Integre REDD+ du Sud</t>
  </si>
  <si>
    <t xml:space="preserve">https://mptf.undp.org/project/00105031</t>
  </si>
  <si>
    <t xml:space="preserve">00107819</t>
  </si>
  <si>
    <t xml:space="preserve">PIREDD Oriental</t>
  </si>
  <si>
    <t xml:space="preserve">Programme Integre Oriental (Ituri Tshop et Bas-Uele)</t>
  </si>
  <si>
    <t xml:space="preserve">https://mptf.undp.org/project/00107819</t>
  </si>
  <si>
    <t xml:space="preserve">00113547</t>
  </si>
  <si>
    <t xml:space="preserve">PIREDD Kwilu</t>
  </si>
  <si>
    <t xml:space="preserve">Piredd Kwilu</t>
  </si>
  <si>
    <t xml:space="preserve">JICA</t>
  </si>
  <si>
    <t xml:space="preserve">https://mptf.undp.org/project/00113547</t>
  </si>
  <si>
    <t xml:space="preserve">00117080</t>
  </si>
  <si>
    <t xml:space="preserve">PI REDD Mongala</t>
  </si>
  <si>
    <t xml:space="preserve">Enabel</t>
  </si>
  <si>
    <t xml:space="preserve">https://mptf.undp.org/project/00117080</t>
  </si>
  <si>
    <t xml:space="preserve">00117600</t>
  </si>
  <si>
    <t xml:space="preserve">PIREDD Equateur</t>
  </si>
  <si>
    <t xml:space="preserve">https://mptf.undp.org/project/00117600</t>
  </si>
  <si>
    <t xml:space="preserve">00012955</t>
  </si>
  <si>
    <t xml:space="preserve">PSFD</t>
  </si>
  <si>
    <t xml:space="preserve">Programme d'appui à la mise en valeur durable des Savanes et des Forêts Dégradées (PSFD)</t>
  </si>
  <si>
    <t xml:space="preserve">Food crops &amp; seed; Perennial crops &amp; agroforestry; Regeneration &amp; plantations; Local governance structures; Land-use planning; Livelihoods &amp; income; Capacity building; PES scheme</t>
  </si>
  <si>
    <t xml:space="preserve">Savannas and degraded forests – confirm PES component</t>
  </si>
  <si>
    <t xml:space="preserve">https://mptf.undp.org/project/00120055</t>
  </si>
  <si>
    <t xml:space="preserve">126783</t>
  </si>
  <si>
    <t xml:space="preserve">PIREDD Maniema</t>
  </si>
  <si>
    <t xml:space="preserve">PIREDD Maniema - Programme Intégré REDD+ dans la province du Maniema République Démocratique du Congo</t>
  </si>
  <si>
    <t xml:space="preserve">https://mptf.undp.org/project/00126783</t>
  </si>
  <si>
    <t xml:space="preserve">00140679</t>
  </si>
  <si>
    <t xml:space="preserve">PIREDD Plateau</t>
  </si>
  <si>
    <t xml:space="preserve">PIREDD/Plateau UNOPS</t>
  </si>
  <si>
    <t xml:space="preserve">https://mptf.undp.org/project/00140679</t>
  </si>
  <si>
    <t xml:space="preserve">00140884</t>
  </si>
  <si>
    <t xml:space="preserve">PIREDD Kasaï Oriental et Lomami (KORLOM)</t>
  </si>
  <si>
    <t xml:space="preserve">https://mptf.undp.org/project/00140884</t>
  </si>
  <si>
    <t xml:space="preserve">00141419</t>
  </si>
  <si>
    <t xml:space="preserve">PIREDD Sud Ubangui</t>
  </si>
  <si>
    <t xml:space="preserve">PIREDD SUD UBANGI</t>
  </si>
  <si>
    <t xml:space="preserve">https://mptf.undp.org/project/00141419</t>
  </si>
  <si>
    <t xml:space="preserve">00120366</t>
  </si>
  <si>
    <t xml:space="preserve">Programme de Gestion Durable des Forets(PGDF)</t>
  </si>
  <si>
    <t xml:space="preserve">Programme de Gestion Durable des Forêts (PGDF)</t>
  </si>
  <si>
    <t xml:space="preserve">Sustainable forest management; Timber legality; Local governance structures; Policy &amp; regulatory support; Capacity building</t>
  </si>
  <si>
    <t xml:space="preserve">https://mptf.undp.org/project/00123066</t>
  </si>
  <si>
    <t xml:space="preserve">00140811</t>
  </si>
  <si>
    <t xml:space="preserve">Projet d'Appui à l'Agriculture Familiale Durable (PAAD)</t>
  </si>
  <si>
    <t xml:space="preserve">Food crops &amp; seed; Perennial crops &amp; agroforestry; Capacity building; Livelihoods &amp; income</t>
  </si>
  <si>
    <t xml:space="preserve">Sustainable family agriculture</t>
  </si>
  <si>
    <t xml:space="preserve">https://mptf.undp.org/project/00140811</t>
  </si>
  <si>
    <t xml:space="preserve">141182</t>
  </si>
  <si>
    <t xml:space="preserve">Agriculture Paysanne en Savanne dans le Kongo Central</t>
  </si>
  <si>
    <t xml:space="preserve">Savannah smallholder agriculture</t>
  </si>
  <si>
    <t xml:space="preserve">https://mptf.undp.org/project/00141182</t>
  </si>
  <si>
    <t xml:space="preserve">00113546</t>
  </si>
  <si>
    <t xml:space="preserve">UNCDF &amp; UNDP</t>
  </si>
  <si>
    <t xml:space="preserve">Clean cooking; Private investment; Policy &amp; regulatory support</t>
  </si>
  <si>
    <t xml:space="preserve">Sustainable energy / clean cooking market</t>
  </si>
  <si>
    <t xml:space="preserve">https://mptf.undp.org/project/00113546</t>
  </si>
  <si>
    <t xml:space="preserve">00141417</t>
  </si>
  <si>
    <t xml:space="preserve">ENERGIE DURABLE II</t>
  </si>
  <si>
    <t xml:space="preserve">Clean cooking; Private investment</t>
  </si>
  <si>
    <t xml:space="preserve">https://mptf.undp.org/project/00141417</t>
  </si>
  <si>
    <t xml:space="preserve">00103789</t>
  </si>
  <si>
    <t xml:space="preserve">Finalisation et mise en oeuvre du systeme national de surveillance des Forets (SNSF)</t>
  </si>
  <si>
    <t xml:space="preserve">National forest monitoring system (SNSF)</t>
  </si>
  <si>
    <t xml:space="preserve">https://mptf.undp.org/project/00103789</t>
  </si>
  <si>
    <t xml:space="preserve">00103801</t>
  </si>
  <si>
    <t xml:space="preserve">Programme d'appui a la Societe Civile</t>
  </si>
  <si>
    <t xml:space="preserve">Civil society oversight; Capacity building; Awareness &amp; inclusion</t>
  </si>
  <si>
    <t xml:space="preserve">Civil society support</t>
  </si>
  <si>
    <t xml:space="preserve">https://mptf.undp.org/project/00103801</t>
  </si>
  <si>
    <t xml:space="preserve">00103851</t>
  </si>
  <si>
    <t xml:space="preserve">Peuples Autochtones</t>
  </si>
  <si>
    <t xml:space="preserve">Promouvoir la gestion durable des forets par le renforcement des droits des Peuples Autochtones et de leur participation a REDD+ / World Bank (TF071553)</t>
  </si>
  <si>
    <t xml:space="preserve">Land tenure; Local governance structures; Capacity building; Awareness &amp; inclusion</t>
  </si>
  <si>
    <t xml:space="preserve">Indigenous peoples rights and participation</t>
  </si>
  <si>
    <t xml:space="preserve">https://mptf.undp.org/project/00103851</t>
  </si>
  <si>
    <t xml:space="preserve">00105282</t>
  </si>
  <si>
    <t xml:space="preserve">Appui a la reforme de l'amenagement du territoire</t>
  </si>
  <si>
    <t xml:space="preserve">Land-use planning; Policy &amp; regulatory support; Capacity building</t>
  </si>
  <si>
    <t xml:space="preserve">Land-use planning reform</t>
  </si>
  <si>
    <t xml:space="preserve">https://mptf.undp.org/project/00105282</t>
  </si>
  <si>
    <t xml:space="preserve">00105381</t>
  </si>
  <si>
    <t xml:space="preserve">Programme d'appui a la reforme fonciere</t>
  </si>
  <si>
    <t xml:space="preserve">Programme d'appui a la reforme fonciere (ONU-HABITAT)</t>
  </si>
  <si>
    <t xml:space="preserve">UN-HABITAT</t>
  </si>
  <si>
    <t xml:space="preserve">Land tenure; Policy &amp; regulatory support; Capacity building</t>
  </si>
  <si>
    <t xml:space="preserve">Land tenure reform</t>
  </si>
  <si>
    <t xml:space="preserve">https://mptf.undp.org/project/00105381</t>
  </si>
  <si>
    <t xml:space="preserve">00115700</t>
  </si>
  <si>
    <t xml:space="preserve">Programme d-Appui a la Gestion</t>
  </si>
  <si>
    <t xml:space="preserve">Programme d'Appui a la Gestion</t>
  </si>
  <si>
    <t xml:space="preserve">Low</t>
  </si>
  <si>
    <t xml:space="preserve">Management support programme – confirm scope</t>
  </si>
  <si>
    <t xml:space="preserve">https://mptf.undp.org/project/00115700</t>
  </si>
  <si>
    <t xml:space="preserve">00116875</t>
  </si>
  <si>
    <t xml:space="preserve">Planning Familial</t>
  </si>
  <si>
    <t xml:space="preserve">Programme d'Appui à la Mise en Œuvre du Plan Stratégique National à Vision Multisectorielle de Planning Familial</t>
  </si>
  <si>
    <t xml:space="preserve">UNFPA &amp; UNOPS</t>
  </si>
  <si>
    <t xml:space="preserve">Family planning; Awareness &amp; inclusion; Capacity building</t>
  </si>
  <si>
    <t xml:space="preserve">https://mptf.undp.org/project/00116875</t>
  </si>
  <si>
    <t xml:space="preserve">1000/32QXB-F UNCHSTC</t>
  </si>
  <si>
    <t xml:space="preserve">PARFII</t>
  </si>
  <si>
    <t xml:space="preserve">Land tenure; Policy &amp; regulatory support; Local governance structures; Capacity building</t>
  </si>
  <si>
    <t xml:space="preserve">Land tenure reform phase 2</t>
  </si>
  <si>
    <t xml:space="preserve">https://mptf.undp.org/project/00140631</t>
  </si>
  <si>
    <t xml:space="preserve">00141041</t>
  </si>
  <si>
    <t xml:space="preserve">Programmes d'Appui à l'Atteinte des Jalons</t>
  </si>
  <si>
    <t xml:space="preserve">Policy &amp; regulatory support; Institutional coordination; Capacity building; Land-use planning; Land tenure; MRV &amp; forest monitoring systems</t>
  </si>
  <si>
    <t xml:space="preserve">LOI milestones</t>
  </si>
  <si>
    <t xml:space="preserve">https://mptf.undp.org/project/00141041</t>
  </si>
  <si>
    <t xml:space="preserve">PROJET Appui accès marché carbone</t>
  </si>
  <si>
    <t xml:space="preserve">PROJET APPUI ACCES MARCHE CARBONE</t>
  </si>
  <si>
    <t xml:space="preserve">Policy &amp; regulatory support; MRV &amp; forest monitoring systems; Capacity building</t>
  </si>
  <si>
    <t xml:space="preserve">Carbon market access</t>
  </si>
  <si>
    <t xml:space="preserve">https://mptf.undp.org/project/00141061</t>
  </si>
  <si>
    <t xml:space="preserve">00141120</t>
  </si>
  <si>
    <t xml:space="preserve">PROMIS II</t>
  </si>
  <si>
    <t xml:space="preserve">https://mptf.undp.org/project/00141120</t>
  </si>
  <si>
    <t xml:space="preserve">00141161</t>
  </si>
  <si>
    <t xml:space="preserve">PRSS - INFRASTRUCTURES</t>
  </si>
  <si>
    <t xml:space="preserve">Rural infrastructure; Family planning</t>
  </si>
  <si>
    <t xml:space="preserve">Infrastructure – confirm scope</t>
  </si>
  <si>
    <t xml:space="preserve">https://mptf.undp.org/project/00141161</t>
  </si>
  <si>
    <t xml:space="preserve">Projet ID : 00141162</t>
  </si>
  <si>
    <t xml:space="preserve">Projet Normes (DISMII)</t>
  </si>
  <si>
    <t xml:space="preserve">Extractive sector; Policy &amp; regulatory support; Capacity building</t>
  </si>
  <si>
    <t xml:space="preserve">Environmental and social standards in extractives</t>
  </si>
  <si>
    <t xml:space="preserve">https://mptf.undp.org/project/00141162</t>
  </si>
  <si>
    <t xml:space="preserve">00141166</t>
  </si>
  <si>
    <t xml:space="preserve">Projet d'Appui de la société civile II</t>
  </si>
  <si>
    <t xml:space="preserve">CIFOR</t>
  </si>
  <si>
    <t xml:space="preserve">https://mptf.undp.org/project/00141166</t>
  </si>
  <si>
    <t xml:space="preserve">00141042</t>
  </si>
  <si>
    <t xml:space="preserve">Projet d'Appui aux Entités Nationales - Don de préparation</t>
  </si>
  <si>
    <t xml:space="preserve">National entities preparation</t>
  </si>
  <si>
    <t xml:space="preserve">https://mptf.undp.org/project/00141042</t>
  </si>
  <si>
    <t xml:space="preserve">00105042</t>
  </si>
  <si>
    <t xml:space="preserve">DRC National Fund: Direct Cost</t>
  </si>
  <si>
    <t xml:space="preserve">FONAREDD direct cost</t>
  </si>
  <si>
    <t xml:space="preserve">https://mptf.undp.org/project/00105042</t>
  </si>
  <si>
    <t xml:space="preserve">00117920</t>
  </si>
  <si>
    <t xml:space="preserve">Secretariat Programme</t>
  </si>
  <si>
    <t xml:space="preserve">FONAREDD Secretariat</t>
  </si>
  <si>
    <t xml:space="preserve">https://mptf.undp.org/project/00117920</t>
  </si>
  <si>
    <t xml:space="preserve">00141104</t>
  </si>
  <si>
    <t xml:space="preserve">Cout Direct 2 SE FONAREDD</t>
  </si>
  <si>
    <t xml:space="preserve">https://mptf.undp.org/project/00141104</t>
  </si>
  <si>
    <t xml:space="preserve">Project ↔ standard indicator (bridge table) – which indicators each project must report</t>
  </si>
  <si>
    <t xml:space="preserve">Mandatory = required by the project type (03_Indicators Applies_* = M). Required (activity) = T1/T2 indicator triggered by a project activity. Optional = T3 indicator triggered by an activity. Hub rows = existing 05_Results rows mapped to this indicator (see 10_Map_HubIndicators).</t>
  </si>
  <si>
    <t xml:space="preserve">Requirement</t>
  </si>
  <si>
    <t xml:space="preserve">Basis</t>
  </si>
  <si>
    <t xml:space="preserve">HubRowsDirect</t>
  </si>
  <si>
    <t xml:space="preserve">HubRowsPartial</t>
  </si>
  <si>
    <t xml:space="preserve">ReportingStatus</t>
  </si>
  <si>
    <t xml:space="preserve">Required (activity)</t>
  </si>
  <si>
    <t xml:space="preserve">Activity: Policy &amp; regulatory support</t>
  </si>
  <si>
    <t xml:space="preserve">Closed – historical data only</t>
  </si>
  <si>
    <t xml:space="preserve">Activity: Land-use planning</t>
  </si>
  <si>
    <t xml:space="preserve">Activity: Capacity building</t>
  </si>
  <si>
    <t xml:space="preserve">Not yet reported</t>
  </si>
  <si>
    <t xml:space="preserve">Type: AFOLU / integrated</t>
  </si>
  <si>
    <t xml:space="preserve">Activity: Local governance structures</t>
  </si>
  <si>
    <t xml:space="preserve">Activity: Regeneration &amp; plantations</t>
  </si>
  <si>
    <t xml:space="preserve">Activity: Conservation &amp; forest monitoring</t>
  </si>
  <si>
    <t xml:space="preserve">Type: AFOLU / integrated / PES</t>
  </si>
  <si>
    <t xml:space="preserve">Type: PES</t>
  </si>
  <si>
    <t xml:space="preserve">Activity: Land tenure</t>
  </si>
  <si>
    <t xml:space="preserve">Activity: Land-use planning; Land tenure</t>
  </si>
  <si>
    <t xml:space="preserve">Activity: Food crops &amp; seed</t>
  </si>
  <si>
    <t xml:space="preserve">Activity: Perennial crops &amp; agroforestry</t>
  </si>
  <si>
    <t xml:space="preserve">Activity: Livelihoods &amp; income</t>
  </si>
  <si>
    <t xml:space="preserve">Type: Private sector</t>
  </si>
  <si>
    <t xml:space="preserve">Activity: Deforestation-free supply chains</t>
  </si>
  <si>
    <t xml:space="preserve">Type: Enabling</t>
  </si>
  <si>
    <t xml:space="preserve">Activity: Institutional coordination</t>
  </si>
  <si>
    <t xml:space="preserve">Activity: Institutional coordination; Policy &amp; regulatory support</t>
  </si>
  <si>
    <t xml:space="preserve">Possibly reported – check</t>
  </si>
  <si>
    <t xml:space="preserve">Reported in Hub</t>
  </si>
  <si>
    <t xml:space="preserve">Activity: Private investment</t>
  </si>
  <si>
    <t xml:space="preserve">Activity: PES scheme</t>
  </si>
  <si>
    <t xml:space="preserve">Activity: Awareness &amp; inclusion</t>
  </si>
  <si>
    <t xml:space="preserve">Activity: Human–wildlife conflict</t>
  </si>
  <si>
    <t xml:space="preserve">Activity: MRV &amp; forest monitoring systems</t>
  </si>
  <si>
    <t xml:space="preserve">Activity: Sustainable forest management</t>
  </si>
  <si>
    <t xml:space="preserve">Activity: Timber legality</t>
  </si>
  <si>
    <t xml:space="preserve">Activity: MRV &amp; forest monitoring systems; Conservation &amp; forest monitoring</t>
  </si>
  <si>
    <t xml:space="preserve">Type: Private sector / PES</t>
  </si>
  <si>
    <t xml:space="preserve">Activity: Policy &amp; regulatory support; Institutional coordination</t>
  </si>
  <si>
    <t xml:space="preserve">Activity: Conservation &amp; forest monitoring; MRV &amp; forest monitoring systems</t>
  </si>
  <si>
    <t xml:space="preserve">Activity: Rural infrastructure</t>
  </si>
  <si>
    <t xml:space="preserve">Activity: Clean cooking</t>
  </si>
  <si>
    <t xml:space="preserve">Activity: Civil society oversight; Capacity building</t>
  </si>
  <si>
    <t xml:space="preserve">Activity: Civil society oversight</t>
  </si>
  <si>
    <t xml:space="preserve">Activity: Family planning</t>
  </si>
  <si>
    <t xml:space="preserve">Activity: Extractive sector</t>
  </si>
  <si>
    <t xml:space="preserve">Project × indicator matrix (M = mandatory by type, R = required by activity, o = optional) – green = data already in the Metrics Hub, yellow = possibly</t>
  </si>
  <si>
    <t xml:space="preserve">Type</t>
  </si>
  <si>
    <t xml:space="preserve">PREP</t>
  </si>
  <si>
    <t xml:space="preserve">R</t>
  </si>
  <si>
    <t xml:space="preserve">o</t>
  </si>
  <si>
    <t xml:space="preserve">AFOLU;PES</t>
  </si>
  <si>
    <t xml:space="preserve">PRV</t>
  </si>
  <si>
    <t xml:space="preserve">ENB</t>
  </si>
  <si>
    <t xml:space="preserve">AFOLU</t>
  </si>
  <si>
    <t xml:space="preserve">PRV;PES</t>
  </si>
  <si>
    <t xml:space="preserve">Projects per indicator (M + R)</t>
  </si>
</sst>
</file>

<file path=xl/styles.xml><?xml version="1.0" encoding="utf-8"?>
<styleSheet xmlns="http://schemas.openxmlformats.org/spreadsheetml/2006/main">
  <numFmts count="4">
    <numFmt numFmtId="164" formatCode="General"/>
    <numFmt numFmtId="165" formatCode="#,##0"/>
    <numFmt numFmtId="166" formatCode="dd\-mmm\-yyyy"/>
    <numFmt numFmtId="167" formatCode="General"/>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2"/>
      <name val="Arial"/>
      <family val="0"/>
      <charset val="1"/>
    </font>
    <font>
      <b val="true"/>
      <sz val="10"/>
      <color rgb="FFFFFFFF"/>
      <name val="Arial"/>
      <family val="0"/>
      <charset val="1"/>
    </font>
    <font>
      <i val="true"/>
      <sz val="10"/>
      <color rgb="FF595959"/>
      <name val="Arial"/>
      <family val="0"/>
      <charset val="1"/>
    </font>
    <font>
      <u val="single"/>
      <sz val="10"/>
      <color rgb="FF0563C1"/>
      <name val="Arial"/>
      <family val="0"/>
      <charset val="1"/>
    </font>
    <font>
      <sz val="7"/>
      <name val="Arial"/>
      <family val="0"/>
      <charset val="1"/>
    </font>
    <font>
      <b val="true"/>
      <sz val="9"/>
      <color rgb="FFFFFFFF"/>
      <name val="Arial"/>
      <family val="0"/>
      <charset val="1"/>
    </font>
    <font>
      <sz val="8"/>
      <name val="Arial"/>
      <family val="0"/>
      <charset val="1"/>
    </font>
    <font>
      <b val="true"/>
      <sz val="8"/>
      <name val="Arial"/>
      <family val="0"/>
      <charset val="1"/>
    </font>
  </fonts>
  <fills count="14">
    <fill>
      <patternFill patternType="none"/>
    </fill>
    <fill>
      <patternFill patternType="gray125"/>
    </fill>
    <fill>
      <patternFill patternType="solid">
        <fgColor rgb="FF1F4E5A"/>
        <bgColor rgb="FF054442"/>
      </patternFill>
    </fill>
    <fill>
      <patternFill patternType="solid">
        <fgColor rgb="FF068290"/>
        <bgColor rgb="FF0D6ABF"/>
      </patternFill>
    </fill>
    <fill>
      <patternFill patternType="solid">
        <fgColor rgb="FF04BFBF"/>
        <bgColor rgb="FF33CCCC"/>
      </patternFill>
    </fill>
    <fill>
      <patternFill patternType="solid">
        <fgColor rgb="FF0D6ABF"/>
        <bgColor rgb="FF0563C1"/>
      </patternFill>
    </fill>
    <fill>
      <patternFill patternType="solid">
        <fgColor rgb="FF054442"/>
        <bgColor rgb="FF1F4E5A"/>
      </patternFill>
    </fill>
    <fill>
      <patternFill patternType="solid">
        <fgColor rgb="FF7FB069"/>
        <bgColor rgb="FF808080"/>
      </patternFill>
    </fill>
    <fill>
      <patternFill patternType="solid">
        <fgColor rgb="FFE1A100"/>
        <bgColor rgb="FFF28C28"/>
      </patternFill>
    </fill>
    <fill>
      <patternFill patternType="solid">
        <fgColor rgb="FF36003E"/>
        <bgColor rgb="FF000000"/>
      </patternFill>
    </fill>
    <fill>
      <patternFill patternType="solid">
        <fgColor rgb="FFC2185B"/>
        <bgColor rgb="FF993366"/>
      </patternFill>
    </fill>
    <fill>
      <patternFill patternType="solid">
        <fgColor rgb="FFF28C28"/>
        <bgColor rgb="FFE1A100"/>
      </patternFill>
    </fill>
    <fill>
      <patternFill patternType="solid">
        <fgColor rgb="FFFFE599"/>
        <bgColor rgb="FFFFF2CC"/>
      </patternFill>
    </fill>
    <fill>
      <patternFill patternType="solid">
        <fgColor rgb="FFB6D7A8"/>
        <bgColor rgb="FFD9EAD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xf numFmtId="164" fontId="5" fillId="6" borderId="0" xfId="0" applyFont="true" applyBorder="false" applyAlignment="true" applyProtection="false">
      <alignment horizontal="general" vertical="top" textRotation="0" wrapText="true" indent="0" shrinkToFit="false"/>
      <protection locked="true" hidden="false"/>
    </xf>
    <xf numFmtId="164" fontId="5" fillId="7" borderId="0" xfId="0" applyFont="true" applyBorder="false" applyAlignment="true" applyProtection="false">
      <alignment horizontal="general" vertical="top" textRotation="0" wrapText="true" indent="0" shrinkToFit="false"/>
      <protection locked="true" hidden="false"/>
    </xf>
    <xf numFmtId="164" fontId="5" fillId="8" borderId="0" xfId="0" applyFont="true" applyBorder="false" applyAlignment="true" applyProtection="false">
      <alignment horizontal="general" vertical="top" textRotation="0" wrapText="true" indent="0" shrinkToFit="false"/>
      <protection locked="true" hidden="false"/>
    </xf>
    <xf numFmtId="164" fontId="5" fillId="9" borderId="0" xfId="0" applyFont="true" applyBorder="false" applyAlignment="true" applyProtection="false">
      <alignment horizontal="general" vertical="top" textRotation="0" wrapText="true" indent="0" shrinkToFit="false"/>
      <protection locked="true" hidden="false"/>
    </xf>
    <xf numFmtId="164" fontId="5" fillId="10" borderId="0" xfId="0" applyFont="true" applyBorder="false" applyAlignment="true" applyProtection="false">
      <alignment horizontal="general" vertical="top" textRotation="0" wrapText="true" indent="0" shrinkToFit="false"/>
      <protection locked="true" hidden="false"/>
    </xf>
    <xf numFmtId="164" fontId="5" fillId="11"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64" fontId="8" fillId="5" borderId="0" xfId="0" applyFont="true" applyBorder="fals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8" fillId="7"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general" vertical="top" textRotation="0" wrapText="true" indent="0" shrinkToFit="false"/>
      <protection locked="true" hidden="false"/>
    </xf>
    <xf numFmtId="164" fontId="8" fillId="9" borderId="0" xfId="0" applyFont="true" applyBorder="false" applyAlignment="true" applyProtection="false">
      <alignment horizontal="general" vertical="top" textRotation="0" wrapText="true" indent="0" shrinkToFit="false"/>
      <protection locked="true" hidden="false"/>
    </xf>
    <xf numFmtId="164" fontId="8" fillId="10" borderId="0" xfId="0" applyFont="true" applyBorder="false" applyAlignment="true" applyProtection="false">
      <alignment horizontal="general" vertical="top" textRotation="0" wrapText="true" indent="0" shrinkToFit="false"/>
      <protection locked="true" hidden="false"/>
    </xf>
    <xf numFmtId="164" fontId="8" fillId="11"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right" vertical="bottom" textRotation="90" wrapText="tru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center" vertical="bottom" textRotation="90" wrapText="false" indent="0" shrinkToFit="false"/>
      <protection locked="true" hidden="false"/>
    </xf>
    <xf numFmtId="164" fontId="12" fillId="4" borderId="0" xfId="0" applyFont="true" applyBorder="false" applyAlignment="true" applyProtection="false">
      <alignment horizontal="center" vertical="bottom" textRotation="90" wrapText="false" indent="0" shrinkToFit="false"/>
      <protection locked="true" hidden="false"/>
    </xf>
    <xf numFmtId="164" fontId="12" fillId="5" borderId="0" xfId="0" applyFont="true" applyBorder="false" applyAlignment="true" applyProtection="false">
      <alignment horizontal="center" vertical="bottom" textRotation="90" wrapText="false" indent="0" shrinkToFit="false"/>
      <protection locked="true" hidden="false"/>
    </xf>
    <xf numFmtId="164" fontId="12" fillId="6" borderId="0" xfId="0" applyFont="true" applyBorder="false" applyAlignment="true" applyProtection="false">
      <alignment horizontal="center" vertical="bottom" textRotation="90" wrapText="false" indent="0" shrinkToFit="false"/>
      <protection locked="true" hidden="false"/>
    </xf>
    <xf numFmtId="164" fontId="12" fillId="7" borderId="0" xfId="0" applyFont="true" applyBorder="false" applyAlignment="true" applyProtection="false">
      <alignment horizontal="center" vertical="bottom" textRotation="90" wrapText="false" indent="0" shrinkToFit="false"/>
      <protection locked="true" hidden="false"/>
    </xf>
    <xf numFmtId="164" fontId="12" fillId="8" borderId="0" xfId="0" applyFont="true" applyBorder="false" applyAlignment="true" applyProtection="false">
      <alignment horizontal="center" vertical="bottom" textRotation="90" wrapText="false" indent="0" shrinkToFit="false"/>
      <protection locked="true" hidden="false"/>
    </xf>
    <xf numFmtId="164" fontId="12" fillId="9" borderId="0" xfId="0" applyFont="true" applyBorder="false" applyAlignment="true" applyProtection="false">
      <alignment horizontal="center" vertical="bottom" textRotation="90" wrapText="false" indent="0" shrinkToFit="false"/>
      <protection locked="true" hidden="false"/>
    </xf>
    <xf numFmtId="164" fontId="12" fillId="10" borderId="0" xfId="0" applyFont="true" applyBorder="false" applyAlignment="true" applyProtection="false">
      <alignment horizontal="center" vertical="bottom" textRotation="90" wrapText="false" indent="0" shrinkToFit="false"/>
      <protection locked="true" hidden="false"/>
    </xf>
    <xf numFmtId="164" fontId="12" fillId="11" borderId="0" xfId="0" applyFont="true" applyBorder="false" applyAlignment="true" applyProtection="false">
      <alignment horizontal="center" vertical="bottom" textRotation="9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3" fillId="12" borderId="0" xfId="0" applyFont="true" applyBorder="false" applyAlignment="true" applyProtection="false">
      <alignment horizontal="center" vertical="bottom" textRotation="0" wrapText="false" indent="0" shrinkToFit="false"/>
      <protection locked="true" hidden="false"/>
    </xf>
    <xf numFmtId="164" fontId="13" fillId="13" borderId="0" xfId="0" applyFont="true" applyBorder="false" applyAlignment="true" applyProtection="false">
      <alignment horizontal="center" vertical="bottom" textRotation="0" wrapText="false" indent="0" shrinkToFit="false"/>
      <protection locked="true" hidden="false"/>
    </xf>
    <xf numFmtId="164" fontId="14" fillId="12" borderId="0" xfId="0" applyFont="true" applyBorder="false" applyAlignment="true" applyProtection="false">
      <alignment horizontal="center" vertical="bottom" textRotation="0" wrapText="false" indent="0" shrinkToFit="false"/>
      <protection locked="true" hidden="false"/>
    </xf>
    <xf numFmtId="164" fontId="14" fillId="13" borderId="0" xfId="0" applyFont="true" applyBorder="false" applyAlignment="true" applyProtection="false">
      <alignment horizontal="center"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04BFBF"/>
          <bgColor rgb="FF000000"/>
        </patternFill>
      </fill>
    </dxf>
    <dxf>
      <fill>
        <patternFill patternType="solid">
          <fgColor rgb="FF054442"/>
          <bgColor rgb="FF000000"/>
        </patternFill>
      </fill>
    </dxf>
    <dxf>
      <fill>
        <patternFill patternType="solid">
          <fgColor rgb="FF068290"/>
          <bgColor rgb="FF000000"/>
        </patternFill>
      </fill>
    </dxf>
    <dxf>
      <fill>
        <patternFill patternType="solid">
          <fgColor rgb="FF0D6ABF"/>
          <bgColor rgb="FF000000"/>
        </patternFill>
      </fill>
    </dxf>
    <dxf>
      <fill>
        <patternFill patternType="solid">
          <fgColor rgb="FF36003E"/>
          <bgColor rgb="FF000000"/>
        </patternFill>
      </fill>
    </dxf>
    <dxf>
      <fill>
        <patternFill patternType="solid">
          <fgColor rgb="FF7FB069"/>
          <bgColor rgb="FF000000"/>
        </patternFill>
      </fill>
    </dxf>
    <dxf>
      <fill>
        <patternFill patternType="solid">
          <fgColor rgb="FFC2185B"/>
          <bgColor rgb="FF000000"/>
        </patternFill>
      </fill>
    </dxf>
    <dxf>
      <fill>
        <patternFill patternType="solid">
          <fgColor rgb="FFE1A100"/>
          <bgColor rgb="FF000000"/>
        </patternFill>
      </fill>
    </dxf>
    <dxf>
      <fill>
        <patternFill patternType="solid">
          <fgColor rgb="FFF28C28"/>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0563C1"/>
          <bgColor rgb="FF000000"/>
        </patternFill>
      </fill>
    </dxf>
    <dxf>
      <fill>
        <patternFill>
          <bgColor rgb="FFF4CCCC"/>
        </patternFill>
      </fill>
    </dxf>
    <dxf>
      <fill>
        <patternFill>
          <bgColor rgb="FFFFF2CC"/>
        </patternFill>
      </fill>
    </dxf>
    <dxf>
      <fill>
        <patternFill patternType="solid">
          <fgColor rgb="FFD9EAD3"/>
          <bgColor rgb="FF000000"/>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68290"/>
      <rgbColor rgb="FFB6D7A8"/>
      <rgbColor rgb="FF808080"/>
      <rgbColor rgb="FF9999FF"/>
      <rgbColor rgb="FFC2185B"/>
      <rgbColor rgb="FFFFF2CC"/>
      <rgbColor rgb="FFCCFFFF"/>
      <rgbColor rgb="FF36003E"/>
      <rgbColor rgb="FFF28C28"/>
      <rgbColor rgb="FF0563C1"/>
      <rgbColor rgb="FFCCCCFF"/>
      <rgbColor rgb="FF000080"/>
      <rgbColor rgb="FFFF00FF"/>
      <rgbColor rgb="FFFFFF00"/>
      <rgbColor rgb="FF00FFFF"/>
      <rgbColor rgb="FF800080"/>
      <rgbColor rgb="FF800000"/>
      <rgbColor rgb="FF0D6ABF"/>
      <rgbColor rgb="FF0000FF"/>
      <rgbColor rgb="FF04BFBF"/>
      <rgbColor rgb="FFCCFFFF"/>
      <rgbColor rgb="FFD9EAD3"/>
      <rgbColor rgb="FFFFE599"/>
      <rgbColor rgb="FF99CCFF"/>
      <rgbColor rgb="FFFF99CC"/>
      <rgbColor rgb="FFCC99FF"/>
      <rgbColor rgb="FFF4CCCC"/>
      <rgbColor rgb="FF3366FF"/>
      <rgbColor rgb="FF33CCCC"/>
      <rgbColor rgb="FF99CC00"/>
      <rgbColor rgb="FFFFCC00"/>
      <rgbColor rgb="FFE1A100"/>
      <rgbColor rgb="FFFF6600"/>
      <rgbColor rgb="FF595959"/>
      <rgbColor rgb="FF7FB069"/>
      <rgbColor rgb="FF054442"/>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ables/table1.xml><?xml version="1.0" encoding="utf-8"?>
<table xmlns="http://schemas.openxmlformats.org/spreadsheetml/2006/main" id="1" name="Activities" displayName="Activities" ref="A3:D27" headerRowCount="1" totalsRowCount="0" totalsRowShown="0">
  <autoFilter ref="A3:D27"/>
  <tableColumns count="4">
    <tableColumn id="1" name="ActivityCode"/>
    <tableColumn id="2" name="Activity"/>
    <tableColumn id="3" name="TriggeredIndicators"/>
    <tableColumn id="4" name="ProjectCount"/>
  </tableColumns>
</table>
</file>

<file path=xl/tables/table2.xml><?xml version="1.0" encoding="utf-8"?>
<table xmlns="http://schemas.openxmlformats.org/spreadsheetml/2006/main" id="2" name="Categories" displayName="Categories" ref="A3:L12" headerRowCount="1" totalsRowCount="0" totalsRowShown="0">
  <autoFilter ref="A3:L12"/>
  <tableColumns count="12">
    <tableColumn id="1" name="CategoryCode"/>
    <tableColumn id="2" name="Category"/>
    <tableColumn id="3" name="CategoryShort"/>
    <tableColumn id="4" name="OutcomeNo"/>
    <tableColumn id="5" name="Scope"/>
    <tableColumn id="6" name="BoundaryRule"/>
    <tableColumn id="7" name="ThemeColor"/>
    <tableColumn id="8" name="Status"/>
    <tableColumn id="9" name="IndicatorCount"/>
    <tableColumn id="10" name="T1"/>
    <tableColumn id="11" name="T2"/>
    <tableColumn id="12" name="T3"/>
  </tableColumns>
</table>
</file>

<file path=xl/tables/table3.xml><?xml version="1.0" encoding="utf-8"?>
<table xmlns="http://schemas.openxmlformats.org/spreadsheetml/2006/main" id="3" name="Dimensions" displayName="Dimensions" ref="A3:E41" headerRowCount="1" totalsRowCount="0" totalsRowShown="0">
  <autoFilter ref="A3:E41"/>
  <tableColumns count="5">
    <tableColumn id="1" name="DimensionCode"/>
    <tableColumn id="2" name="Dimension"/>
    <tableColumn id="3" name="DimensionFR"/>
    <tableColumn id="4" name="Values"/>
    <tableColumn id="5" name="UsedByIndicators"/>
  </tableColumns>
</table>
</file>

<file path=xl/tables/table4.xml><?xml version="1.0" encoding="utf-8"?>
<table xmlns="http://schemas.openxmlformats.org/spreadsheetml/2006/main" id="4" name="IndicatorDisaggregations" displayName="IndicatorDisaggregations" ref="A3:D111" headerRowCount="1" totalsRowCount="0" totalsRowShown="0">
  <autoFilter ref="A3:D111"/>
  <tableColumns count="4">
    <tableColumn id="1" name="IndicatorCode"/>
    <tableColumn id="2" name="DimensionCode"/>
    <tableColumn id="3" name="Dimension"/>
    <tableColumn id="4" name="Order"/>
  </tableColumns>
</table>
</file>

<file path=xl/tables/table5.xml><?xml version="1.0" encoding="utf-8"?>
<table xmlns="http://schemas.openxmlformats.org/spreadsheetml/2006/main" id="5" name="IndicatorTags" displayName="IndicatorTags" ref="A3:C79" headerRowCount="1" totalsRowCount="0" totalsRowShown="0">
  <autoFilter ref="A3:C79"/>
  <tableColumns count="3">
    <tableColumn id="1" name="IndicatorCode"/>
    <tableColumn id="2" name="TagCode"/>
    <tableColumn id="3" name="Tag"/>
  </tableColumns>
</table>
</file>

<file path=xl/tables/table6.xml><?xml version="1.0" encoding="utf-8"?>
<table xmlns="http://schemas.openxmlformats.org/spreadsheetml/2006/main" id="6" name="MapDraft" displayName="MapDraft" ref="A3:D97" headerRowCount="1" totalsRowCount="0" totalsRowShown="0">
  <autoFilter ref="A3:D97"/>
  <tableColumns count="4">
    <tableColumn id="1" name="DraftNo"/>
    <tableColumn id="2" name="DraftIndicator"/>
    <tableColumn id="3" name="Action"/>
    <tableColumn id="4" name="NewIndicatorCode"/>
  </tableColumns>
</table>
</file>

<file path=xl/tables/table7.xml><?xml version="1.0" encoding="utf-8"?>
<table xmlns="http://schemas.openxmlformats.org/spreadsheetml/2006/main" id="7" name="MapFramework" displayName="MapFramework" ref="A3:G58" headerRowCount="1" totalsRowCount="0" totalsRowShown="0">
  <autoFilter ref="A3:G58"/>
  <tableColumns count="7">
    <tableColumn id="1" name="Level"/>
    <tableColumn id="2" name="Theme"/>
    <tableColumn id="3" name="FrameworkCode"/>
    <tableColumn id="4" name="FrameworkIndicator"/>
    <tableColumn id="5" name="NewIndicatorCode"/>
    <tableColumn id="6" name="Match"/>
    <tableColumn id="7" name="Note"/>
  </tableColumns>
</table>
</file>

<file path=xl/tables/table8.xml><?xml version="1.0" encoding="utf-8"?>
<table xmlns="http://schemas.openxmlformats.org/spreadsheetml/2006/main" id="8" name="MapHubIndicators" displayName="MapHubIndicators" ref="A3:F72" headerRowCount="1" totalsRowCount="0" totalsRowShown="0">
  <autoFilter ref="A3:F72"/>
  <tableColumns count="6">
    <tableColumn id="1" name="HubIndicator"/>
    <tableColumn id="2" name="CurrentOutcome"/>
    <tableColumn id="3" name="ResultRows"/>
    <tableColumn id="4" name="NewIndicatorCode"/>
    <tableColumn id="5" name="Match"/>
    <tableColumn id="6" name="Note"/>
  </tableColumns>
</table>
</file>

<file path=xl/tables/table9.xml><?xml version="1.0" encoding="utf-8"?>
<table xmlns="http://schemas.openxmlformats.org/spreadsheetml/2006/main" id="9" name="ProjectIndicators" displayName="ProjectIndicators" ref="A3:L1275" headerRowCount="1" totalsRowCount="0" totalsRowShown="0">
  <autoFilter ref="A3:L1275"/>
  <tableColumns count="12">
    <tableColumn id="1" name="ProjectID"/>
    <tableColumn id="2" name="ProjectCode"/>
    <tableColumn id="3" name="ProjectShort"/>
    <tableColumn id="4" name="IndicatorCode"/>
    <tableColumn id="5" name="IndicatorName"/>
    <tableColumn id="6" name="CategoryCode"/>
    <tableColumn id="7" name="Tier"/>
    <tableColumn id="8" name="Requirement"/>
    <tableColumn id="9" name="Basis"/>
    <tableColumn id="10" name="HubRowsDirect"/>
    <tableColumn id="11" name="HubRowsPartial"/>
    <tableColumn id="12" name="ReportingStatus"/>
  </tableColumns>
</table>
</file>

<file path=xl/tables/table10.xml><?xml version="1.0" encoding="utf-8"?>
<table xmlns="http://schemas.openxmlformats.org/spreadsheetml/2006/main" id="10" name="Projects" displayName="Projects" ref="A3:W85" headerRowCount="1" totalsRowCount="0" totalsRowShown="0">
  <autoFilter ref="A3:W85"/>
  <tableColumns count="23">
    <tableColumn id="1" name="ProjectID"/>
    <tableColumn id="2" name="ProjectCode"/>
    <tableColumn id="3" name="TrustFund"/>
    <tableColumn id="4" name="Country"/>
    <tableColumn id="5" name="ProjectShort"/>
    <tableColumn id="6" name="ProjectTitle"/>
    <tableColumn id="7" name="ImplementingOrg"/>
    <tableColumn id="8" name="Status"/>
    <tableColumn id="9" name="BudgetUSD"/>
    <tableColumn id="10" name="StartDate"/>
    <tableColumn id="11" name="EndDate"/>
    <tableColumn id="12" name="ProjectType"/>
    <tableColumn id="13" name="PESProject"/>
    <tableColumn id="14" name="Activities"/>
    <tableColumn id="15" name="Mandatory"/>
    <tableColumn id="16" name="RequiredByActivity"/>
    <tableColumn id="17" name="Optional"/>
    <tableColumn id="18" name="ReportedInHub"/>
    <tableColumn id="19" name="PossiblyReported"/>
    <tableColumn id="20" name="NotYetReported"/>
    <tableColumn id="21" name="ClassificationConfidence"/>
    <tableColumn id="22" name="Note"/>
    <tableColumn id="23" name="MPTFLink"/>
  </tableColumns>
</table>
</file>

<file path=xl/tables/table11.xml><?xml version="1.0" encoding="utf-8"?>
<table xmlns="http://schemas.openxmlformats.org/spreadsheetml/2006/main" id="11" name="StandardIndicators" displayName="StandardIndicators" ref="A3:AC70" headerRowCount="1" totalsRowCount="0" totalsRowShown="0">
  <autoFilter ref="A3:AC70"/>
  <tableColumns count="29">
    <tableColumn id="1" name="IndicatorCode"/>
    <tableColumn id="2" name="IndicatorName"/>
    <tableColumn id="3" name="IndicatorNameFR"/>
    <tableColumn id="4" name="Description"/>
    <tableColumn id="5" name="CategoryCode"/>
    <tableColumn id="6" name="Category"/>
    <tableColumn id="7" name="SubcategoryCode"/>
    <tableColumn id="8" name="Subcategory"/>
    <tableColumn id="9" name="OutcomeNo"/>
    <tableColumn id="10" name="SortOrder"/>
    <tableColumn id="11" name="Tier"/>
    <tableColumn id="12" name="ResultLevel"/>
    <tableColumn id="13" name="ResultType"/>
    <tableColumn id="14" name="Unit"/>
    <tableColumn id="15" name="UnitGroup"/>
    <tableColumn id="16" name="MeasurementType"/>
    <tableColumn id="17" name="AggregationRule"/>
    <tableColumn id="18" name="RelatedIndicator"/>
    <tableColumn id="19" name="Disaggregations"/>
    <tableColumn id="20" name="Applies_Enabling"/>
    <tableColumn id="21" name="Applies_AFOLU"/>
    <tableColumn id="22" name="Applies_PES"/>
    <tableColumn id="23" name="Applies_PrivateSector"/>
    <tableColumn id="24" name="Tags"/>
    <tableColumn id="25" name="DataSource"/>
    <tableColumn id="26" name="Frequency"/>
    <tableColumn id="27" name="LegacyFrameworkCodes"/>
    <tableColumn id="28" name="DraftNo"/>
    <tableColumn id="29" name="ChangeFromDraft"/>
  </tableColumns>
</table>
</file>

<file path=xl/tables/table12.xml><?xml version="1.0" encoding="utf-8"?>
<table xmlns="http://schemas.openxmlformats.org/spreadsheetml/2006/main" id="12" name="Subcategories" displayName="Subcategories" ref="A3:F35" headerRowCount="1" totalsRowCount="0" totalsRowShown="0">
  <autoFilter ref="A3:F35"/>
  <tableColumns count="6">
    <tableColumn id="1" name="SubcategoryCode"/>
    <tableColumn id="2" name="CategoryCode"/>
    <tableColumn id="3" name="Category"/>
    <tableColumn id="4" name="Subcategory"/>
    <tableColumn id="5" name="Description"/>
    <tableColumn id="6" name="IndicatorCount"/>
  </tableColumns>
</table>
</file>

<file path=xl/tables/table13.xml><?xml version="1.0" encoding="utf-8"?>
<table xmlns="http://schemas.openxmlformats.org/spreadsheetml/2006/main" id="13" name="Tags" displayName="Tags" ref="A3:D11" headerRowCount="1" totalsRowCount="0" totalsRowShown="0">
  <autoFilter ref="A3:D11"/>
  <tableColumns count="4">
    <tableColumn id="1" name="TagCode"/>
    <tableColumn id="2" name="Tag"/>
    <tableColumn id="3" name="Description"/>
    <tableColumn id="4" name="IndicatorCount"/>
  </tableColumns>
</table>
</file>

<file path=xl/tables/table14.xml><?xml version="1.0" encoding="utf-8"?>
<table xmlns="http://schemas.openxmlformats.org/spreadsheetml/2006/main" id="14" name="UnitGroupsStd" displayName="UnitGroupsStd" ref="A3:D13" headerRowCount="1" totalsRowCount="0" totalsRowShown="0">
  <autoFilter ref="A3:D13"/>
  <tableColumns count="4">
    <tableColumn id="1" name="UnitGroup"/>
    <tableColumn id="2" name="UnitGroupSort"/>
    <tableColumn id="3" name="Status"/>
    <tableColumn id="4" name="IndicatorCount"/>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2.xml"/>
</Relationships>
</file>

<file path=xl/worksheets/_rels/sheet4.xml.rels><?xml version="1.0" encoding="UTF-8"?>
<Relationships xmlns="http://schemas.openxmlformats.org/package/2006/relationships"><Relationship Id="rId1" Type="http://schemas.openxmlformats.org/officeDocument/2006/relationships/table" Target="../tables/table1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13.xml"/>
</Relationships>
</file>

<file path=xl/worksheets/_rels/sheet8.xml.rels><?xml version="1.0" encoding="UTF-8"?>
<Relationships xmlns="http://schemas.openxmlformats.org/package/2006/relationships"><Relationship Id="rId1"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table" Target="../tables/table14.xml"/>
</Relationships>
</file>

<file path=xl/worksheets/_rels/sheet10.xml.rels><?xml version="1.0" encoding="UTF-8"?>
<Relationships xmlns="http://schemas.openxmlformats.org/package/2006/relationships"><Relationship Id="rId1" Type="http://schemas.openxmlformats.org/officeDocument/2006/relationships/table" Target="../tables/table7.xml"/>
</Relationships>
</file>

<file path=xl/worksheets/_rels/sheet11.xml.rels><?xml version="1.0" encoding="UTF-8"?>
<Relationships xmlns="http://schemas.openxmlformats.org/package/2006/relationships"><Relationship Id="rId1" Type="http://schemas.openxmlformats.org/officeDocument/2006/relationships/table" Target="../tables/table8.xml"/>
</Relationships>
</file>

<file path=xl/worksheets/_rels/sheet12.xml.rels><?xml version="1.0" encoding="UTF-8"?>
<Relationships xmlns="http://schemas.openxmlformats.org/package/2006/relationships"><Relationship Id="rId1" Type="http://schemas.openxmlformats.org/officeDocument/2006/relationships/table" Target="../tables/table6.xml"/>
</Relationships>
</file>

<file path=xl/worksheets/_rels/sheet13.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hyperlink" Target="https://mptf.undp.org/project/00102121" TargetMode="External"/><Relationship Id="rId2" Type="http://schemas.openxmlformats.org/officeDocument/2006/relationships/hyperlink" Target="https://mptf.undp.org/project/00127867" TargetMode="External"/><Relationship Id="rId3" Type="http://schemas.openxmlformats.org/officeDocument/2006/relationships/hyperlink" Target="https://mptf.undp.org/project/00140619" TargetMode="External"/><Relationship Id="rId4" Type="http://schemas.openxmlformats.org/officeDocument/2006/relationships/hyperlink" Target="https://mptf.undp.org/project/00141105" TargetMode="External"/><Relationship Id="rId5" Type="http://schemas.openxmlformats.org/officeDocument/2006/relationships/hyperlink" Target="https://mptf.undp.org/project/00141300" TargetMode="External"/><Relationship Id="rId6" Type="http://schemas.openxmlformats.org/officeDocument/2006/relationships/hyperlink" Target="https://mptf.undp.org/project/00140915" TargetMode="External"/><Relationship Id="rId7" Type="http://schemas.openxmlformats.org/officeDocument/2006/relationships/hyperlink" Target="https://mptf.undp.org/project/00141297" TargetMode="External"/><Relationship Id="rId8" Type="http://schemas.openxmlformats.org/officeDocument/2006/relationships/hyperlink" Target="https://mptf.undp.org/project/00141343" TargetMode="External"/><Relationship Id="rId9" Type="http://schemas.openxmlformats.org/officeDocument/2006/relationships/hyperlink" Target="https://mptf.undp.org/project/00102312" TargetMode="External"/><Relationship Id="rId10" Type="http://schemas.openxmlformats.org/officeDocument/2006/relationships/hyperlink" Target="https://mptf.undp.org/project/00140410" TargetMode="External"/><Relationship Id="rId11" Type="http://schemas.openxmlformats.org/officeDocument/2006/relationships/hyperlink" Target="https://mptf.undp.org/project/00140520" TargetMode="External"/><Relationship Id="rId12" Type="http://schemas.openxmlformats.org/officeDocument/2006/relationships/hyperlink" Target="https://mptf.undp.org/project/00141291" TargetMode="External"/><Relationship Id="rId13" Type="http://schemas.openxmlformats.org/officeDocument/2006/relationships/hyperlink" Target="https://mptf.undp.org/project/00103594" TargetMode="External"/><Relationship Id="rId14" Type="http://schemas.openxmlformats.org/officeDocument/2006/relationships/hyperlink" Target="https://mptf.undp.org/project/00133387" TargetMode="External"/><Relationship Id="rId15" Type="http://schemas.openxmlformats.org/officeDocument/2006/relationships/hyperlink" Target="https://mptf.undp.org/project/00141081" TargetMode="External"/><Relationship Id="rId16" Type="http://schemas.openxmlformats.org/officeDocument/2006/relationships/hyperlink" Target="https://mptf.undp.org/project/00111269" TargetMode="External"/><Relationship Id="rId17" Type="http://schemas.openxmlformats.org/officeDocument/2006/relationships/hyperlink" Target="https://mptf.undp.org/project/00122613" TargetMode="External"/><Relationship Id="rId18" Type="http://schemas.openxmlformats.org/officeDocument/2006/relationships/hyperlink" Target="https://mptf.undp.org/project/00132798" TargetMode="External"/><Relationship Id="rId19" Type="http://schemas.openxmlformats.org/officeDocument/2006/relationships/hyperlink" Target="https://mptf.undp.org/project/00133375" TargetMode="External"/><Relationship Id="rId20" Type="http://schemas.openxmlformats.org/officeDocument/2006/relationships/hyperlink" Target="https://mptf.undp.org/project/00133386" TargetMode="External"/><Relationship Id="rId21" Type="http://schemas.openxmlformats.org/officeDocument/2006/relationships/hyperlink" Target="https://mptf.undp.org/project/00133560" TargetMode="External"/><Relationship Id="rId22" Type="http://schemas.openxmlformats.org/officeDocument/2006/relationships/hyperlink" Target="https://mptf.undp.org/project/00133561" TargetMode="External"/><Relationship Id="rId23" Type="http://schemas.openxmlformats.org/officeDocument/2006/relationships/hyperlink" Target="https://mptf.undp.org/project/00140885" TargetMode="External"/><Relationship Id="rId24" Type="http://schemas.openxmlformats.org/officeDocument/2006/relationships/hyperlink" Target="https://mptf.undp.org/project/00133419" TargetMode="External"/><Relationship Id="rId25" Type="http://schemas.openxmlformats.org/officeDocument/2006/relationships/hyperlink" Target="https://mptf.undp.org/project/00103702" TargetMode="External"/><Relationship Id="rId26" Type="http://schemas.openxmlformats.org/officeDocument/2006/relationships/hyperlink" Target="https://mptf.undp.org/project/00105662" TargetMode="External"/><Relationship Id="rId27" Type="http://schemas.openxmlformats.org/officeDocument/2006/relationships/hyperlink" Target="https://mptf.undp.org/project/00141057" TargetMode="External"/><Relationship Id="rId28" Type="http://schemas.openxmlformats.org/officeDocument/2006/relationships/hyperlink" Target="https://mptf.undp.org/project/00131425" TargetMode="External"/><Relationship Id="rId29" Type="http://schemas.openxmlformats.org/officeDocument/2006/relationships/hyperlink" Target="https://mptf.undp.org/project/00133946" TargetMode="External"/><Relationship Id="rId30" Type="http://schemas.openxmlformats.org/officeDocument/2006/relationships/hyperlink" Target="https://mptf.undp.org/project/00140783" TargetMode="External"/><Relationship Id="rId31" Type="http://schemas.openxmlformats.org/officeDocument/2006/relationships/hyperlink" Target="https://mptf.undp.org/project/00141114" TargetMode="External"/><Relationship Id="rId32" Type="http://schemas.openxmlformats.org/officeDocument/2006/relationships/hyperlink" Target="https://mptf.undp.org/project/00141415" TargetMode="External"/><Relationship Id="rId33" Type="http://schemas.openxmlformats.org/officeDocument/2006/relationships/hyperlink" Target="https://mptf.undp.org/project/00123542" TargetMode="External"/><Relationship Id="rId34" Type="http://schemas.openxmlformats.org/officeDocument/2006/relationships/hyperlink" Target="https://mptf.undp.org/project/00140486" TargetMode="External"/><Relationship Id="rId35" Type="http://schemas.openxmlformats.org/officeDocument/2006/relationships/hyperlink" Target="https://mptf.undp.org/project/00141031" TargetMode="External"/><Relationship Id="rId36" Type="http://schemas.openxmlformats.org/officeDocument/2006/relationships/hyperlink" Target="https://mptf.undp.org/project/00131426" TargetMode="External"/><Relationship Id="rId37" Type="http://schemas.openxmlformats.org/officeDocument/2006/relationships/hyperlink" Target="https://mptf.undp.org/project/00131427" TargetMode="External"/><Relationship Id="rId38" Type="http://schemas.openxmlformats.org/officeDocument/2006/relationships/hyperlink" Target="https://mptf.undp.org/project/00141054" TargetMode="External"/><Relationship Id="rId39" Type="http://schemas.openxmlformats.org/officeDocument/2006/relationships/hyperlink" Target="https://mptf.undp.org/project/00141098" TargetMode="External"/><Relationship Id="rId40" Type="http://schemas.openxmlformats.org/officeDocument/2006/relationships/hyperlink" Target="https://mptf.undp.org/project/0097460" TargetMode="External"/><Relationship Id="rId41" Type="http://schemas.openxmlformats.org/officeDocument/2006/relationships/hyperlink" Target="https://mptf.undp.org/project/00130492" TargetMode="External"/><Relationship Id="rId42" Type="http://schemas.openxmlformats.org/officeDocument/2006/relationships/hyperlink" Target="https://mptf.undp.org/project/00140280" TargetMode="External"/><Relationship Id="rId43" Type="http://schemas.openxmlformats.org/officeDocument/2006/relationships/hyperlink" Target="https://mptf.undp.org/project/00140442" TargetMode="External"/><Relationship Id="rId44" Type="http://schemas.openxmlformats.org/officeDocument/2006/relationships/hyperlink" Target="https://mptf.undp.org/project/00129333" TargetMode="External"/><Relationship Id="rId45" Type="http://schemas.openxmlformats.org/officeDocument/2006/relationships/hyperlink" Target="https://mptf.undp.org/project/00129481" TargetMode="External"/><Relationship Id="rId46" Type="http://schemas.openxmlformats.org/officeDocument/2006/relationships/hyperlink" Target="https://mptf.undp.org/project/00134411" TargetMode="External"/><Relationship Id="rId47" Type="http://schemas.openxmlformats.org/officeDocument/2006/relationships/hyperlink" Target="https://mptf.undp.org/project/00102120" TargetMode="External"/><Relationship Id="rId48" Type="http://schemas.openxmlformats.org/officeDocument/2006/relationships/hyperlink" Target="https://mptf.undp.org/project/00116876" TargetMode="External"/><Relationship Id="rId49" Type="http://schemas.openxmlformats.org/officeDocument/2006/relationships/hyperlink" Target="https://mptf.undp.org/project/00103850" TargetMode="External"/><Relationship Id="rId50" Type="http://schemas.openxmlformats.org/officeDocument/2006/relationships/hyperlink" Target="https://mptf.undp.org/project/00105031" TargetMode="External"/><Relationship Id="rId51" Type="http://schemas.openxmlformats.org/officeDocument/2006/relationships/hyperlink" Target="https://mptf.undp.org/project/00107819" TargetMode="External"/><Relationship Id="rId52" Type="http://schemas.openxmlformats.org/officeDocument/2006/relationships/hyperlink" Target="https://mptf.undp.org/project/00113547" TargetMode="External"/><Relationship Id="rId53" Type="http://schemas.openxmlformats.org/officeDocument/2006/relationships/hyperlink" Target="https://mptf.undp.org/project/00117080" TargetMode="External"/><Relationship Id="rId54" Type="http://schemas.openxmlformats.org/officeDocument/2006/relationships/hyperlink" Target="https://mptf.undp.org/project/00117600" TargetMode="External"/><Relationship Id="rId55" Type="http://schemas.openxmlformats.org/officeDocument/2006/relationships/hyperlink" Target="https://mptf.undp.org/project/00120055" TargetMode="External"/><Relationship Id="rId56" Type="http://schemas.openxmlformats.org/officeDocument/2006/relationships/hyperlink" Target="https://mptf.undp.org/project/00126783" TargetMode="External"/><Relationship Id="rId57" Type="http://schemas.openxmlformats.org/officeDocument/2006/relationships/hyperlink" Target="https://mptf.undp.org/project/00140679" TargetMode="External"/><Relationship Id="rId58" Type="http://schemas.openxmlformats.org/officeDocument/2006/relationships/hyperlink" Target="https://mptf.undp.org/project/00140884" TargetMode="External"/><Relationship Id="rId59" Type="http://schemas.openxmlformats.org/officeDocument/2006/relationships/hyperlink" Target="https://mptf.undp.org/project/00141419" TargetMode="External"/><Relationship Id="rId60" Type="http://schemas.openxmlformats.org/officeDocument/2006/relationships/hyperlink" Target="https://mptf.undp.org/project/00123066" TargetMode="External"/><Relationship Id="rId61" Type="http://schemas.openxmlformats.org/officeDocument/2006/relationships/hyperlink" Target="https://mptf.undp.org/project/00140811" TargetMode="External"/><Relationship Id="rId62" Type="http://schemas.openxmlformats.org/officeDocument/2006/relationships/hyperlink" Target="https://mptf.undp.org/project/00141182" TargetMode="External"/><Relationship Id="rId63" Type="http://schemas.openxmlformats.org/officeDocument/2006/relationships/hyperlink" Target="https://mptf.undp.org/project/00113546" TargetMode="External"/><Relationship Id="rId64" Type="http://schemas.openxmlformats.org/officeDocument/2006/relationships/hyperlink" Target="https://mptf.undp.org/project/00141417" TargetMode="External"/><Relationship Id="rId65" Type="http://schemas.openxmlformats.org/officeDocument/2006/relationships/hyperlink" Target="https://mptf.undp.org/project/00103789" TargetMode="External"/><Relationship Id="rId66" Type="http://schemas.openxmlformats.org/officeDocument/2006/relationships/hyperlink" Target="https://mptf.undp.org/project/00103801" TargetMode="External"/><Relationship Id="rId67" Type="http://schemas.openxmlformats.org/officeDocument/2006/relationships/hyperlink" Target="https://mptf.undp.org/project/00103851" TargetMode="External"/><Relationship Id="rId68" Type="http://schemas.openxmlformats.org/officeDocument/2006/relationships/hyperlink" Target="https://mptf.undp.org/project/00105282" TargetMode="External"/><Relationship Id="rId69" Type="http://schemas.openxmlformats.org/officeDocument/2006/relationships/hyperlink" Target="https://mptf.undp.org/project/00105381" TargetMode="External"/><Relationship Id="rId70" Type="http://schemas.openxmlformats.org/officeDocument/2006/relationships/hyperlink" Target="https://mptf.undp.org/project/00115700" TargetMode="External"/><Relationship Id="rId71" Type="http://schemas.openxmlformats.org/officeDocument/2006/relationships/hyperlink" Target="https://mptf.undp.org/project/00116875" TargetMode="External"/><Relationship Id="rId72" Type="http://schemas.openxmlformats.org/officeDocument/2006/relationships/hyperlink" Target="https://mptf.undp.org/project/00140631" TargetMode="External"/><Relationship Id="rId73" Type="http://schemas.openxmlformats.org/officeDocument/2006/relationships/hyperlink" Target="https://mptf.undp.org/project/00141041" TargetMode="External"/><Relationship Id="rId74" Type="http://schemas.openxmlformats.org/officeDocument/2006/relationships/hyperlink" Target="https://mptf.undp.org/project/00141061" TargetMode="External"/><Relationship Id="rId75" Type="http://schemas.openxmlformats.org/officeDocument/2006/relationships/hyperlink" Target="https://mptf.undp.org/project/00141120" TargetMode="External"/><Relationship Id="rId76" Type="http://schemas.openxmlformats.org/officeDocument/2006/relationships/hyperlink" Target="https://mptf.undp.org/project/00141161" TargetMode="External"/><Relationship Id="rId77" Type="http://schemas.openxmlformats.org/officeDocument/2006/relationships/hyperlink" Target="https://mptf.undp.org/project/00141162" TargetMode="External"/><Relationship Id="rId78" Type="http://schemas.openxmlformats.org/officeDocument/2006/relationships/hyperlink" Target="https://mptf.undp.org/project/00141166" TargetMode="External"/><Relationship Id="rId79" Type="http://schemas.openxmlformats.org/officeDocument/2006/relationships/hyperlink" Target="https://mptf.undp.org/project/00141042" TargetMode="External"/><Relationship Id="rId80" Type="http://schemas.openxmlformats.org/officeDocument/2006/relationships/hyperlink" Target="https://mptf.undp.org/project/00105042" TargetMode="External"/><Relationship Id="rId81" Type="http://schemas.openxmlformats.org/officeDocument/2006/relationships/hyperlink" Target="https://mptf.undp.org/project/00117920" TargetMode="External"/><Relationship Id="rId82" Type="http://schemas.openxmlformats.org/officeDocument/2006/relationships/hyperlink" Target="https://mptf.undp.org/project/00141104" TargetMode="External"/><Relationship Id="rId83" Type="http://schemas.openxmlformats.org/officeDocument/2006/relationships/table" Target="../tables/table10.xml"/>
</Relationships>
</file>

<file path=xl/worksheets/_rels/sheet15.xml.rels><?xml version="1.0" encoding="UTF-8"?>
<Relationships xmlns="http://schemas.openxmlformats.org/package/2006/relationships"><Relationship Id="rId1" Type="http://schemas.openxmlformats.org/officeDocument/2006/relationships/table" Target="../tables/table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15" hidden="false" customHeight="false" outlineLevel="0" collapsed="false">
      <c r="A5" s="2"/>
    </row>
    <row r="6" customFormat="false" ht="15" hidden="false" customHeight="false" outlineLevel="0" collapsed="false">
      <c r="A6" s="4" t="s">
        <v>5</v>
      </c>
    </row>
    <row r="7" customFormat="false" ht="15" hidden="false" customHeight="false" outlineLevel="0" collapsed="false">
      <c r="A7" s="2" t="s">
        <v>6</v>
      </c>
      <c r="B7" s="3" t="s">
        <v>7</v>
      </c>
    </row>
    <row r="8" customFormat="false" ht="15" hidden="false" customHeight="false" outlineLevel="0" collapsed="false">
      <c r="A8" s="2" t="s">
        <v>8</v>
      </c>
      <c r="B8" s="3" t="s">
        <v>9</v>
      </c>
    </row>
    <row r="9" customFormat="false" ht="15" hidden="false" customHeight="false" outlineLevel="0" collapsed="false">
      <c r="A9" s="2" t="s">
        <v>10</v>
      </c>
      <c r="B9" s="3" t="s">
        <v>11</v>
      </c>
    </row>
    <row r="10" customFormat="false" ht="15" hidden="false" customHeight="false" outlineLevel="0" collapsed="false">
      <c r="A10" s="2" t="s">
        <v>12</v>
      </c>
      <c r="B10" s="3" t="s">
        <v>13</v>
      </c>
    </row>
    <row r="11" customFormat="false" ht="15" hidden="false" customHeight="false" outlineLevel="0" collapsed="false">
      <c r="A11" s="2" t="s">
        <v>14</v>
      </c>
      <c r="B11" s="3" t="s">
        <v>15</v>
      </c>
    </row>
    <row r="12" customFormat="false" ht="15" hidden="false" customHeight="false" outlineLevel="0" collapsed="false">
      <c r="A12" s="2" t="s">
        <v>16</v>
      </c>
      <c r="B12" s="3" t="s">
        <v>17</v>
      </c>
    </row>
    <row r="13" customFormat="false" ht="15" hidden="false" customHeight="false" outlineLevel="0" collapsed="false">
      <c r="A13" s="2" t="s">
        <v>18</v>
      </c>
      <c r="B13" s="3" t="s">
        <v>19</v>
      </c>
    </row>
    <row r="14" customFormat="false" ht="15" hidden="false" customHeight="false" outlineLevel="0" collapsed="false">
      <c r="A14" s="2" t="s">
        <v>20</v>
      </c>
      <c r="B14" s="3" t="s">
        <v>21</v>
      </c>
    </row>
    <row r="15" customFormat="false" ht="15" hidden="false" customHeight="false" outlineLevel="0" collapsed="false">
      <c r="A15" s="2" t="s">
        <v>22</v>
      </c>
      <c r="B15" s="3" t="s">
        <v>23</v>
      </c>
    </row>
    <row r="16" customFormat="false" ht="15" hidden="false" customHeight="false" outlineLevel="0" collapsed="false">
      <c r="A16" s="2" t="s">
        <v>24</v>
      </c>
      <c r="B16" s="3" t="s">
        <v>25</v>
      </c>
    </row>
    <row r="17" customFormat="false" ht="15" hidden="false" customHeight="false" outlineLevel="0" collapsed="false">
      <c r="A17" s="2"/>
    </row>
    <row r="18" customFormat="false" ht="15" hidden="false" customHeight="false" outlineLevel="0" collapsed="false">
      <c r="A18" s="4" t="s">
        <v>26</v>
      </c>
    </row>
    <row r="19" customFormat="false" ht="23.85" hidden="false" customHeight="false" outlineLevel="0" collapsed="false">
      <c r="A19" s="2" t="s">
        <v>27</v>
      </c>
      <c r="B19" s="3" t="s">
        <v>28</v>
      </c>
    </row>
    <row r="20" customFormat="false" ht="15" hidden="false" customHeight="false" outlineLevel="0" collapsed="false">
      <c r="A20" s="2" t="s">
        <v>29</v>
      </c>
      <c r="B20" s="3" t="s">
        <v>30</v>
      </c>
    </row>
    <row r="21" customFormat="false" ht="15" hidden="false" customHeight="false" outlineLevel="0" collapsed="false">
      <c r="A21" s="2" t="s">
        <v>31</v>
      </c>
      <c r="B21" s="3" t="s">
        <v>32</v>
      </c>
    </row>
    <row r="22" customFormat="false" ht="15" hidden="false" customHeight="false" outlineLevel="0" collapsed="false">
      <c r="A22" s="2" t="s">
        <v>33</v>
      </c>
      <c r="B22" s="3" t="s">
        <v>34</v>
      </c>
    </row>
    <row r="23" customFormat="false" ht="23.85" hidden="false" customHeight="false" outlineLevel="0" collapsed="false">
      <c r="A23" s="2" t="s">
        <v>35</v>
      </c>
      <c r="B23" s="3" t="s">
        <v>36</v>
      </c>
    </row>
    <row r="24" customFormat="false" ht="15" hidden="false" customHeight="false" outlineLevel="0" collapsed="false">
      <c r="A24" s="2" t="s">
        <v>37</v>
      </c>
      <c r="B24" s="3" t="s">
        <v>38</v>
      </c>
    </row>
    <row r="25" customFormat="false" ht="15" hidden="false" customHeight="false" outlineLevel="0" collapsed="false">
      <c r="A25" s="2" t="s">
        <v>39</v>
      </c>
      <c r="B25" s="3" t="s">
        <v>40</v>
      </c>
    </row>
    <row r="26" customFormat="false" ht="15" hidden="false" customHeight="false" outlineLevel="0" collapsed="false">
      <c r="A26" s="2" t="s">
        <v>41</v>
      </c>
      <c r="B26" s="3" t="s">
        <v>42</v>
      </c>
    </row>
    <row r="27" customFormat="false" ht="15" hidden="false" customHeight="false" outlineLevel="0" collapsed="false">
      <c r="A27" s="2"/>
    </row>
    <row r="28" customFormat="false" ht="35.05" hidden="false" customHeight="false" outlineLevel="0" collapsed="false">
      <c r="A28" s="2" t="s">
        <v>43</v>
      </c>
      <c r="B28" s="3" t="s">
        <v>44</v>
      </c>
    </row>
    <row r="30" customFormat="false" ht="15" hidden="false" customHeight="false" outlineLevel="0" collapsed="false">
      <c r="A30" s="4" t="s">
        <v>45</v>
      </c>
    </row>
    <row r="31" customFormat="false" ht="15" hidden="false" customHeight="false" outlineLevel="0" collapsed="false">
      <c r="A31" s="2" t="s">
        <v>46</v>
      </c>
      <c r="B31" s="3" t="s">
        <v>47</v>
      </c>
    </row>
    <row r="32" customFormat="false" ht="23.85" hidden="false" customHeight="false" outlineLevel="0" collapsed="false">
      <c r="A32" s="2" t="s">
        <v>48</v>
      </c>
      <c r="B32" s="3" t="s">
        <v>49</v>
      </c>
    </row>
    <row r="33" customFormat="false" ht="15" hidden="false" customHeight="false" outlineLevel="0" collapsed="false">
      <c r="A33" s="2" t="s">
        <v>50</v>
      </c>
      <c r="B33" s="3" t="s">
        <v>51</v>
      </c>
    </row>
    <row r="34" customFormat="false" ht="15" hidden="false" customHeight="false" outlineLevel="0" collapsed="false">
      <c r="A34" s="2" t="s">
        <v>52</v>
      </c>
      <c r="B34" s="3" t="s">
        <v>53</v>
      </c>
    </row>
    <row r="35" customFormat="false" ht="35.05" hidden="false" customHeight="false" outlineLevel="0" collapsed="false">
      <c r="A35" s="2" t="s">
        <v>54</v>
      </c>
      <c r="B35" s="3" t="s">
        <v>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26"/>
    <col collapsed="false" customWidth="true" hidden="false" outlineLevel="0" max="4" min="4" style="0" width="10"/>
    <col collapsed="false" customWidth="true" hidden="false" outlineLevel="0" max="6" min="5" style="0" width="60"/>
    <col collapsed="false" customWidth="true" hidden="false" outlineLevel="0" max="7" min="7" style="0" width="11"/>
    <col collapsed="false" customWidth="true" hidden="false" outlineLevel="0" max="8" min="8" style="0" width="40"/>
    <col collapsed="false" customWidth="true" hidden="false" outlineLevel="0" max="9" min="9" style="0" width="12"/>
    <col collapsed="false" customWidth="true" hidden="false" outlineLevel="0" max="12" min="10" style="0" width="6"/>
  </cols>
  <sheetData>
    <row r="1" customFormat="false" ht="15" hidden="false" customHeight="false" outlineLevel="0" collapsed="false">
      <c r="A1" s="5" t="s">
        <v>56</v>
      </c>
    </row>
    <row r="3" customFormat="false" ht="30" hidden="false" customHeight="true" outlineLevel="0" collapsed="false">
      <c r="A3" s="6" t="s">
        <v>57</v>
      </c>
      <c r="B3" s="6" t="s">
        <v>58</v>
      </c>
      <c r="C3" s="6" t="s">
        <v>59</v>
      </c>
      <c r="D3" s="6" t="s">
        <v>60</v>
      </c>
      <c r="E3" s="6" t="s">
        <v>61</v>
      </c>
      <c r="F3" s="6" t="s">
        <v>62</v>
      </c>
      <c r="G3" s="6" t="s">
        <v>63</v>
      </c>
      <c r="H3" s="6" t="s">
        <v>64</v>
      </c>
      <c r="I3" s="6" t="s">
        <v>65</v>
      </c>
      <c r="J3" s="6" t="s">
        <v>66</v>
      </c>
      <c r="K3" s="6" t="s">
        <v>67</v>
      </c>
      <c r="L3" s="6" t="s">
        <v>68</v>
      </c>
    </row>
    <row r="4" customFormat="false" ht="23.85" hidden="false" customHeight="false" outlineLevel="0" collapsed="false">
      <c r="A4" s="3" t="s">
        <v>69</v>
      </c>
      <c r="B4" s="3" t="s">
        <v>70</v>
      </c>
      <c r="C4" s="3" t="s">
        <v>71</v>
      </c>
      <c r="D4" s="3" t="n">
        <v>1</v>
      </c>
      <c r="E4" s="3" t="s">
        <v>72</v>
      </c>
      <c r="F4" s="3" t="s">
        <v>73</v>
      </c>
      <c r="G4" s="7" t="s">
        <v>74</v>
      </c>
      <c r="H4" s="3" t="s">
        <v>75</v>
      </c>
      <c r="I4" s="3" t="n">
        <f aca="false">COUNTIFS(03_Indicators!$E$4:$E$70,A4)</f>
        <v>9</v>
      </c>
      <c r="J4" s="3" t="n">
        <f aca="false">COUNTIFS(03_Indicators!$E$4:$E$70,A4,03_Indicators!$K$4:$K$70,"T1")</f>
        <v>0</v>
      </c>
      <c r="K4" s="3" t="n">
        <f aca="false">COUNTIFS(03_Indicators!$E$4:$E$70,A4,03_Indicators!$K$4:$K$70,"T2")</f>
        <v>3</v>
      </c>
      <c r="L4" s="3" t="n">
        <f aca="false">COUNTIFS(03_Indicators!$E$4:$E$70,A4,03_Indicators!$K$4:$K$70,"T3")</f>
        <v>6</v>
      </c>
    </row>
    <row r="5" customFormat="false" ht="35.05" hidden="false" customHeight="false" outlineLevel="0" collapsed="false">
      <c r="A5" s="3" t="s">
        <v>76</v>
      </c>
      <c r="B5" s="3" t="s">
        <v>77</v>
      </c>
      <c r="C5" s="3" t="s">
        <v>78</v>
      </c>
      <c r="D5" s="3" t="n">
        <v>2</v>
      </c>
      <c r="E5" s="3" t="s">
        <v>79</v>
      </c>
      <c r="F5" s="3" t="s">
        <v>80</v>
      </c>
      <c r="G5" s="8" t="s">
        <v>81</v>
      </c>
      <c r="H5" s="3" t="s">
        <v>75</v>
      </c>
      <c r="I5" s="3" t="n">
        <f aca="false">COUNTIFS(03_Indicators!$E$4:$E$70,A5)</f>
        <v>14</v>
      </c>
      <c r="J5" s="3" t="n">
        <f aca="false">COUNTIFS(03_Indicators!$E$4:$E$70,A5,03_Indicators!$K$4:$K$70,"T1")</f>
        <v>0</v>
      </c>
      <c r="K5" s="3" t="n">
        <f aca="false">COUNTIFS(03_Indicators!$E$4:$E$70,A5,03_Indicators!$K$4:$K$70,"T2")</f>
        <v>6</v>
      </c>
      <c r="L5" s="3" t="n">
        <f aca="false">COUNTIFS(03_Indicators!$E$4:$E$70,A5,03_Indicators!$K$4:$K$70,"T3")</f>
        <v>8</v>
      </c>
    </row>
    <row r="6" customFormat="false" ht="46.25" hidden="false" customHeight="false" outlineLevel="0" collapsed="false">
      <c r="A6" s="3" t="s">
        <v>82</v>
      </c>
      <c r="B6" s="3" t="s">
        <v>83</v>
      </c>
      <c r="C6" s="3" t="s">
        <v>84</v>
      </c>
      <c r="D6" s="3" t="n">
        <v>3</v>
      </c>
      <c r="E6" s="3" t="s">
        <v>85</v>
      </c>
      <c r="F6" s="3" t="s">
        <v>86</v>
      </c>
      <c r="G6" s="9" t="s">
        <v>87</v>
      </c>
      <c r="H6" s="3" t="s">
        <v>75</v>
      </c>
      <c r="I6" s="3" t="n">
        <f aca="false">COUNTIFS(03_Indicators!$E$4:$E$70,A6)</f>
        <v>10</v>
      </c>
      <c r="J6" s="3" t="n">
        <f aca="false">COUNTIFS(03_Indicators!$E$4:$E$70,A6,03_Indicators!$K$4:$K$70,"T1")</f>
        <v>1</v>
      </c>
      <c r="K6" s="3" t="n">
        <f aca="false">COUNTIFS(03_Indicators!$E$4:$E$70,A6,03_Indicators!$K$4:$K$70,"T2")</f>
        <v>7</v>
      </c>
      <c r="L6" s="3" t="n">
        <f aca="false">COUNTIFS(03_Indicators!$E$4:$E$70,A6,03_Indicators!$K$4:$K$70,"T3")</f>
        <v>2</v>
      </c>
    </row>
    <row r="7" customFormat="false" ht="23.85" hidden="false" customHeight="false" outlineLevel="0" collapsed="false">
      <c r="A7" s="3" t="s">
        <v>88</v>
      </c>
      <c r="B7" s="3" t="s">
        <v>89</v>
      </c>
      <c r="C7" s="3" t="s">
        <v>89</v>
      </c>
      <c r="D7" s="3" t="n">
        <v>4</v>
      </c>
      <c r="E7" s="3" t="s">
        <v>90</v>
      </c>
      <c r="F7" s="3" t="s">
        <v>91</v>
      </c>
      <c r="G7" s="10" t="s">
        <v>92</v>
      </c>
      <c r="H7" s="3" t="s">
        <v>75</v>
      </c>
      <c r="I7" s="3" t="n">
        <f aca="false">COUNTIFS(03_Indicators!$E$4:$E$70,A7)</f>
        <v>10</v>
      </c>
      <c r="J7" s="3" t="n">
        <f aca="false">COUNTIFS(03_Indicators!$E$4:$E$70,A7,03_Indicators!$K$4:$K$70,"T1")</f>
        <v>0</v>
      </c>
      <c r="K7" s="3" t="n">
        <f aca="false">COUNTIFS(03_Indicators!$E$4:$E$70,A7,03_Indicators!$K$4:$K$70,"T2")</f>
        <v>3</v>
      </c>
      <c r="L7" s="3" t="n">
        <f aca="false">COUNTIFS(03_Indicators!$E$4:$E$70,A7,03_Indicators!$K$4:$K$70,"T3")</f>
        <v>7</v>
      </c>
    </row>
    <row r="8" customFormat="false" ht="35.05" hidden="false" customHeight="false" outlineLevel="0" collapsed="false">
      <c r="A8" s="3" t="s">
        <v>93</v>
      </c>
      <c r="B8" s="3" t="s">
        <v>94</v>
      </c>
      <c r="C8" s="3" t="s">
        <v>95</v>
      </c>
      <c r="D8" s="3" t="n">
        <v>5</v>
      </c>
      <c r="E8" s="3" t="s">
        <v>96</v>
      </c>
      <c r="F8" s="3" t="s">
        <v>97</v>
      </c>
      <c r="G8" s="11" t="s">
        <v>98</v>
      </c>
      <c r="H8" s="3" t="s">
        <v>75</v>
      </c>
      <c r="I8" s="3" t="n">
        <f aca="false">COUNTIFS(03_Indicators!$E$4:$E$70,A8)</f>
        <v>8</v>
      </c>
      <c r="J8" s="3" t="n">
        <f aca="false">COUNTIFS(03_Indicators!$E$4:$E$70,A8,03_Indicators!$K$4:$K$70,"T1")</f>
        <v>0</v>
      </c>
      <c r="K8" s="3" t="n">
        <f aca="false">COUNTIFS(03_Indicators!$E$4:$E$70,A8,03_Indicators!$K$4:$K$70,"T2")</f>
        <v>3</v>
      </c>
      <c r="L8" s="3" t="n">
        <f aca="false">COUNTIFS(03_Indicators!$E$4:$E$70,A8,03_Indicators!$K$4:$K$70,"T3")</f>
        <v>5</v>
      </c>
    </row>
    <row r="9" customFormat="false" ht="23.85" hidden="false" customHeight="false" outlineLevel="0" collapsed="false">
      <c r="A9" s="3" t="s">
        <v>99</v>
      </c>
      <c r="B9" s="3" t="s">
        <v>100</v>
      </c>
      <c r="C9" s="3" t="s">
        <v>101</v>
      </c>
      <c r="D9" s="3" t="n">
        <v>6</v>
      </c>
      <c r="E9" s="3" t="s">
        <v>102</v>
      </c>
      <c r="F9" s="3" t="s">
        <v>103</v>
      </c>
      <c r="G9" s="12" t="s">
        <v>104</v>
      </c>
      <c r="H9" s="3" t="s">
        <v>75</v>
      </c>
      <c r="I9" s="3" t="n">
        <f aca="false">COUNTIFS(03_Indicators!$E$4:$E$70,A9)</f>
        <v>4</v>
      </c>
      <c r="J9" s="3" t="n">
        <f aca="false">COUNTIFS(03_Indicators!$E$4:$E$70,A9,03_Indicators!$K$4:$K$70,"T1")</f>
        <v>0</v>
      </c>
      <c r="K9" s="3" t="n">
        <f aca="false">COUNTIFS(03_Indicators!$E$4:$E$70,A9,03_Indicators!$K$4:$K$70,"T2")</f>
        <v>1</v>
      </c>
      <c r="L9" s="3" t="n">
        <f aca="false">COUNTIFS(03_Indicators!$E$4:$E$70,A9,03_Indicators!$K$4:$K$70,"T3")</f>
        <v>3</v>
      </c>
    </row>
    <row r="10" customFormat="false" ht="23.85" hidden="false" customHeight="false" outlineLevel="0" collapsed="false">
      <c r="A10" s="3" t="s">
        <v>105</v>
      </c>
      <c r="B10" s="3" t="s">
        <v>106</v>
      </c>
      <c r="C10" s="3" t="s">
        <v>106</v>
      </c>
      <c r="D10" s="3" t="n">
        <v>7</v>
      </c>
      <c r="E10" s="3" t="s">
        <v>107</v>
      </c>
      <c r="F10" s="3" t="s">
        <v>108</v>
      </c>
      <c r="G10" s="13" t="s">
        <v>109</v>
      </c>
      <c r="H10" s="3" t="s">
        <v>75</v>
      </c>
      <c r="I10" s="3" t="n">
        <f aca="false">COUNTIFS(03_Indicators!$E$4:$E$70,A10)</f>
        <v>3</v>
      </c>
      <c r="J10" s="3" t="n">
        <f aca="false">COUNTIFS(03_Indicators!$E$4:$E$70,A10,03_Indicators!$K$4:$K$70,"T1")</f>
        <v>2</v>
      </c>
      <c r="K10" s="3" t="n">
        <f aca="false">COUNTIFS(03_Indicators!$E$4:$E$70,A10,03_Indicators!$K$4:$K$70,"T2")</f>
        <v>1</v>
      </c>
      <c r="L10" s="3" t="n">
        <f aca="false">COUNTIFS(03_Indicators!$E$4:$E$70,A10,03_Indicators!$K$4:$K$70,"T3")</f>
        <v>0</v>
      </c>
    </row>
    <row r="11" customFormat="false" ht="23.85" hidden="false" customHeight="false" outlineLevel="0" collapsed="false">
      <c r="A11" s="3" t="s">
        <v>110</v>
      </c>
      <c r="B11" s="3" t="s">
        <v>111</v>
      </c>
      <c r="C11" s="3" t="s">
        <v>112</v>
      </c>
      <c r="D11" s="3" t="n">
        <v>8</v>
      </c>
      <c r="E11" s="3" t="s">
        <v>113</v>
      </c>
      <c r="F11" s="3" t="s">
        <v>114</v>
      </c>
      <c r="G11" s="14" t="s">
        <v>115</v>
      </c>
      <c r="H11" s="3" t="s">
        <v>75</v>
      </c>
      <c r="I11" s="3" t="n">
        <f aca="false">COUNTIFS(03_Indicators!$E$4:$E$70,A11)</f>
        <v>3</v>
      </c>
      <c r="J11" s="3" t="n">
        <f aca="false">COUNTIFS(03_Indicators!$E$4:$E$70,A11,03_Indicators!$K$4:$K$70,"T1")</f>
        <v>0</v>
      </c>
      <c r="K11" s="3" t="n">
        <f aca="false">COUNTIFS(03_Indicators!$E$4:$E$70,A11,03_Indicators!$K$4:$K$70,"T2")</f>
        <v>1</v>
      </c>
      <c r="L11" s="3" t="n">
        <f aca="false">COUNTIFS(03_Indicators!$E$4:$E$70,A11,03_Indicators!$K$4:$K$70,"T3")</f>
        <v>2</v>
      </c>
    </row>
    <row r="12" customFormat="false" ht="46.25" hidden="false" customHeight="false" outlineLevel="0" collapsed="false">
      <c r="A12" s="3" t="s">
        <v>116</v>
      </c>
      <c r="B12" s="3" t="s">
        <v>117</v>
      </c>
      <c r="C12" s="3" t="s">
        <v>117</v>
      </c>
      <c r="D12" s="3" t="n">
        <v>9</v>
      </c>
      <c r="E12" s="3" t="s">
        <v>118</v>
      </c>
      <c r="F12" s="3" t="s">
        <v>119</v>
      </c>
      <c r="G12" s="15" t="s">
        <v>120</v>
      </c>
      <c r="H12" s="3" t="s">
        <v>121</v>
      </c>
      <c r="I12" s="3" t="n">
        <f aca="false">COUNTIFS(03_Indicators!$E$4:$E$70,A12)</f>
        <v>6</v>
      </c>
      <c r="J12" s="3" t="n">
        <f aca="false">COUNTIFS(03_Indicators!$E$4:$E$70,A12,03_Indicators!$K$4:$K$70,"T1")</f>
        <v>2</v>
      </c>
      <c r="K12" s="3" t="n">
        <f aca="false">COUNTIFS(03_Indicators!$E$4:$E$70,A12,03_Indicators!$K$4:$K$70,"T2")</f>
        <v>3</v>
      </c>
      <c r="L12" s="3" t="n">
        <f aca="false">COUNTIFS(03_Indicators!$E$4:$E$70,A12,03_Indicators!$K$4:$K$70,"T3")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4" min="3" style="0" width="40"/>
    <col collapsed="false" customWidth="true" hidden="false" outlineLevel="0" max="5" min="5" style="0" width="70"/>
    <col collapsed="false" customWidth="true" hidden="false" outlineLevel="0" max="6" min="6" style="0" width="12"/>
  </cols>
  <sheetData>
    <row r="1" customFormat="false" ht="15" hidden="false" customHeight="false" outlineLevel="0" collapsed="false">
      <c r="A1" s="5" t="s">
        <v>122</v>
      </c>
    </row>
    <row r="3" customFormat="false" ht="30" hidden="false" customHeight="true" outlineLevel="0" collapsed="false">
      <c r="A3" s="6" t="s">
        <v>123</v>
      </c>
      <c r="B3" s="6" t="s">
        <v>57</v>
      </c>
      <c r="C3" s="6" t="s">
        <v>58</v>
      </c>
      <c r="D3" s="6" t="s">
        <v>124</v>
      </c>
      <c r="E3" s="6" t="s">
        <v>125</v>
      </c>
      <c r="F3" s="6" t="s">
        <v>65</v>
      </c>
    </row>
    <row r="4" customFormat="false" ht="15" hidden="false" customHeight="false" outlineLevel="0" collapsed="false">
      <c r="A4" s="3" t="s">
        <v>126</v>
      </c>
      <c r="B4" s="3" t="s">
        <v>69</v>
      </c>
      <c r="C4" s="3" t="s">
        <v>70</v>
      </c>
      <c r="D4" s="3" t="s">
        <v>127</v>
      </c>
      <c r="E4" s="3" t="s">
        <v>128</v>
      </c>
      <c r="F4" s="3" t="n">
        <f aca="false">COUNTIFS(03_Indicators!$G$4:$G$70,A4)</f>
        <v>1</v>
      </c>
    </row>
    <row r="5" customFormat="false" ht="15" hidden="false" customHeight="false" outlineLevel="0" collapsed="false">
      <c r="A5" s="3" t="s">
        <v>129</v>
      </c>
      <c r="B5" s="3" t="s">
        <v>69</v>
      </c>
      <c r="C5" s="3" t="s">
        <v>70</v>
      </c>
      <c r="D5" s="3" t="s">
        <v>130</v>
      </c>
      <c r="E5" s="3" t="s">
        <v>131</v>
      </c>
      <c r="F5" s="3" t="n">
        <f aca="false">COUNTIFS(03_Indicators!$G$4:$G$70,A5)</f>
        <v>2</v>
      </c>
    </row>
    <row r="6" customFormat="false" ht="15" hidden="false" customHeight="false" outlineLevel="0" collapsed="false">
      <c r="A6" s="3" t="s">
        <v>132</v>
      </c>
      <c r="B6" s="3" t="s">
        <v>69</v>
      </c>
      <c r="C6" s="3" t="s">
        <v>70</v>
      </c>
      <c r="D6" s="3" t="s">
        <v>133</v>
      </c>
      <c r="E6" s="3" t="s">
        <v>134</v>
      </c>
      <c r="F6" s="3" t="n">
        <f aca="false">COUNTIFS(03_Indicators!$G$4:$G$70,A6)</f>
        <v>3</v>
      </c>
    </row>
    <row r="7" customFormat="false" ht="15" hidden="false" customHeight="false" outlineLevel="0" collapsed="false">
      <c r="A7" s="3" t="s">
        <v>135</v>
      </c>
      <c r="B7" s="3" t="s">
        <v>69</v>
      </c>
      <c r="C7" s="3" t="s">
        <v>70</v>
      </c>
      <c r="D7" s="3" t="s">
        <v>136</v>
      </c>
      <c r="E7" s="3" t="s">
        <v>137</v>
      </c>
      <c r="F7" s="3" t="n">
        <f aca="false">COUNTIFS(03_Indicators!$G$4:$G$70,A7)</f>
        <v>2</v>
      </c>
    </row>
    <row r="8" customFormat="false" ht="15" hidden="false" customHeight="false" outlineLevel="0" collapsed="false">
      <c r="A8" s="3" t="s">
        <v>138</v>
      </c>
      <c r="B8" s="3" t="s">
        <v>69</v>
      </c>
      <c r="C8" s="3" t="s">
        <v>70</v>
      </c>
      <c r="D8" s="3" t="s">
        <v>139</v>
      </c>
      <c r="E8" s="3" t="s">
        <v>140</v>
      </c>
      <c r="F8" s="3" t="n">
        <f aca="false">COUNTIFS(03_Indicators!$G$4:$G$70,A8)</f>
        <v>1</v>
      </c>
    </row>
    <row r="9" customFormat="false" ht="15" hidden="false" customHeight="false" outlineLevel="0" collapsed="false">
      <c r="A9" s="3" t="s">
        <v>141</v>
      </c>
      <c r="B9" s="3" t="s">
        <v>76</v>
      </c>
      <c r="C9" s="3" t="s">
        <v>77</v>
      </c>
      <c r="D9" s="3" t="s">
        <v>142</v>
      </c>
      <c r="E9" s="3" t="s">
        <v>143</v>
      </c>
      <c r="F9" s="3" t="n">
        <f aca="false">COUNTIFS(03_Indicators!$G$4:$G$70,A9)</f>
        <v>4</v>
      </c>
    </row>
    <row r="10" customFormat="false" ht="15" hidden="false" customHeight="false" outlineLevel="0" collapsed="false">
      <c r="A10" s="3" t="s">
        <v>144</v>
      </c>
      <c r="B10" s="3" t="s">
        <v>76</v>
      </c>
      <c r="C10" s="3" t="s">
        <v>77</v>
      </c>
      <c r="D10" s="3" t="s">
        <v>145</v>
      </c>
      <c r="E10" s="3" t="s">
        <v>146</v>
      </c>
      <c r="F10" s="3" t="n">
        <f aca="false">COUNTIFS(03_Indicators!$G$4:$G$70,A10)</f>
        <v>1</v>
      </c>
    </row>
    <row r="11" customFormat="false" ht="15" hidden="false" customHeight="false" outlineLevel="0" collapsed="false">
      <c r="A11" s="3" t="s">
        <v>147</v>
      </c>
      <c r="B11" s="3" t="s">
        <v>76</v>
      </c>
      <c r="C11" s="3" t="s">
        <v>77</v>
      </c>
      <c r="D11" s="3" t="s">
        <v>148</v>
      </c>
      <c r="E11" s="3" t="s">
        <v>149</v>
      </c>
      <c r="F11" s="3" t="n">
        <f aca="false">COUNTIFS(03_Indicators!$G$4:$G$70,A11)</f>
        <v>2</v>
      </c>
    </row>
    <row r="12" customFormat="false" ht="15" hidden="false" customHeight="false" outlineLevel="0" collapsed="false">
      <c r="A12" s="3" t="s">
        <v>150</v>
      </c>
      <c r="B12" s="3" t="s">
        <v>76</v>
      </c>
      <c r="C12" s="3" t="s">
        <v>77</v>
      </c>
      <c r="D12" s="3" t="s">
        <v>151</v>
      </c>
      <c r="E12" s="3" t="s">
        <v>152</v>
      </c>
      <c r="F12" s="3" t="n">
        <f aca="false">COUNTIFS(03_Indicators!$G$4:$G$70,A12)</f>
        <v>3</v>
      </c>
    </row>
    <row r="13" customFormat="false" ht="15" hidden="false" customHeight="false" outlineLevel="0" collapsed="false">
      <c r="A13" s="3" t="s">
        <v>153</v>
      </c>
      <c r="B13" s="3" t="s">
        <v>76</v>
      </c>
      <c r="C13" s="3" t="s">
        <v>77</v>
      </c>
      <c r="D13" s="3" t="s">
        <v>154</v>
      </c>
      <c r="E13" s="3" t="s">
        <v>155</v>
      </c>
      <c r="F13" s="3" t="n">
        <f aca="false">COUNTIFS(03_Indicators!$G$4:$G$70,A13)</f>
        <v>4</v>
      </c>
    </row>
    <row r="14" customFormat="false" ht="15" hidden="false" customHeight="false" outlineLevel="0" collapsed="false">
      <c r="A14" s="3" t="s">
        <v>156</v>
      </c>
      <c r="B14" s="3" t="s">
        <v>82</v>
      </c>
      <c r="C14" s="3" t="s">
        <v>83</v>
      </c>
      <c r="D14" s="3" t="s">
        <v>157</v>
      </c>
      <c r="E14" s="3" t="s">
        <v>158</v>
      </c>
      <c r="F14" s="3" t="n">
        <f aca="false">COUNTIFS(03_Indicators!$G$4:$G$70,A14)</f>
        <v>1</v>
      </c>
    </row>
    <row r="15" customFormat="false" ht="15" hidden="false" customHeight="false" outlineLevel="0" collapsed="false">
      <c r="A15" s="3" t="s">
        <v>159</v>
      </c>
      <c r="B15" s="3" t="s">
        <v>82</v>
      </c>
      <c r="C15" s="3" t="s">
        <v>83</v>
      </c>
      <c r="D15" s="3" t="s">
        <v>160</v>
      </c>
      <c r="E15" s="3" t="s">
        <v>161</v>
      </c>
      <c r="F15" s="3" t="n">
        <f aca="false">COUNTIFS(03_Indicators!$G$4:$G$70,A15)</f>
        <v>3</v>
      </c>
    </row>
    <row r="16" customFormat="false" ht="15" hidden="false" customHeight="false" outlineLevel="0" collapsed="false">
      <c r="A16" s="3" t="s">
        <v>162</v>
      </c>
      <c r="B16" s="3" t="s">
        <v>82</v>
      </c>
      <c r="C16" s="3" t="s">
        <v>83</v>
      </c>
      <c r="D16" s="3" t="s">
        <v>163</v>
      </c>
      <c r="E16" s="3" t="s">
        <v>164</v>
      </c>
      <c r="F16" s="3" t="n">
        <f aca="false">COUNTIFS(03_Indicators!$G$4:$G$70,A16)</f>
        <v>2</v>
      </c>
    </row>
    <row r="17" customFormat="false" ht="15" hidden="false" customHeight="false" outlineLevel="0" collapsed="false">
      <c r="A17" s="3" t="s">
        <v>165</v>
      </c>
      <c r="B17" s="3" t="s">
        <v>82</v>
      </c>
      <c r="C17" s="3" t="s">
        <v>83</v>
      </c>
      <c r="D17" s="3" t="s">
        <v>166</v>
      </c>
      <c r="E17" s="3" t="s">
        <v>167</v>
      </c>
      <c r="F17" s="3" t="n">
        <f aca="false">COUNTIFS(03_Indicators!$G$4:$G$70,A17)</f>
        <v>1</v>
      </c>
    </row>
    <row r="18" customFormat="false" ht="15" hidden="false" customHeight="false" outlineLevel="0" collapsed="false">
      <c r="A18" s="3" t="s">
        <v>168</v>
      </c>
      <c r="B18" s="3" t="s">
        <v>82</v>
      </c>
      <c r="C18" s="3" t="s">
        <v>83</v>
      </c>
      <c r="D18" s="3" t="s">
        <v>169</v>
      </c>
      <c r="E18" s="3" t="s">
        <v>170</v>
      </c>
      <c r="F18" s="3" t="n">
        <f aca="false">COUNTIFS(03_Indicators!$G$4:$G$70,A18)</f>
        <v>3</v>
      </c>
    </row>
    <row r="19" customFormat="false" ht="15" hidden="false" customHeight="false" outlineLevel="0" collapsed="false">
      <c r="A19" s="3" t="s">
        <v>171</v>
      </c>
      <c r="B19" s="3" t="s">
        <v>88</v>
      </c>
      <c r="C19" s="3" t="s">
        <v>89</v>
      </c>
      <c r="D19" s="3" t="s">
        <v>172</v>
      </c>
      <c r="E19" s="3" t="s">
        <v>173</v>
      </c>
      <c r="F19" s="3" t="n">
        <f aca="false">COUNTIFS(03_Indicators!$G$4:$G$70,A19)</f>
        <v>4</v>
      </c>
    </row>
    <row r="20" customFormat="false" ht="15" hidden="false" customHeight="false" outlineLevel="0" collapsed="false">
      <c r="A20" s="3" t="s">
        <v>174</v>
      </c>
      <c r="B20" s="3" t="s">
        <v>88</v>
      </c>
      <c r="C20" s="3" t="s">
        <v>89</v>
      </c>
      <c r="D20" s="3" t="s">
        <v>175</v>
      </c>
      <c r="E20" s="3" t="s">
        <v>176</v>
      </c>
      <c r="F20" s="3" t="n">
        <f aca="false">COUNTIFS(03_Indicators!$G$4:$G$70,A20)</f>
        <v>2</v>
      </c>
    </row>
    <row r="21" customFormat="false" ht="15" hidden="false" customHeight="false" outlineLevel="0" collapsed="false">
      <c r="A21" s="3" t="s">
        <v>177</v>
      </c>
      <c r="B21" s="3" t="s">
        <v>88</v>
      </c>
      <c r="C21" s="3" t="s">
        <v>89</v>
      </c>
      <c r="D21" s="3" t="s">
        <v>178</v>
      </c>
      <c r="E21" s="3" t="s">
        <v>179</v>
      </c>
      <c r="F21" s="3" t="n">
        <f aca="false">COUNTIFS(03_Indicators!$G$4:$G$70,A21)</f>
        <v>3</v>
      </c>
    </row>
    <row r="22" customFormat="false" ht="15" hidden="false" customHeight="false" outlineLevel="0" collapsed="false">
      <c r="A22" s="3" t="s">
        <v>180</v>
      </c>
      <c r="B22" s="3" t="s">
        <v>88</v>
      </c>
      <c r="C22" s="3" t="s">
        <v>89</v>
      </c>
      <c r="D22" s="3" t="s">
        <v>181</v>
      </c>
      <c r="E22" s="3" t="s">
        <v>182</v>
      </c>
      <c r="F22" s="3" t="n">
        <f aca="false">COUNTIFS(03_Indicators!$G$4:$G$70,A22)</f>
        <v>1</v>
      </c>
    </row>
    <row r="23" customFormat="false" ht="15" hidden="false" customHeight="false" outlineLevel="0" collapsed="false">
      <c r="A23" s="3" t="s">
        <v>183</v>
      </c>
      <c r="B23" s="3" t="s">
        <v>93</v>
      </c>
      <c r="C23" s="3" t="s">
        <v>94</v>
      </c>
      <c r="D23" s="3" t="s">
        <v>184</v>
      </c>
      <c r="E23" s="3" t="s">
        <v>185</v>
      </c>
      <c r="F23" s="3" t="n">
        <f aca="false">COUNTIFS(03_Indicators!$G$4:$G$70,A23)</f>
        <v>2</v>
      </c>
    </row>
    <row r="24" customFormat="false" ht="15" hidden="false" customHeight="false" outlineLevel="0" collapsed="false">
      <c r="A24" s="3" t="s">
        <v>186</v>
      </c>
      <c r="B24" s="3" t="s">
        <v>93</v>
      </c>
      <c r="C24" s="3" t="s">
        <v>94</v>
      </c>
      <c r="D24" s="3" t="s">
        <v>187</v>
      </c>
      <c r="E24" s="3" t="s">
        <v>188</v>
      </c>
      <c r="F24" s="3" t="n">
        <f aca="false">COUNTIFS(03_Indicators!$G$4:$G$70,A24)</f>
        <v>2</v>
      </c>
    </row>
    <row r="25" customFormat="false" ht="15" hidden="false" customHeight="false" outlineLevel="0" collapsed="false">
      <c r="A25" s="3" t="s">
        <v>189</v>
      </c>
      <c r="B25" s="3" t="s">
        <v>93</v>
      </c>
      <c r="C25" s="3" t="s">
        <v>94</v>
      </c>
      <c r="D25" s="3" t="s">
        <v>190</v>
      </c>
      <c r="E25" s="3" t="s">
        <v>191</v>
      </c>
      <c r="F25" s="3" t="n">
        <f aca="false">COUNTIFS(03_Indicators!$G$4:$G$70,A25)</f>
        <v>2</v>
      </c>
    </row>
    <row r="26" customFormat="false" ht="15" hidden="false" customHeight="false" outlineLevel="0" collapsed="false">
      <c r="A26" s="3" t="s">
        <v>192</v>
      </c>
      <c r="B26" s="3" t="s">
        <v>93</v>
      </c>
      <c r="C26" s="3" t="s">
        <v>94</v>
      </c>
      <c r="D26" s="3" t="s">
        <v>193</v>
      </c>
      <c r="E26" s="3" t="s">
        <v>194</v>
      </c>
      <c r="F26" s="3" t="n">
        <f aca="false">COUNTIFS(03_Indicators!$G$4:$G$70,A26)</f>
        <v>2</v>
      </c>
    </row>
    <row r="27" customFormat="false" ht="15" hidden="false" customHeight="false" outlineLevel="0" collapsed="false">
      <c r="A27" s="3" t="s">
        <v>195</v>
      </c>
      <c r="B27" s="3" t="s">
        <v>99</v>
      </c>
      <c r="C27" s="3" t="s">
        <v>100</v>
      </c>
      <c r="D27" s="3" t="s">
        <v>196</v>
      </c>
      <c r="E27" s="3" t="s">
        <v>197</v>
      </c>
      <c r="F27" s="3" t="n">
        <f aca="false">COUNTIFS(03_Indicators!$G$4:$G$70,A27)</f>
        <v>4</v>
      </c>
    </row>
    <row r="28" customFormat="false" ht="15" hidden="false" customHeight="false" outlineLevel="0" collapsed="false">
      <c r="A28" s="3" t="s">
        <v>198</v>
      </c>
      <c r="B28" s="3" t="s">
        <v>105</v>
      </c>
      <c r="C28" s="3" t="s">
        <v>106</v>
      </c>
      <c r="D28" s="3" t="s">
        <v>199</v>
      </c>
      <c r="E28" s="3" t="s">
        <v>200</v>
      </c>
      <c r="F28" s="3" t="n">
        <f aca="false">COUNTIFS(03_Indicators!$G$4:$G$70,A28)</f>
        <v>1</v>
      </c>
    </row>
    <row r="29" customFormat="false" ht="15" hidden="false" customHeight="false" outlineLevel="0" collapsed="false">
      <c r="A29" s="3" t="s">
        <v>201</v>
      </c>
      <c r="B29" s="3" t="s">
        <v>105</v>
      </c>
      <c r="C29" s="3" t="s">
        <v>106</v>
      </c>
      <c r="D29" s="3" t="s">
        <v>202</v>
      </c>
      <c r="E29" s="3" t="s">
        <v>203</v>
      </c>
      <c r="F29" s="3" t="n">
        <f aca="false">COUNTIFS(03_Indicators!$G$4:$G$70,A29)</f>
        <v>1</v>
      </c>
    </row>
    <row r="30" customFormat="false" ht="15" hidden="false" customHeight="false" outlineLevel="0" collapsed="false">
      <c r="A30" s="3" t="s">
        <v>204</v>
      </c>
      <c r="B30" s="3" t="s">
        <v>105</v>
      </c>
      <c r="C30" s="3" t="s">
        <v>106</v>
      </c>
      <c r="D30" s="3" t="s">
        <v>205</v>
      </c>
      <c r="E30" s="3" t="s">
        <v>206</v>
      </c>
      <c r="F30" s="3" t="n">
        <f aca="false">COUNTIFS(03_Indicators!$G$4:$G$70,A30)</f>
        <v>1</v>
      </c>
    </row>
    <row r="31" customFormat="false" ht="15" hidden="false" customHeight="false" outlineLevel="0" collapsed="false">
      <c r="A31" s="3" t="s">
        <v>207</v>
      </c>
      <c r="B31" s="3" t="s">
        <v>110</v>
      </c>
      <c r="C31" s="3" t="s">
        <v>111</v>
      </c>
      <c r="D31" s="3" t="s">
        <v>208</v>
      </c>
      <c r="E31" s="3" t="s">
        <v>209</v>
      </c>
      <c r="F31" s="3" t="n">
        <f aca="false">COUNTIFS(03_Indicators!$G$4:$G$70,A31)</f>
        <v>2</v>
      </c>
    </row>
    <row r="32" customFormat="false" ht="15" hidden="false" customHeight="false" outlineLevel="0" collapsed="false">
      <c r="A32" s="3" t="s">
        <v>210</v>
      </c>
      <c r="B32" s="3" t="s">
        <v>110</v>
      </c>
      <c r="C32" s="3" t="s">
        <v>111</v>
      </c>
      <c r="D32" s="3" t="s">
        <v>211</v>
      </c>
      <c r="E32" s="3" t="s">
        <v>212</v>
      </c>
      <c r="F32" s="3" t="n">
        <f aca="false">COUNTIFS(03_Indicators!$G$4:$G$70,A32)</f>
        <v>1</v>
      </c>
    </row>
    <row r="33" customFormat="false" ht="15" hidden="false" customHeight="false" outlineLevel="0" collapsed="false">
      <c r="A33" s="3" t="s">
        <v>213</v>
      </c>
      <c r="B33" s="3" t="s">
        <v>116</v>
      </c>
      <c r="C33" s="3" t="s">
        <v>117</v>
      </c>
      <c r="D33" s="3" t="s">
        <v>214</v>
      </c>
      <c r="E33" s="3" t="s">
        <v>215</v>
      </c>
      <c r="F33" s="3" t="n">
        <f aca="false">COUNTIFS(03_Indicators!$G$4:$G$70,A33)</f>
        <v>2</v>
      </c>
    </row>
    <row r="34" customFormat="false" ht="15" hidden="false" customHeight="false" outlineLevel="0" collapsed="false">
      <c r="A34" s="3" t="s">
        <v>216</v>
      </c>
      <c r="B34" s="3" t="s">
        <v>116</v>
      </c>
      <c r="C34" s="3" t="s">
        <v>117</v>
      </c>
      <c r="D34" s="3" t="s">
        <v>217</v>
      </c>
      <c r="E34" s="3" t="s">
        <v>218</v>
      </c>
      <c r="F34" s="3" t="n">
        <f aca="false">COUNTIFS(03_Indicators!$G$4:$G$70,A34)</f>
        <v>2</v>
      </c>
    </row>
    <row r="35" customFormat="false" ht="15" hidden="false" customHeight="false" outlineLevel="0" collapsed="false">
      <c r="A35" s="3" t="s">
        <v>219</v>
      </c>
      <c r="B35" s="3" t="s">
        <v>116</v>
      </c>
      <c r="C35" s="3" t="s">
        <v>117</v>
      </c>
      <c r="D35" s="3" t="s">
        <v>220</v>
      </c>
      <c r="E35" s="3" t="s">
        <v>221</v>
      </c>
      <c r="F35" s="3" t="n">
        <f aca="false">COUNTIFS(03_Indicators!$G$4:$G$70,A35)</f>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40"/>
    <col collapsed="false" customWidth="true" hidden="false" outlineLevel="0" max="3" min="3" style="0" width="44"/>
    <col collapsed="false" customWidth="true" hidden="false" outlineLevel="0" max="4" min="4" style="0" width="70"/>
    <col collapsed="false" customWidth="true" hidden="false" outlineLevel="0" max="5" min="5" style="0" width="10"/>
    <col collapsed="false" customWidth="true" hidden="false" outlineLevel="0" max="6" min="6" style="0" width="30"/>
    <col collapsed="false" customWidth="true" hidden="false" outlineLevel="0" max="7" min="7" style="0" width="12"/>
    <col collapsed="false" customWidth="true" hidden="false" outlineLevel="0" max="8" min="8" style="0" width="28"/>
    <col collapsed="false" customWidth="true" hidden="false" outlineLevel="0" max="9" min="9" style="0" width="9"/>
    <col collapsed="false" customWidth="true" hidden="false" outlineLevel="0" max="10" min="10" style="0" width="8"/>
    <col collapsed="false" customWidth="true" hidden="false" outlineLevel="0" max="11" min="11" style="0" width="6"/>
    <col collapsed="false" customWidth="true" hidden="false" outlineLevel="0" max="12" min="12" style="0" width="10"/>
    <col collapsed="false" customWidth="true" hidden="false" outlineLevel="0" max="13" min="13" style="0" width="22"/>
    <col collapsed="false" customWidth="true" hidden="false" outlineLevel="0" max="14" min="14" style="0" width="10"/>
    <col collapsed="false" customWidth="true" hidden="false" outlineLevel="0" max="15" min="15" style="0" width="13"/>
    <col collapsed="false" customWidth="true" hidden="false" outlineLevel="0" max="16" min="16" style="0" width="17"/>
    <col collapsed="false" customWidth="true" hidden="false" outlineLevel="0" max="17" min="17" style="0" width="26"/>
    <col collapsed="false" customWidth="true" hidden="false" outlineLevel="0" max="18" min="18" style="0" width="22"/>
    <col collapsed="false" customWidth="true" hidden="false" outlineLevel="0" max="19" min="19" style="0" width="40"/>
    <col collapsed="false" customWidth="true" hidden="false" outlineLevel="0" max="23" min="20" style="0" width="9"/>
    <col collapsed="false" customWidth="true" hidden="false" outlineLevel="0" max="25" min="24" style="0" width="26"/>
    <col collapsed="false" customWidth="true" hidden="false" outlineLevel="0" max="26" min="26" style="0" width="16"/>
    <col collapsed="false" customWidth="true" hidden="false" outlineLevel="0" max="27" min="27" style="0" width="22"/>
    <col collapsed="false" customWidth="true" hidden="false" outlineLevel="0" max="28" min="28" style="0" width="16"/>
    <col collapsed="false" customWidth="true" hidden="false" outlineLevel="0" max="29" min="29" style="0" width="22"/>
  </cols>
  <sheetData>
    <row r="1" customFormat="false" ht="15" hidden="false" customHeight="false" outlineLevel="0" collapsed="false">
      <c r="A1" s="5" t="s">
        <v>222</v>
      </c>
    </row>
    <row r="2" customFormat="false" ht="15" hidden="false" customHeight="false" outlineLevel="0" collapsed="false">
      <c r="A2" s="16" t="s">
        <v>223</v>
      </c>
    </row>
    <row r="3" customFormat="false" ht="30" hidden="false" customHeight="true" outlineLevel="0" collapsed="false">
      <c r="A3" s="6" t="s">
        <v>224</v>
      </c>
      <c r="B3" s="6" t="s">
        <v>225</v>
      </c>
      <c r="C3" s="6" t="s">
        <v>226</v>
      </c>
      <c r="D3" s="6" t="s">
        <v>125</v>
      </c>
      <c r="E3" s="6" t="s">
        <v>57</v>
      </c>
      <c r="F3" s="6" t="s">
        <v>58</v>
      </c>
      <c r="G3" s="6" t="s">
        <v>123</v>
      </c>
      <c r="H3" s="6" t="s">
        <v>124</v>
      </c>
      <c r="I3" s="6" t="s">
        <v>60</v>
      </c>
      <c r="J3" s="6" t="s">
        <v>227</v>
      </c>
      <c r="K3" s="6" t="s">
        <v>228</v>
      </c>
      <c r="L3" s="6" t="s">
        <v>229</v>
      </c>
      <c r="M3" s="6" t="s">
        <v>230</v>
      </c>
      <c r="N3" s="6" t="s">
        <v>231</v>
      </c>
      <c r="O3" s="6" t="s">
        <v>232</v>
      </c>
      <c r="P3" s="6" t="s">
        <v>233</v>
      </c>
      <c r="Q3" s="6" t="s">
        <v>234</v>
      </c>
      <c r="R3" s="6" t="s">
        <v>235</v>
      </c>
      <c r="S3" s="6" t="s">
        <v>236</v>
      </c>
      <c r="T3" s="6" t="s">
        <v>237</v>
      </c>
      <c r="U3" s="6" t="s">
        <v>238</v>
      </c>
      <c r="V3" s="6" t="s">
        <v>239</v>
      </c>
      <c r="W3" s="6" t="s">
        <v>240</v>
      </c>
      <c r="X3" s="6" t="s">
        <v>241</v>
      </c>
      <c r="Y3" s="6" t="s">
        <v>242</v>
      </c>
      <c r="Z3" s="6" t="s">
        <v>243</v>
      </c>
      <c r="AA3" s="6" t="s">
        <v>244</v>
      </c>
      <c r="AB3" s="6" t="s">
        <v>245</v>
      </c>
      <c r="AC3" s="6" t="s">
        <v>246</v>
      </c>
    </row>
    <row r="4" customFormat="false" ht="23.85" hidden="false" customHeight="false" outlineLevel="0" collapsed="false">
      <c r="A4" s="17" t="s">
        <v>247</v>
      </c>
      <c r="B4" s="3" t="s">
        <v>248</v>
      </c>
      <c r="C4" s="3" t="s">
        <v>249</v>
      </c>
      <c r="D4" s="3" t="s">
        <v>250</v>
      </c>
      <c r="E4" s="3" t="s">
        <v>69</v>
      </c>
      <c r="F4" s="3" t="s">
        <v>70</v>
      </c>
      <c r="G4" s="3" t="s">
        <v>135</v>
      </c>
      <c r="H4" s="3" t="s">
        <v>136</v>
      </c>
      <c r="I4" s="3" t="n">
        <v>1</v>
      </c>
      <c r="J4" s="3" t="n">
        <v>1</v>
      </c>
      <c r="K4" s="3" t="s">
        <v>67</v>
      </c>
      <c r="L4" s="3" t="s">
        <v>251</v>
      </c>
      <c r="M4" s="3" t="s">
        <v>252</v>
      </c>
      <c r="N4" s="3" t="s">
        <v>253</v>
      </c>
      <c r="O4" s="3" t="s">
        <v>253</v>
      </c>
      <c r="P4" s="3" t="s">
        <v>254</v>
      </c>
      <c r="Q4" s="3" t="s">
        <v>255</v>
      </c>
      <c r="R4" s="3" t="s">
        <v>256</v>
      </c>
      <c r="S4" s="3" t="s">
        <v>257</v>
      </c>
      <c r="T4" s="3" t="s">
        <v>258</v>
      </c>
      <c r="U4" s="3" t="s">
        <v>258</v>
      </c>
      <c r="V4" s="3" t="s">
        <v>258</v>
      </c>
      <c r="W4" s="3" t="s">
        <v>258</v>
      </c>
      <c r="X4" s="3" t="s">
        <v>259</v>
      </c>
      <c r="Y4" s="3" t="s">
        <v>260</v>
      </c>
      <c r="Z4" s="3" t="s">
        <v>261</v>
      </c>
      <c r="AA4" s="3" t="s">
        <v>262</v>
      </c>
      <c r="AB4" s="3" t="s">
        <v>263</v>
      </c>
      <c r="AC4" s="3" t="s">
        <v>264</v>
      </c>
    </row>
    <row r="5" customFormat="false" ht="35.05" hidden="false" customHeight="false" outlineLevel="0" collapsed="false">
      <c r="A5" s="17" t="s">
        <v>265</v>
      </c>
      <c r="B5" s="3" t="s">
        <v>266</v>
      </c>
      <c r="C5" s="3" t="s">
        <v>267</v>
      </c>
      <c r="D5" s="3" t="s">
        <v>268</v>
      </c>
      <c r="E5" s="3" t="s">
        <v>69</v>
      </c>
      <c r="F5" s="3" t="s">
        <v>70</v>
      </c>
      <c r="G5" s="3" t="s">
        <v>126</v>
      </c>
      <c r="H5" s="3" t="s">
        <v>127</v>
      </c>
      <c r="I5" s="3" t="n">
        <v>1</v>
      </c>
      <c r="J5" s="3" t="n">
        <v>2</v>
      </c>
      <c r="K5" s="3" t="s">
        <v>67</v>
      </c>
      <c r="L5" s="3" t="s">
        <v>251</v>
      </c>
      <c r="M5" s="3" t="s">
        <v>252</v>
      </c>
      <c r="N5" s="3" t="s">
        <v>269</v>
      </c>
      <c r="O5" s="3" t="s">
        <v>270</v>
      </c>
      <c r="P5" s="3" t="s">
        <v>254</v>
      </c>
      <c r="Q5" s="3" t="s">
        <v>271</v>
      </c>
      <c r="R5" s="3" t="s">
        <v>256</v>
      </c>
      <c r="S5" s="3" t="s">
        <v>272</v>
      </c>
      <c r="T5" s="3" t="s">
        <v>273</v>
      </c>
      <c r="U5" s="3" t="s">
        <v>258</v>
      </c>
      <c r="V5" s="3" t="s">
        <v>258</v>
      </c>
      <c r="W5" s="3" t="s">
        <v>258</v>
      </c>
      <c r="X5" s="3"/>
      <c r="Y5" s="3" t="s">
        <v>260</v>
      </c>
      <c r="Z5" s="3" t="s">
        <v>261</v>
      </c>
      <c r="AA5" s="3" t="s">
        <v>274</v>
      </c>
      <c r="AB5" s="3" t="s">
        <v>275</v>
      </c>
      <c r="AC5" s="3" t="s">
        <v>276</v>
      </c>
    </row>
    <row r="6" customFormat="false" ht="35.05" hidden="false" customHeight="false" outlineLevel="0" collapsed="false">
      <c r="A6" s="17" t="s">
        <v>277</v>
      </c>
      <c r="B6" s="3" t="s">
        <v>278</v>
      </c>
      <c r="C6" s="3" t="s">
        <v>279</v>
      </c>
      <c r="D6" s="3" t="s">
        <v>280</v>
      </c>
      <c r="E6" s="3" t="s">
        <v>69</v>
      </c>
      <c r="F6" s="3" t="s">
        <v>70</v>
      </c>
      <c r="G6" s="3" t="s">
        <v>132</v>
      </c>
      <c r="H6" s="3" t="s">
        <v>133</v>
      </c>
      <c r="I6" s="3" t="n">
        <v>1</v>
      </c>
      <c r="J6" s="3" t="n">
        <v>3</v>
      </c>
      <c r="K6" s="3" t="s">
        <v>67</v>
      </c>
      <c r="L6" s="3" t="s">
        <v>251</v>
      </c>
      <c r="M6" s="3" t="s">
        <v>252</v>
      </c>
      <c r="N6" s="3" t="s">
        <v>269</v>
      </c>
      <c r="O6" s="3" t="s">
        <v>270</v>
      </c>
      <c r="P6" s="3" t="s">
        <v>254</v>
      </c>
      <c r="Q6" s="3" t="s">
        <v>255</v>
      </c>
      <c r="R6" s="3" t="s">
        <v>256</v>
      </c>
      <c r="S6" s="3" t="s">
        <v>281</v>
      </c>
      <c r="T6" s="3"/>
      <c r="U6" s="3" t="s">
        <v>273</v>
      </c>
      <c r="V6" s="3" t="s">
        <v>258</v>
      </c>
      <c r="W6" s="3"/>
      <c r="X6" s="3"/>
      <c r="Y6" s="3" t="s">
        <v>260</v>
      </c>
      <c r="Z6" s="3" t="s">
        <v>261</v>
      </c>
      <c r="AA6" s="3" t="s">
        <v>282</v>
      </c>
      <c r="AB6" s="3" t="s">
        <v>283</v>
      </c>
      <c r="AC6" s="3" t="s">
        <v>284</v>
      </c>
    </row>
    <row r="7" customFormat="false" ht="23.85" hidden="false" customHeight="false" outlineLevel="0" collapsed="false">
      <c r="A7" s="17" t="s">
        <v>285</v>
      </c>
      <c r="B7" s="3" t="s">
        <v>286</v>
      </c>
      <c r="C7" s="3" t="s">
        <v>287</v>
      </c>
      <c r="D7" s="3" t="s">
        <v>288</v>
      </c>
      <c r="E7" s="3" t="s">
        <v>69</v>
      </c>
      <c r="F7" s="3" t="s">
        <v>70</v>
      </c>
      <c r="G7" s="3" t="s">
        <v>129</v>
      </c>
      <c r="H7" s="3" t="s">
        <v>130</v>
      </c>
      <c r="I7" s="3" t="n">
        <v>1</v>
      </c>
      <c r="J7" s="3" t="n">
        <v>4</v>
      </c>
      <c r="K7" s="3" t="s">
        <v>68</v>
      </c>
      <c r="L7" s="3" t="s">
        <v>251</v>
      </c>
      <c r="M7" s="3" t="s">
        <v>252</v>
      </c>
      <c r="N7" s="3" t="s">
        <v>269</v>
      </c>
      <c r="O7" s="3" t="s">
        <v>270</v>
      </c>
      <c r="P7" s="3" t="s">
        <v>289</v>
      </c>
      <c r="Q7" s="3" t="s">
        <v>255</v>
      </c>
      <c r="R7" s="3" t="s">
        <v>256</v>
      </c>
      <c r="S7" s="3"/>
      <c r="T7" s="3" t="s">
        <v>258</v>
      </c>
      <c r="U7" s="3"/>
      <c r="V7" s="3"/>
      <c r="W7" s="3"/>
      <c r="X7" s="3"/>
      <c r="Y7" s="3" t="s">
        <v>260</v>
      </c>
      <c r="Z7" s="3" t="s">
        <v>261</v>
      </c>
      <c r="AA7" s="3" t="s">
        <v>256</v>
      </c>
      <c r="AB7" s="3" t="s">
        <v>290</v>
      </c>
      <c r="AC7" s="3" t="s">
        <v>264</v>
      </c>
    </row>
    <row r="8" customFormat="false" ht="23.85" hidden="false" customHeight="false" outlineLevel="0" collapsed="false">
      <c r="A8" s="17" t="s">
        <v>291</v>
      </c>
      <c r="B8" s="3" t="s">
        <v>292</v>
      </c>
      <c r="C8" s="3" t="s">
        <v>293</v>
      </c>
      <c r="D8" s="3" t="s">
        <v>294</v>
      </c>
      <c r="E8" s="3" t="s">
        <v>69</v>
      </c>
      <c r="F8" s="3" t="s">
        <v>70</v>
      </c>
      <c r="G8" s="3" t="s">
        <v>129</v>
      </c>
      <c r="H8" s="3" t="s">
        <v>130</v>
      </c>
      <c r="I8" s="3" t="n">
        <v>1</v>
      </c>
      <c r="J8" s="3" t="n">
        <v>5</v>
      </c>
      <c r="K8" s="3" t="s">
        <v>68</v>
      </c>
      <c r="L8" s="3" t="s">
        <v>251</v>
      </c>
      <c r="M8" s="3" t="s">
        <v>252</v>
      </c>
      <c r="N8" s="3" t="s">
        <v>269</v>
      </c>
      <c r="O8" s="3" t="s">
        <v>270</v>
      </c>
      <c r="P8" s="3" t="s">
        <v>254</v>
      </c>
      <c r="Q8" s="3" t="s">
        <v>255</v>
      </c>
      <c r="R8" s="3" t="s">
        <v>256</v>
      </c>
      <c r="S8" s="3" t="s">
        <v>295</v>
      </c>
      <c r="T8" s="3" t="s">
        <v>258</v>
      </c>
      <c r="U8" s="3" t="s">
        <v>258</v>
      </c>
      <c r="V8" s="3"/>
      <c r="W8" s="3"/>
      <c r="X8" s="3"/>
      <c r="Y8" s="3" t="s">
        <v>260</v>
      </c>
      <c r="Z8" s="3" t="s">
        <v>261</v>
      </c>
      <c r="AA8" s="3" t="s">
        <v>256</v>
      </c>
      <c r="AB8" s="3" t="s">
        <v>296</v>
      </c>
      <c r="AC8" s="3" t="s">
        <v>276</v>
      </c>
    </row>
    <row r="9" customFormat="false" ht="35.05" hidden="false" customHeight="false" outlineLevel="0" collapsed="false">
      <c r="A9" s="17" t="s">
        <v>297</v>
      </c>
      <c r="B9" s="3" t="s">
        <v>298</v>
      </c>
      <c r="C9" s="3" t="s">
        <v>299</v>
      </c>
      <c r="D9" s="3" t="s">
        <v>300</v>
      </c>
      <c r="E9" s="3" t="s">
        <v>69</v>
      </c>
      <c r="F9" s="3" t="s">
        <v>70</v>
      </c>
      <c r="G9" s="3" t="s">
        <v>135</v>
      </c>
      <c r="H9" s="3" t="s">
        <v>136</v>
      </c>
      <c r="I9" s="3" t="n">
        <v>1</v>
      </c>
      <c r="J9" s="3" t="n">
        <v>6</v>
      </c>
      <c r="K9" s="3" t="s">
        <v>68</v>
      </c>
      <c r="L9" s="3" t="s">
        <v>251</v>
      </c>
      <c r="M9" s="3" t="s">
        <v>252</v>
      </c>
      <c r="N9" s="3" t="s">
        <v>269</v>
      </c>
      <c r="O9" s="3" t="s">
        <v>270</v>
      </c>
      <c r="P9" s="3" t="s">
        <v>254</v>
      </c>
      <c r="Q9" s="3" t="s">
        <v>255</v>
      </c>
      <c r="R9" s="3" t="s">
        <v>256</v>
      </c>
      <c r="S9" s="3" t="s">
        <v>301</v>
      </c>
      <c r="T9" s="3" t="s">
        <v>258</v>
      </c>
      <c r="U9" s="3" t="s">
        <v>258</v>
      </c>
      <c r="V9" s="3" t="s">
        <v>258</v>
      </c>
      <c r="W9" s="3"/>
      <c r="X9" s="3"/>
      <c r="Y9" s="3" t="s">
        <v>260</v>
      </c>
      <c r="Z9" s="3" t="s">
        <v>261</v>
      </c>
      <c r="AA9" s="3" t="s">
        <v>302</v>
      </c>
      <c r="AB9" s="3" t="s">
        <v>303</v>
      </c>
      <c r="AC9" s="3" t="s">
        <v>276</v>
      </c>
    </row>
    <row r="10" customFormat="false" ht="23.85" hidden="false" customHeight="false" outlineLevel="0" collapsed="false">
      <c r="A10" s="17" t="s">
        <v>304</v>
      </c>
      <c r="B10" s="3" t="s">
        <v>305</v>
      </c>
      <c r="C10" s="3" t="s">
        <v>306</v>
      </c>
      <c r="D10" s="3" t="s">
        <v>307</v>
      </c>
      <c r="E10" s="3" t="s">
        <v>69</v>
      </c>
      <c r="F10" s="3" t="s">
        <v>70</v>
      </c>
      <c r="G10" s="3" t="s">
        <v>132</v>
      </c>
      <c r="H10" s="3" t="s">
        <v>133</v>
      </c>
      <c r="I10" s="3" t="n">
        <v>1</v>
      </c>
      <c r="J10" s="3" t="n">
        <v>7</v>
      </c>
      <c r="K10" s="3" t="s">
        <v>68</v>
      </c>
      <c r="L10" s="3" t="s">
        <v>251</v>
      </c>
      <c r="M10" s="3" t="s">
        <v>252</v>
      </c>
      <c r="N10" s="3" t="s">
        <v>253</v>
      </c>
      <c r="O10" s="3" t="s">
        <v>253</v>
      </c>
      <c r="P10" s="3" t="s">
        <v>289</v>
      </c>
      <c r="Q10" s="3" t="s">
        <v>255</v>
      </c>
      <c r="R10" s="3" t="s">
        <v>256</v>
      </c>
      <c r="S10" s="3" t="s">
        <v>308</v>
      </c>
      <c r="T10" s="3"/>
      <c r="U10" s="3" t="s">
        <v>258</v>
      </c>
      <c r="V10" s="3" t="s">
        <v>258</v>
      </c>
      <c r="W10" s="3"/>
      <c r="X10" s="3" t="s">
        <v>259</v>
      </c>
      <c r="Y10" s="3" t="s">
        <v>260</v>
      </c>
      <c r="Z10" s="3" t="s">
        <v>261</v>
      </c>
      <c r="AA10" s="3" t="s">
        <v>309</v>
      </c>
      <c r="AB10" s="3" t="s">
        <v>310</v>
      </c>
      <c r="AC10" s="3" t="s">
        <v>264</v>
      </c>
    </row>
    <row r="11" customFormat="false" ht="23.85" hidden="false" customHeight="false" outlineLevel="0" collapsed="false">
      <c r="A11" s="17" t="s">
        <v>311</v>
      </c>
      <c r="B11" s="3" t="s">
        <v>312</v>
      </c>
      <c r="C11" s="3" t="s">
        <v>313</v>
      </c>
      <c r="D11" s="3" t="s">
        <v>314</v>
      </c>
      <c r="E11" s="3" t="s">
        <v>69</v>
      </c>
      <c r="F11" s="3" t="s">
        <v>70</v>
      </c>
      <c r="G11" s="3" t="s">
        <v>132</v>
      </c>
      <c r="H11" s="3" t="s">
        <v>133</v>
      </c>
      <c r="I11" s="3" t="n">
        <v>1</v>
      </c>
      <c r="J11" s="3" t="n">
        <v>8</v>
      </c>
      <c r="K11" s="3" t="s">
        <v>68</v>
      </c>
      <c r="L11" s="3" t="s">
        <v>251</v>
      </c>
      <c r="M11" s="3" t="s">
        <v>252</v>
      </c>
      <c r="N11" s="3" t="s">
        <v>253</v>
      </c>
      <c r="O11" s="3" t="s">
        <v>253</v>
      </c>
      <c r="P11" s="3" t="s">
        <v>254</v>
      </c>
      <c r="Q11" s="3" t="s">
        <v>255</v>
      </c>
      <c r="R11" s="3" t="s">
        <v>315</v>
      </c>
      <c r="S11" s="3" t="s">
        <v>316</v>
      </c>
      <c r="T11" s="3"/>
      <c r="U11" s="3" t="s">
        <v>258</v>
      </c>
      <c r="V11" s="3" t="s">
        <v>258</v>
      </c>
      <c r="W11" s="3"/>
      <c r="X11" s="3" t="s">
        <v>259</v>
      </c>
      <c r="Y11" s="3" t="s">
        <v>260</v>
      </c>
      <c r="Z11" s="3" t="s">
        <v>261</v>
      </c>
      <c r="AA11" s="3" t="s">
        <v>317</v>
      </c>
      <c r="AB11" s="3" t="s">
        <v>318</v>
      </c>
      <c r="AC11" s="3" t="s">
        <v>264</v>
      </c>
    </row>
    <row r="12" customFormat="false" ht="23.85" hidden="false" customHeight="false" outlineLevel="0" collapsed="false">
      <c r="A12" s="17" t="s">
        <v>319</v>
      </c>
      <c r="B12" s="3" t="s">
        <v>320</v>
      </c>
      <c r="C12" s="3" t="s">
        <v>321</v>
      </c>
      <c r="D12" s="3" t="s">
        <v>322</v>
      </c>
      <c r="E12" s="3" t="s">
        <v>69</v>
      </c>
      <c r="F12" s="3" t="s">
        <v>70</v>
      </c>
      <c r="G12" s="3" t="s">
        <v>138</v>
      </c>
      <c r="H12" s="3" t="s">
        <v>139</v>
      </c>
      <c r="I12" s="3" t="n">
        <v>1</v>
      </c>
      <c r="J12" s="3" t="n">
        <v>9</v>
      </c>
      <c r="K12" s="3" t="s">
        <v>68</v>
      </c>
      <c r="L12" s="3" t="s">
        <v>251</v>
      </c>
      <c r="M12" s="3" t="s">
        <v>252</v>
      </c>
      <c r="N12" s="3" t="s">
        <v>269</v>
      </c>
      <c r="O12" s="3" t="s">
        <v>270</v>
      </c>
      <c r="P12" s="3" t="s">
        <v>254</v>
      </c>
      <c r="Q12" s="3" t="s">
        <v>255</v>
      </c>
      <c r="R12" s="3" t="s">
        <v>256</v>
      </c>
      <c r="S12" s="3" t="s">
        <v>323</v>
      </c>
      <c r="T12" s="3" t="s">
        <v>258</v>
      </c>
      <c r="U12" s="3" t="s">
        <v>258</v>
      </c>
      <c r="V12" s="3"/>
      <c r="W12" s="3"/>
      <c r="X12" s="3"/>
      <c r="Y12" s="3" t="s">
        <v>260</v>
      </c>
      <c r="Z12" s="3" t="s">
        <v>261</v>
      </c>
      <c r="AA12" s="3" t="s">
        <v>256</v>
      </c>
      <c r="AB12" s="3" t="s">
        <v>256</v>
      </c>
      <c r="AC12" s="3" t="s">
        <v>324</v>
      </c>
    </row>
    <row r="13" customFormat="false" ht="23.85" hidden="false" customHeight="false" outlineLevel="0" collapsed="false">
      <c r="A13" s="18" t="s">
        <v>325</v>
      </c>
      <c r="B13" s="3" t="s">
        <v>326</v>
      </c>
      <c r="C13" s="3" t="s">
        <v>327</v>
      </c>
      <c r="D13" s="3" t="s">
        <v>328</v>
      </c>
      <c r="E13" s="3" t="s">
        <v>76</v>
      </c>
      <c r="F13" s="3" t="s">
        <v>77</v>
      </c>
      <c r="G13" s="3" t="s">
        <v>147</v>
      </c>
      <c r="H13" s="3" t="s">
        <v>148</v>
      </c>
      <c r="I13" s="3" t="n">
        <v>2</v>
      </c>
      <c r="J13" s="3" t="n">
        <v>10</v>
      </c>
      <c r="K13" s="3" t="s">
        <v>67</v>
      </c>
      <c r="L13" s="3" t="s">
        <v>251</v>
      </c>
      <c r="M13" s="3" t="s">
        <v>252</v>
      </c>
      <c r="N13" s="3" t="s">
        <v>329</v>
      </c>
      <c r="O13" s="3" t="s">
        <v>330</v>
      </c>
      <c r="P13" s="3" t="s">
        <v>254</v>
      </c>
      <c r="Q13" s="3" t="s">
        <v>255</v>
      </c>
      <c r="R13" s="3" t="s">
        <v>256</v>
      </c>
      <c r="S13" s="3" t="s">
        <v>331</v>
      </c>
      <c r="T13" s="3"/>
      <c r="U13" s="3" t="s">
        <v>258</v>
      </c>
      <c r="V13" s="3" t="s">
        <v>258</v>
      </c>
      <c r="W13" s="3"/>
      <c r="X13" s="3" t="s">
        <v>332</v>
      </c>
      <c r="Y13" s="3" t="s">
        <v>333</v>
      </c>
      <c r="Z13" s="3" t="s">
        <v>261</v>
      </c>
      <c r="AA13" s="3" t="s">
        <v>334</v>
      </c>
      <c r="AB13" s="3" t="s">
        <v>335</v>
      </c>
      <c r="AC13" s="3" t="s">
        <v>284</v>
      </c>
    </row>
    <row r="14" customFormat="false" ht="35.05" hidden="false" customHeight="false" outlineLevel="0" collapsed="false">
      <c r="A14" s="18" t="s">
        <v>336</v>
      </c>
      <c r="B14" s="3" t="s">
        <v>337</v>
      </c>
      <c r="C14" s="3" t="s">
        <v>338</v>
      </c>
      <c r="D14" s="3" t="s">
        <v>339</v>
      </c>
      <c r="E14" s="3" t="s">
        <v>76</v>
      </c>
      <c r="F14" s="3" t="s">
        <v>77</v>
      </c>
      <c r="G14" s="3" t="s">
        <v>147</v>
      </c>
      <c r="H14" s="3" t="s">
        <v>148</v>
      </c>
      <c r="I14" s="3" t="n">
        <v>2</v>
      </c>
      <c r="J14" s="3" t="n">
        <v>11</v>
      </c>
      <c r="K14" s="3" t="s">
        <v>67</v>
      </c>
      <c r="L14" s="3" t="s">
        <v>251</v>
      </c>
      <c r="M14" s="3" t="s">
        <v>252</v>
      </c>
      <c r="N14" s="3" t="s">
        <v>329</v>
      </c>
      <c r="O14" s="3" t="s">
        <v>330</v>
      </c>
      <c r="P14" s="3" t="s">
        <v>254</v>
      </c>
      <c r="Q14" s="3" t="s">
        <v>255</v>
      </c>
      <c r="R14" s="3" t="s">
        <v>256</v>
      </c>
      <c r="S14" s="3" t="s">
        <v>340</v>
      </c>
      <c r="T14" s="3"/>
      <c r="U14" s="3" t="s">
        <v>258</v>
      </c>
      <c r="V14" s="3" t="s">
        <v>258</v>
      </c>
      <c r="W14" s="3"/>
      <c r="X14" s="3" t="s">
        <v>332</v>
      </c>
      <c r="Y14" s="3" t="s">
        <v>333</v>
      </c>
      <c r="Z14" s="3" t="s">
        <v>261</v>
      </c>
      <c r="AA14" s="3" t="s">
        <v>341</v>
      </c>
      <c r="AB14" s="3" t="s">
        <v>342</v>
      </c>
      <c r="AC14" s="3" t="s">
        <v>284</v>
      </c>
    </row>
    <row r="15" customFormat="false" ht="35.05" hidden="false" customHeight="false" outlineLevel="0" collapsed="false">
      <c r="A15" s="18" t="s">
        <v>343</v>
      </c>
      <c r="B15" s="3" t="s">
        <v>344</v>
      </c>
      <c r="C15" s="3" t="s">
        <v>345</v>
      </c>
      <c r="D15" s="3" t="s">
        <v>346</v>
      </c>
      <c r="E15" s="3" t="s">
        <v>76</v>
      </c>
      <c r="F15" s="3" t="s">
        <v>77</v>
      </c>
      <c r="G15" s="3" t="s">
        <v>141</v>
      </c>
      <c r="H15" s="3" t="s">
        <v>142</v>
      </c>
      <c r="I15" s="3" t="n">
        <v>2</v>
      </c>
      <c r="J15" s="3" t="n">
        <v>12</v>
      </c>
      <c r="K15" s="3" t="s">
        <v>67</v>
      </c>
      <c r="L15" s="3" t="s">
        <v>347</v>
      </c>
      <c r="M15" s="3" t="s">
        <v>348</v>
      </c>
      <c r="N15" s="3" t="s">
        <v>329</v>
      </c>
      <c r="O15" s="3" t="s">
        <v>330</v>
      </c>
      <c r="P15" s="3" t="s">
        <v>254</v>
      </c>
      <c r="Q15" s="3" t="s">
        <v>255</v>
      </c>
      <c r="R15" s="3" t="s">
        <v>349</v>
      </c>
      <c r="S15" s="3" t="s">
        <v>350</v>
      </c>
      <c r="T15" s="3" t="s">
        <v>258</v>
      </c>
      <c r="U15" s="3" t="s">
        <v>258</v>
      </c>
      <c r="V15" s="3" t="s">
        <v>258</v>
      </c>
      <c r="W15" s="3"/>
      <c r="X15" s="3" t="s">
        <v>332</v>
      </c>
      <c r="Y15" s="3" t="s">
        <v>333</v>
      </c>
      <c r="Z15" s="3" t="s">
        <v>261</v>
      </c>
      <c r="AA15" s="3" t="s">
        <v>351</v>
      </c>
      <c r="AB15" s="3" t="s">
        <v>352</v>
      </c>
      <c r="AC15" s="3" t="s">
        <v>264</v>
      </c>
    </row>
    <row r="16" customFormat="false" ht="23.85" hidden="false" customHeight="false" outlineLevel="0" collapsed="false">
      <c r="A16" s="18" t="s">
        <v>353</v>
      </c>
      <c r="B16" s="3" t="s">
        <v>354</v>
      </c>
      <c r="C16" s="3" t="s">
        <v>355</v>
      </c>
      <c r="D16" s="3" t="s">
        <v>356</v>
      </c>
      <c r="E16" s="3" t="s">
        <v>76</v>
      </c>
      <c r="F16" s="3" t="s">
        <v>77</v>
      </c>
      <c r="G16" s="3" t="s">
        <v>144</v>
      </c>
      <c r="H16" s="3" t="s">
        <v>145</v>
      </c>
      <c r="I16" s="3" t="n">
        <v>2</v>
      </c>
      <c r="J16" s="3" t="n">
        <v>13</v>
      </c>
      <c r="K16" s="3" t="s">
        <v>67</v>
      </c>
      <c r="L16" s="3" t="s">
        <v>347</v>
      </c>
      <c r="M16" s="3" t="s">
        <v>348</v>
      </c>
      <c r="N16" s="3" t="s">
        <v>329</v>
      </c>
      <c r="O16" s="3" t="s">
        <v>330</v>
      </c>
      <c r="P16" s="3" t="s">
        <v>254</v>
      </c>
      <c r="Q16" s="3" t="s">
        <v>255</v>
      </c>
      <c r="R16" s="3" t="s">
        <v>256</v>
      </c>
      <c r="S16" s="3" t="s">
        <v>357</v>
      </c>
      <c r="T16" s="3" t="s">
        <v>258</v>
      </c>
      <c r="U16" s="3" t="s">
        <v>258</v>
      </c>
      <c r="V16" s="3" t="s">
        <v>258</v>
      </c>
      <c r="W16" s="3"/>
      <c r="X16" s="3" t="s">
        <v>332</v>
      </c>
      <c r="Y16" s="3" t="s">
        <v>333</v>
      </c>
      <c r="Z16" s="3" t="s">
        <v>261</v>
      </c>
      <c r="AA16" s="3" t="s">
        <v>358</v>
      </c>
      <c r="AB16" s="3" t="s">
        <v>359</v>
      </c>
      <c r="AC16" s="3" t="s">
        <v>264</v>
      </c>
    </row>
    <row r="17" customFormat="false" ht="23.85" hidden="false" customHeight="false" outlineLevel="0" collapsed="false">
      <c r="A17" s="18" t="s">
        <v>360</v>
      </c>
      <c r="B17" s="3" t="s">
        <v>361</v>
      </c>
      <c r="C17" s="3" t="s">
        <v>362</v>
      </c>
      <c r="D17" s="3" t="s">
        <v>363</v>
      </c>
      <c r="E17" s="3" t="s">
        <v>76</v>
      </c>
      <c r="F17" s="3" t="s">
        <v>77</v>
      </c>
      <c r="G17" s="3" t="s">
        <v>141</v>
      </c>
      <c r="H17" s="3" t="s">
        <v>142</v>
      </c>
      <c r="I17" s="3" t="n">
        <v>2</v>
      </c>
      <c r="J17" s="3" t="n">
        <v>14</v>
      </c>
      <c r="K17" s="3" t="s">
        <v>67</v>
      </c>
      <c r="L17" s="3" t="s">
        <v>347</v>
      </c>
      <c r="M17" s="3" t="s">
        <v>348</v>
      </c>
      <c r="N17" s="3" t="s">
        <v>329</v>
      </c>
      <c r="O17" s="3" t="s">
        <v>330</v>
      </c>
      <c r="P17" s="3" t="s">
        <v>254</v>
      </c>
      <c r="Q17" s="3" t="s">
        <v>364</v>
      </c>
      <c r="R17" s="3" t="s">
        <v>365</v>
      </c>
      <c r="S17" s="3" t="s">
        <v>366</v>
      </c>
      <c r="T17" s="3" t="s">
        <v>258</v>
      </c>
      <c r="U17" s="3" t="s">
        <v>258</v>
      </c>
      <c r="V17" s="3" t="s">
        <v>258</v>
      </c>
      <c r="W17" s="3" t="s">
        <v>258</v>
      </c>
      <c r="X17" s="3" t="s">
        <v>367</v>
      </c>
      <c r="Y17" s="3" t="s">
        <v>368</v>
      </c>
      <c r="Z17" s="3" t="s">
        <v>261</v>
      </c>
      <c r="AA17" s="3" t="s">
        <v>369</v>
      </c>
      <c r="AB17" s="3" t="s">
        <v>370</v>
      </c>
      <c r="AC17" s="3" t="s">
        <v>264</v>
      </c>
    </row>
    <row r="18" customFormat="false" ht="35.05" hidden="false" customHeight="false" outlineLevel="0" collapsed="false">
      <c r="A18" s="18" t="s">
        <v>371</v>
      </c>
      <c r="B18" s="3" t="s">
        <v>372</v>
      </c>
      <c r="C18" s="3" t="s">
        <v>373</v>
      </c>
      <c r="D18" s="3" t="s">
        <v>374</v>
      </c>
      <c r="E18" s="3" t="s">
        <v>76</v>
      </c>
      <c r="F18" s="3" t="s">
        <v>77</v>
      </c>
      <c r="G18" s="3" t="s">
        <v>141</v>
      </c>
      <c r="H18" s="3" t="s">
        <v>142</v>
      </c>
      <c r="I18" s="3" t="n">
        <v>2</v>
      </c>
      <c r="J18" s="3" t="n">
        <v>15</v>
      </c>
      <c r="K18" s="3" t="s">
        <v>67</v>
      </c>
      <c r="L18" s="3" t="s">
        <v>251</v>
      </c>
      <c r="M18" s="3" t="s">
        <v>252</v>
      </c>
      <c r="N18" s="3" t="s">
        <v>329</v>
      </c>
      <c r="O18" s="3" t="s">
        <v>330</v>
      </c>
      <c r="P18" s="3" t="s">
        <v>254</v>
      </c>
      <c r="Q18" s="3" t="s">
        <v>255</v>
      </c>
      <c r="R18" s="3" t="s">
        <v>256</v>
      </c>
      <c r="S18" s="3" t="s">
        <v>375</v>
      </c>
      <c r="T18" s="3" t="s">
        <v>258</v>
      </c>
      <c r="U18" s="3" t="s">
        <v>258</v>
      </c>
      <c r="V18" s="3" t="s">
        <v>258</v>
      </c>
      <c r="W18" s="3"/>
      <c r="X18" s="3" t="s">
        <v>376</v>
      </c>
      <c r="Y18" s="3" t="s">
        <v>260</v>
      </c>
      <c r="Z18" s="3" t="s">
        <v>261</v>
      </c>
      <c r="AA18" s="3" t="s">
        <v>377</v>
      </c>
      <c r="AB18" s="3" t="s">
        <v>378</v>
      </c>
      <c r="AC18" s="3" t="s">
        <v>264</v>
      </c>
    </row>
    <row r="19" customFormat="false" ht="23.85" hidden="false" customHeight="false" outlineLevel="0" collapsed="false">
      <c r="A19" s="18" t="s">
        <v>379</v>
      </c>
      <c r="B19" s="3" t="s">
        <v>380</v>
      </c>
      <c r="C19" s="3" t="s">
        <v>381</v>
      </c>
      <c r="D19" s="3" t="s">
        <v>382</v>
      </c>
      <c r="E19" s="3" t="s">
        <v>76</v>
      </c>
      <c r="F19" s="3" t="s">
        <v>77</v>
      </c>
      <c r="G19" s="3" t="s">
        <v>153</v>
      </c>
      <c r="H19" s="3" t="s">
        <v>154</v>
      </c>
      <c r="I19" s="3" t="n">
        <v>2</v>
      </c>
      <c r="J19" s="3" t="n">
        <v>16</v>
      </c>
      <c r="K19" s="3" t="s">
        <v>68</v>
      </c>
      <c r="L19" s="3" t="s">
        <v>251</v>
      </c>
      <c r="M19" s="3" t="s">
        <v>252</v>
      </c>
      <c r="N19" s="3" t="s">
        <v>383</v>
      </c>
      <c r="O19" s="3" t="s">
        <v>384</v>
      </c>
      <c r="P19" s="3" t="s">
        <v>254</v>
      </c>
      <c r="Q19" s="3" t="s">
        <v>385</v>
      </c>
      <c r="R19" s="3" t="s">
        <v>256</v>
      </c>
      <c r="S19" s="3"/>
      <c r="T19" s="3" t="s">
        <v>258</v>
      </c>
      <c r="U19" s="3"/>
      <c r="V19" s="3"/>
      <c r="W19" s="3"/>
      <c r="X19" s="3"/>
      <c r="Y19" s="3" t="s">
        <v>260</v>
      </c>
      <c r="Z19" s="3" t="s">
        <v>261</v>
      </c>
      <c r="AA19" s="3" t="s">
        <v>256</v>
      </c>
      <c r="AB19" s="3" t="s">
        <v>386</v>
      </c>
      <c r="AC19" s="3" t="s">
        <v>276</v>
      </c>
    </row>
    <row r="20" customFormat="false" ht="23.85" hidden="false" customHeight="false" outlineLevel="0" collapsed="false">
      <c r="A20" s="18" t="s">
        <v>387</v>
      </c>
      <c r="B20" s="3" t="s">
        <v>388</v>
      </c>
      <c r="C20" s="3" t="s">
        <v>389</v>
      </c>
      <c r="D20" s="3" t="s">
        <v>390</v>
      </c>
      <c r="E20" s="3" t="s">
        <v>76</v>
      </c>
      <c r="F20" s="3" t="s">
        <v>77</v>
      </c>
      <c r="G20" s="3" t="s">
        <v>153</v>
      </c>
      <c r="H20" s="3" t="s">
        <v>154</v>
      </c>
      <c r="I20" s="3" t="n">
        <v>2</v>
      </c>
      <c r="J20" s="3" t="n">
        <v>17</v>
      </c>
      <c r="K20" s="3" t="s">
        <v>68</v>
      </c>
      <c r="L20" s="3" t="s">
        <v>251</v>
      </c>
      <c r="M20" s="3" t="s">
        <v>252</v>
      </c>
      <c r="N20" s="3" t="s">
        <v>269</v>
      </c>
      <c r="O20" s="3" t="s">
        <v>270</v>
      </c>
      <c r="P20" s="3" t="s">
        <v>289</v>
      </c>
      <c r="Q20" s="3" t="s">
        <v>391</v>
      </c>
      <c r="R20" s="3" t="s">
        <v>256</v>
      </c>
      <c r="S20" s="3" t="s">
        <v>392</v>
      </c>
      <c r="T20" s="3"/>
      <c r="U20" s="3" t="s">
        <v>258</v>
      </c>
      <c r="V20" s="3" t="s">
        <v>258</v>
      </c>
      <c r="W20" s="3"/>
      <c r="X20" s="3" t="s">
        <v>376</v>
      </c>
      <c r="Y20" s="3" t="s">
        <v>393</v>
      </c>
      <c r="Z20" s="3" t="s">
        <v>261</v>
      </c>
      <c r="AA20" s="3" t="s">
        <v>394</v>
      </c>
      <c r="AB20" s="3" t="s">
        <v>395</v>
      </c>
      <c r="AC20" s="3" t="s">
        <v>276</v>
      </c>
    </row>
    <row r="21" customFormat="false" ht="23.85" hidden="false" customHeight="false" outlineLevel="0" collapsed="false">
      <c r="A21" s="18" t="s">
        <v>396</v>
      </c>
      <c r="B21" s="3" t="s">
        <v>397</v>
      </c>
      <c r="C21" s="3" t="s">
        <v>398</v>
      </c>
      <c r="D21" s="3" t="s">
        <v>399</v>
      </c>
      <c r="E21" s="3" t="s">
        <v>76</v>
      </c>
      <c r="F21" s="3" t="s">
        <v>77</v>
      </c>
      <c r="G21" s="3" t="s">
        <v>153</v>
      </c>
      <c r="H21" s="3" t="s">
        <v>154</v>
      </c>
      <c r="I21" s="3" t="n">
        <v>2</v>
      </c>
      <c r="J21" s="3" t="n">
        <v>18</v>
      </c>
      <c r="K21" s="3" t="s">
        <v>68</v>
      </c>
      <c r="L21" s="3" t="s">
        <v>347</v>
      </c>
      <c r="M21" s="3" t="s">
        <v>348</v>
      </c>
      <c r="N21" s="3" t="s">
        <v>329</v>
      </c>
      <c r="O21" s="3" t="s">
        <v>330</v>
      </c>
      <c r="P21" s="3" t="s">
        <v>289</v>
      </c>
      <c r="Q21" s="3" t="s">
        <v>255</v>
      </c>
      <c r="R21" s="3" t="s">
        <v>400</v>
      </c>
      <c r="S21" s="3" t="s">
        <v>401</v>
      </c>
      <c r="T21" s="3"/>
      <c r="U21" s="3" t="s">
        <v>258</v>
      </c>
      <c r="V21" s="3" t="s">
        <v>258</v>
      </c>
      <c r="W21" s="3"/>
      <c r="X21" s="3" t="s">
        <v>376</v>
      </c>
      <c r="Y21" s="3" t="s">
        <v>393</v>
      </c>
      <c r="Z21" s="3" t="s">
        <v>261</v>
      </c>
      <c r="AA21" s="3" t="s">
        <v>394</v>
      </c>
      <c r="AB21" s="3" t="s">
        <v>402</v>
      </c>
      <c r="AC21" s="3" t="s">
        <v>276</v>
      </c>
    </row>
    <row r="22" customFormat="false" ht="23.85" hidden="false" customHeight="false" outlineLevel="0" collapsed="false">
      <c r="A22" s="18" t="s">
        <v>403</v>
      </c>
      <c r="B22" s="3" t="s">
        <v>404</v>
      </c>
      <c r="C22" s="3" t="s">
        <v>405</v>
      </c>
      <c r="D22" s="3" t="s">
        <v>406</v>
      </c>
      <c r="E22" s="3" t="s">
        <v>76</v>
      </c>
      <c r="F22" s="3" t="s">
        <v>77</v>
      </c>
      <c r="G22" s="3" t="s">
        <v>150</v>
      </c>
      <c r="H22" s="3" t="s">
        <v>151</v>
      </c>
      <c r="I22" s="3" t="n">
        <v>2</v>
      </c>
      <c r="J22" s="3" t="n">
        <v>19</v>
      </c>
      <c r="K22" s="3" t="s">
        <v>68</v>
      </c>
      <c r="L22" s="3" t="s">
        <v>347</v>
      </c>
      <c r="M22" s="3" t="s">
        <v>348</v>
      </c>
      <c r="N22" s="3" t="s">
        <v>329</v>
      </c>
      <c r="O22" s="3" t="s">
        <v>330</v>
      </c>
      <c r="P22" s="3" t="s">
        <v>254</v>
      </c>
      <c r="Q22" s="3" t="s">
        <v>255</v>
      </c>
      <c r="R22" s="3" t="s">
        <v>256</v>
      </c>
      <c r="S22" s="3" t="s">
        <v>407</v>
      </c>
      <c r="T22" s="3"/>
      <c r="U22" s="3" t="s">
        <v>258</v>
      </c>
      <c r="V22" s="3" t="s">
        <v>258</v>
      </c>
      <c r="W22" s="3"/>
      <c r="X22" s="3" t="s">
        <v>408</v>
      </c>
      <c r="Y22" s="3" t="s">
        <v>260</v>
      </c>
      <c r="Z22" s="3" t="s">
        <v>261</v>
      </c>
      <c r="AA22" s="3" t="s">
        <v>409</v>
      </c>
      <c r="AB22" s="3" t="s">
        <v>410</v>
      </c>
      <c r="AC22" s="3" t="s">
        <v>264</v>
      </c>
    </row>
    <row r="23" customFormat="false" ht="23.85" hidden="false" customHeight="false" outlineLevel="0" collapsed="false">
      <c r="A23" s="18" t="s">
        <v>411</v>
      </c>
      <c r="B23" s="3" t="s">
        <v>412</v>
      </c>
      <c r="C23" s="3" t="s">
        <v>413</v>
      </c>
      <c r="D23" s="3" t="s">
        <v>414</v>
      </c>
      <c r="E23" s="3" t="s">
        <v>76</v>
      </c>
      <c r="F23" s="3" t="s">
        <v>77</v>
      </c>
      <c r="G23" s="3" t="s">
        <v>141</v>
      </c>
      <c r="H23" s="3" t="s">
        <v>142</v>
      </c>
      <c r="I23" s="3" t="n">
        <v>2</v>
      </c>
      <c r="J23" s="3" t="n">
        <v>20</v>
      </c>
      <c r="K23" s="3" t="s">
        <v>68</v>
      </c>
      <c r="L23" s="3" t="s">
        <v>251</v>
      </c>
      <c r="M23" s="3" t="s">
        <v>252</v>
      </c>
      <c r="N23" s="3" t="s">
        <v>269</v>
      </c>
      <c r="O23" s="3" t="s">
        <v>270</v>
      </c>
      <c r="P23" s="3" t="s">
        <v>254</v>
      </c>
      <c r="Q23" s="3" t="s">
        <v>255</v>
      </c>
      <c r="R23" s="3" t="s">
        <v>256</v>
      </c>
      <c r="S23" s="3" t="s">
        <v>323</v>
      </c>
      <c r="T23" s="3"/>
      <c r="U23" s="3" t="s">
        <v>258</v>
      </c>
      <c r="V23" s="3" t="s">
        <v>258</v>
      </c>
      <c r="W23" s="3"/>
      <c r="X23" s="3"/>
      <c r="Y23" s="3" t="s">
        <v>260</v>
      </c>
      <c r="Z23" s="3" t="s">
        <v>261</v>
      </c>
      <c r="AA23" s="3" t="s">
        <v>415</v>
      </c>
      <c r="AB23" s="3" t="s">
        <v>416</v>
      </c>
      <c r="AC23" s="3" t="s">
        <v>264</v>
      </c>
    </row>
    <row r="24" customFormat="false" ht="23.85" hidden="false" customHeight="false" outlineLevel="0" collapsed="false">
      <c r="A24" s="18" t="s">
        <v>417</v>
      </c>
      <c r="B24" s="3" t="s">
        <v>418</v>
      </c>
      <c r="C24" s="3" t="s">
        <v>419</v>
      </c>
      <c r="D24" s="3" t="s">
        <v>420</v>
      </c>
      <c r="E24" s="3" t="s">
        <v>76</v>
      </c>
      <c r="F24" s="3" t="s">
        <v>77</v>
      </c>
      <c r="G24" s="3" t="s">
        <v>150</v>
      </c>
      <c r="H24" s="3" t="s">
        <v>151</v>
      </c>
      <c r="I24" s="3" t="n">
        <v>2</v>
      </c>
      <c r="J24" s="3" t="n">
        <v>21</v>
      </c>
      <c r="K24" s="3" t="s">
        <v>68</v>
      </c>
      <c r="L24" s="3" t="s">
        <v>251</v>
      </c>
      <c r="M24" s="3" t="s">
        <v>252</v>
      </c>
      <c r="N24" s="3" t="s">
        <v>269</v>
      </c>
      <c r="O24" s="3" t="s">
        <v>270</v>
      </c>
      <c r="P24" s="3" t="s">
        <v>254</v>
      </c>
      <c r="Q24" s="3" t="s">
        <v>255</v>
      </c>
      <c r="R24" s="3" t="s">
        <v>256</v>
      </c>
      <c r="S24" s="3" t="s">
        <v>323</v>
      </c>
      <c r="T24" s="3"/>
      <c r="U24" s="3" t="s">
        <v>258</v>
      </c>
      <c r="V24" s="3"/>
      <c r="W24" s="3"/>
      <c r="X24" s="3"/>
      <c r="Y24" s="3" t="s">
        <v>260</v>
      </c>
      <c r="Z24" s="3" t="s">
        <v>261</v>
      </c>
      <c r="AA24" s="3" t="s">
        <v>256</v>
      </c>
      <c r="AB24" s="3" t="s">
        <v>421</v>
      </c>
      <c r="AC24" s="3" t="s">
        <v>264</v>
      </c>
    </row>
    <row r="25" customFormat="false" ht="23.85" hidden="false" customHeight="false" outlineLevel="0" collapsed="false">
      <c r="A25" s="18" t="s">
        <v>422</v>
      </c>
      <c r="B25" s="3" t="s">
        <v>423</v>
      </c>
      <c r="C25" s="3" t="s">
        <v>424</v>
      </c>
      <c r="D25" s="3" t="s">
        <v>425</v>
      </c>
      <c r="E25" s="3" t="s">
        <v>76</v>
      </c>
      <c r="F25" s="3" t="s">
        <v>77</v>
      </c>
      <c r="G25" s="3" t="s">
        <v>150</v>
      </c>
      <c r="H25" s="3" t="s">
        <v>151</v>
      </c>
      <c r="I25" s="3" t="n">
        <v>2</v>
      </c>
      <c r="J25" s="3" t="n">
        <v>22</v>
      </c>
      <c r="K25" s="3" t="s">
        <v>68</v>
      </c>
      <c r="L25" s="3" t="s">
        <v>347</v>
      </c>
      <c r="M25" s="3" t="s">
        <v>348</v>
      </c>
      <c r="N25" s="3" t="s">
        <v>329</v>
      </c>
      <c r="O25" s="3" t="s">
        <v>330</v>
      </c>
      <c r="P25" s="3" t="s">
        <v>254</v>
      </c>
      <c r="Q25" s="3" t="s">
        <v>255</v>
      </c>
      <c r="R25" s="3" t="s">
        <v>426</v>
      </c>
      <c r="S25" s="3" t="s">
        <v>323</v>
      </c>
      <c r="T25" s="3"/>
      <c r="U25" s="3" t="s">
        <v>258</v>
      </c>
      <c r="V25" s="3"/>
      <c r="W25" s="3"/>
      <c r="X25" s="3" t="s">
        <v>376</v>
      </c>
      <c r="Y25" s="3" t="s">
        <v>260</v>
      </c>
      <c r="Z25" s="3" t="s">
        <v>261</v>
      </c>
      <c r="AA25" s="3" t="s">
        <v>256</v>
      </c>
      <c r="AB25" s="3" t="s">
        <v>427</v>
      </c>
      <c r="AC25" s="3" t="s">
        <v>264</v>
      </c>
    </row>
    <row r="26" customFormat="false" ht="23.85" hidden="false" customHeight="false" outlineLevel="0" collapsed="false">
      <c r="A26" s="18" t="s">
        <v>428</v>
      </c>
      <c r="B26" s="3" t="s">
        <v>429</v>
      </c>
      <c r="C26" s="3" t="s">
        <v>430</v>
      </c>
      <c r="D26" s="3" t="s">
        <v>431</v>
      </c>
      <c r="E26" s="3" t="s">
        <v>76</v>
      </c>
      <c r="F26" s="3" t="s">
        <v>77</v>
      </c>
      <c r="G26" s="3" t="s">
        <v>153</v>
      </c>
      <c r="H26" s="3" t="s">
        <v>154</v>
      </c>
      <c r="I26" s="3" t="n">
        <v>2</v>
      </c>
      <c r="J26" s="3" t="n">
        <v>23</v>
      </c>
      <c r="K26" s="3" t="s">
        <v>68</v>
      </c>
      <c r="L26" s="3" t="s">
        <v>251</v>
      </c>
      <c r="M26" s="3" t="s">
        <v>252</v>
      </c>
      <c r="N26" s="3" t="s">
        <v>329</v>
      </c>
      <c r="O26" s="3" t="s">
        <v>330</v>
      </c>
      <c r="P26" s="3" t="s">
        <v>254</v>
      </c>
      <c r="Q26" s="3" t="s">
        <v>255</v>
      </c>
      <c r="R26" s="3" t="s">
        <v>256</v>
      </c>
      <c r="S26" s="3" t="s">
        <v>323</v>
      </c>
      <c r="T26" s="3" t="s">
        <v>258</v>
      </c>
      <c r="U26" s="3" t="s">
        <v>258</v>
      </c>
      <c r="V26" s="3"/>
      <c r="W26" s="3"/>
      <c r="X26" s="3" t="s">
        <v>376</v>
      </c>
      <c r="Y26" s="3" t="s">
        <v>260</v>
      </c>
      <c r="Z26" s="3" t="s">
        <v>261</v>
      </c>
      <c r="AA26" s="3" t="s">
        <v>256</v>
      </c>
      <c r="AB26" s="3" t="s">
        <v>432</v>
      </c>
      <c r="AC26" s="3" t="s">
        <v>264</v>
      </c>
    </row>
    <row r="27" customFormat="false" ht="35.05" hidden="false" customHeight="false" outlineLevel="0" collapsed="false">
      <c r="A27" s="19" t="s">
        <v>433</v>
      </c>
      <c r="B27" s="3" t="s">
        <v>434</v>
      </c>
      <c r="C27" s="3" t="s">
        <v>435</v>
      </c>
      <c r="D27" s="3" t="s">
        <v>436</v>
      </c>
      <c r="E27" s="3" t="s">
        <v>82</v>
      </c>
      <c r="F27" s="3" t="s">
        <v>83</v>
      </c>
      <c r="G27" s="3" t="s">
        <v>156</v>
      </c>
      <c r="H27" s="3" t="s">
        <v>157</v>
      </c>
      <c r="I27" s="3" t="n">
        <v>3</v>
      </c>
      <c r="J27" s="3" t="n">
        <v>24</v>
      </c>
      <c r="K27" s="3" t="s">
        <v>66</v>
      </c>
      <c r="L27" s="3" t="s">
        <v>347</v>
      </c>
      <c r="M27" s="3" t="s">
        <v>348</v>
      </c>
      <c r="N27" s="3" t="s">
        <v>437</v>
      </c>
      <c r="O27" s="3" t="s">
        <v>438</v>
      </c>
      <c r="P27" s="3" t="s">
        <v>254</v>
      </c>
      <c r="Q27" s="3" t="s">
        <v>255</v>
      </c>
      <c r="R27" s="3" t="s">
        <v>439</v>
      </c>
      <c r="S27" s="3" t="s">
        <v>440</v>
      </c>
      <c r="T27" s="3" t="s">
        <v>273</v>
      </c>
      <c r="U27" s="3" t="s">
        <v>273</v>
      </c>
      <c r="V27" s="3" t="s">
        <v>273</v>
      </c>
      <c r="W27" s="3" t="s">
        <v>273</v>
      </c>
      <c r="X27" s="3" t="s">
        <v>441</v>
      </c>
      <c r="Y27" s="3" t="s">
        <v>260</v>
      </c>
      <c r="Z27" s="3" t="s">
        <v>261</v>
      </c>
      <c r="AA27" s="3" t="s">
        <v>256</v>
      </c>
      <c r="AB27" s="3" t="s">
        <v>442</v>
      </c>
      <c r="AC27" s="3" t="s">
        <v>276</v>
      </c>
    </row>
    <row r="28" customFormat="false" ht="35.05" hidden="false" customHeight="false" outlineLevel="0" collapsed="false">
      <c r="A28" s="19" t="s">
        <v>443</v>
      </c>
      <c r="B28" s="3" t="s">
        <v>444</v>
      </c>
      <c r="C28" s="3" t="s">
        <v>445</v>
      </c>
      <c r="D28" s="3" t="s">
        <v>446</v>
      </c>
      <c r="E28" s="3" t="s">
        <v>82</v>
      </c>
      <c r="F28" s="3" t="s">
        <v>83</v>
      </c>
      <c r="G28" s="3" t="s">
        <v>159</v>
      </c>
      <c r="H28" s="3" t="s">
        <v>160</v>
      </c>
      <c r="I28" s="3" t="n">
        <v>3</v>
      </c>
      <c r="J28" s="3" t="n">
        <v>25</v>
      </c>
      <c r="K28" s="3" t="s">
        <v>67</v>
      </c>
      <c r="L28" s="3" t="s">
        <v>347</v>
      </c>
      <c r="M28" s="3" t="s">
        <v>348</v>
      </c>
      <c r="N28" s="3" t="s">
        <v>437</v>
      </c>
      <c r="O28" s="3" t="s">
        <v>438</v>
      </c>
      <c r="P28" s="3" t="s">
        <v>254</v>
      </c>
      <c r="Q28" s="3" t="s">
        <v>447</v>
      </c>
      <c r="R28" s="3" t="s">
        <v>448</v>
      </c>
      <c r="S28" s="3" t="s">
        <v>449</v>
      </c>
      <c r="T28" s="3" t="s">
        <v>258</v>
      </c>
      <c r="U28" s="3" t="s">
        <v>258</v>
      </c>
      <c r="V28" s="3" t="s">
        <v>258</v>
      </c>
      <c r="W28" s="3" t="s">
        <v>273</v>
      </c>
      <c r="X28" s="3"/>
      <c r="Y28" s="3" t="s">
        <v>260</v>
      </c>
      <c r="Z28" s="3" t="s">
        <v>261</v>
      </c>
      <c r="AA28" s="3" t="s">
        <v>256</v>
      </c>
      <c r="AB28" s="3" t="s">
        <v>450</v>
      </c>
      <c r="AC28" s="3" t="s">
        <v>276</v>
      </c>
    </row>
    <row r="29" customFormat="false" ht="23.85" hidden="false" customHeight="false" outlineLevel="0" collapsed="false">
      <c r="A29" s="19" t="s">
        <v>451</v>
      </c>
      <c r="B29" s="3" t="s">
        <v>452</v>
      </c>
      <c r="C29" s="3" t="s">
        <v>453</v>
      </c>
      <c r="D29" s="3" t="s">
        <v>454</v>
      </c>
      <c r="E29" s="3" t="s">
        <v>82</v>
      </c>
      <c r="F29" s="3" t="s">
        <v>83</v>
      </c>
      <c r="G29" s="3" t="s">
        <v>168</v>
      </c>
      <c r="H29" s="3" t="s">
        <v>169</v>
      </c>
      <c r="I29" s="3" t="n">
        <v>3</v>
      </c>
      <c r="J29" s="3" t="n">
        <v>26</v>
      </c>
      <c r="K29" s="3" t="s">
        <v>67</v>
      </c>
      <c r="L29" s="3" t="s">
        <v>251</v>
      </c>
      <c r="M29" s="3" t="s">
        <v>252</v>
      </c>
      <c r="N29" s="3" t="s">
        <v>269</v>
      </c>
      <c r="O29" s="3" t="s">
        <v>270</v>
      </c>
      <c r="P29" s="3" t="s">
        <v>254</v>
      </c>
      <c r="Q29" s="3" t="s">
        <v>255</v>
      </c>
      <c r="R29" s="3" t="s">
        <v>256</v>
      </c>
      <c r="S29" s="3" t="s">
        <v>455</v>
      </c>
      <c r="T29" s="3"/>
      <c r="U29" s="3"/>
      <c r="V29" s="3" t="s">
        <v>273</v>
      </c>
      <c r="W29" s="3"/>
      <c r="X29" s="3" t="s">
        <v>456</v>
      </c>
      <c r="Y29" s="3" t="s">
        <v>457</v>
      </c>
      <c r="Z29" s="3" t="s">
        <v>261</v>
      </c>
      <c r="AA29" s="3" t="s">
        <v>256</v>
      </c>
      <c r="AB29" s="3" t="s">
        <v>458</v>
      </c>
      <c r="AC29" s="3" t="s">
        <v>276</v>
      </c>
    </row>
    <row r="30" customFormat="false" ht="23.85" hidden="false" customHeight="false" outlineLevel="0" collapsed="false">
      <c r="A30" s="19" t="s">
        <v>459</v>
      </c>
      <c r="B30" s="3" t="s">
        <v>460</v>
      </c>
      <c r="C30" s="3" t="s">
        <v>461</v>
      </c>
      <c r="D30" s="3" t="s">
        <v>462</v>
      </c>
      <c r="E30" s="3" t="s">
        <v>82</v>
      </c>
      <c r="F30" s="3" t="s">
        <v>83</v>
      </c>
      <c r="G30" s="3" t="s">
        <v>168</v>
      </c>
      <c r="H30" s="3" t="s">
        <v>169</v>
      </c>
      <c r="I30" s="3" t="n">
        <v>3</v>
      </c>
      <c r="J30" s="3" t="n">
        <v>27</v>
      </c>
      <c r="K30" s="3" t="s">
        <v>67</v>
      </c>
      <c r="L30" s="3" t="s">
        <v>347</v>
      </c>
      <c r="M30" s="3" t="s">
        <v>348</v>
      </c>
      <c r="N30" s="3" t="s">
        <v>437</v>
      </c>
      <c r="O30" s="3" t="s">
        <v>438</v>
      </c>
      <c r="P30" s="3" t="s">
        <v>289</v>
      </c>
      <c r="Q30" s="3" t="s">
        <v>255</v>
      </c>
      <c r="R30" s="3" t="s">
        <v>256</v>
      </c>
      <c r="S30" s="3" t="s">
        <v>463</v>
      </c>
      <c r="T30" s="3"/>
      <c r="U30" s="3"/>
      <c r="V30" s="3" t="s">
        <v>273</v>
      </c>
      <c r="W30" s="3"/>
      <c r="X30" s="3" t="s">
        <v>456</v>
      </c>
      <c r="Y30" s="3" t="s">
        <v>457</v>
      </c>
      <c r="Z30" s="3" t="s">
        <v>261</v>
      </c>
      <c r="AA30" s="3" t="s">
        <v>464</v>
      </c>
      <c r="AB30" s="3" t="s">
        <v>465</v>
      </c>
      <c r="AC30" s="3" t="s">
        <v>284</v>
      </c>
    </row>
    <row r="31" customFormat="false" ht="35.05" hidden="false" customHeight="false" outlineLevel="0" collapsed="false">
      <c r="A31" s="19" t="s">
        <v>466</v>
      </c>
      <c r="B31" s="3" t="s">
        <v>467</v>
      </c>
      <c r="C31" s="3" t="s">
        <v>468</v>
      </c>
      <c r="D31" s="3" t="s">
        <v>469</v>
      </c>
      <c r="E31" s="3" t="s">
        <v>82</v>
      </c>
      <c r="F31" s="3" t="s">
        <v>83</v>
      </c>
      <c r="G31" s="3" t="s">
        <v>168</v>
      </c>
      <c r="H31" s="3" t="s">
        <v>169</v>
      </c>
      <c r="I31" s="3" t="n">
        <v>3</v>
      </c>
      <c r="J31" s="3" t="n">
        <v>28</v>
      </c>
      <c r="K31" s="3" t="s">
        <v>67</v>
      </c>
      <c r="L31" s="3" t="s">
        <v>347</v>
      </c>
      <c r="M31" s="3" t="s">
        <v>348</v>
      </c>
      <c r="N31" s="3" t="s">
        <v>329</v>
      </c>
      <c r="O31" s="3" t="s">
        <v>330</v>
      </c>
      <c r="P31" s="3" t="s">
        <v>254</v>
      </c>
      <c r="Q31" s="3" t="s">
        <v>255</v>
      </c>
      <c r="R31" s="3" t="s">
        <v>470</v>
      </c>
      <c r="S31" s="3" t="s">
        <v>471</v>
      </c>
      <c r="T31" s="3"/>
      <c r="U31" s="3"/>
      <c r="V31" s="3" t="s">
        <v>273</v>
      </c>
      <c r="W31" s="3"/>
      <c r="X31" s="3" t="s">
        <v>367</v>
      </c>
      <c r="Y31" s="3" t="s">
        <v>457</v>
      </c>
      <c r="Z31" s="3" t="s">
        <v>261</v>
      </c>
      <c r="AA31" s="3" t="s">
        <v>256</v>
      </c>
      <c r="AB31" s="3" t="s">
        <v>256</v>
      </c>
      <c r="AC31" s="3" t="s">
        <v>324</v>
      </c>
    </row>
    <row r="32" customFormat="false" ht="23.85" hidden="false" customHeight="false" outlineLevel="0" collapsed="false">
      <c r="A32" s="19" t="s">
        <v>472</v>
      </c>
      <c r="B32" s="3" t="s">
        <v>473</v>
      </c>
      <c r="C32" s="3" t="s">
        <v>474</v>
      </c>
      <c r="D32" s="3" t="s">
        <v>475</v>
      </c>
      <c r="E32" s="3" t="s">
        <v>82</v>
      </c>
      <c r="F32" s="3" t="s">
        <v>83</v>
      </c>
      <c r="G32" s="3" t="s">
        <v>159</v>
      </c>
      <c r="H32" s="3" t="s">
        <v>160</v>
      </c>
      <c r="I32" s="3" t="n">
        <v>3</v>
      </c>
      <c r="J32" s="3" t="n">
        <v>29</v>
      </c>
      <c r="K32" s="3" t="s">
        <v>67</v>
      </c>
      <c r="L32" s="3" t="s">
        <v>251</v>
      </c>
      <c r="M32" s="3" t="s">
        <v>252</v>
      </c>
      <c r="N32" s="3" t="s">
        <v>269</v>
      </c>
      <c r="O32" s="3" t="s">
        <v>270</v>
      </c>
      <c r="P32" s="3" t="s">
        <v>254</v>
      </c>
      <c r="Q32" s="3" t="s">
        <v>255</v>
      </c>
      <c r="R32" s="3" t="s">
        <v>256</v>
      </c>
      <c r="S32" s="3" t="s">
        <v>476</v>
      </c>
      <c r="T32" s="3"/>
      <c r="U32" s="3"/>
      <c r="V32" s="3"/>
      <c r="W32" s="3" t="s">
        <v>273</v>
      </c>
      <c r="X32" s="3"/>
      <c r="Y32" s="3" t="s">
        <v>260</v>
      </c>
      <c r="Z32" s="3" t="s">
        <v>261</v>
      </c>
      <c r="AA32" s="3" t="s">
        <v>256</v>
      </c>
      <c r="AB32" s="3" t="s">
        <v>256</v>
      </c>
      <c r="AC32" s="3" t="s">
        <v>324</v>
      </c>
    </row>
    <row r="33" customFormat="false" ht="23.85" hidden="false" customHeight="false" outlineLevel="0" collapsed="false">
      <c r="A33" s="19" t="s">
        <v>477</v>
      </c>
      <c r="B33" s="3" t="s">
        <v>478</v>
      </c>
      <c r="C33" s="3" t="s">
        <v>479</v>
      </c>
      <c r="D33" s="3" t="s">
        <v>480</v>
      </c>
      <c r="E33" s="3" t="s">
        <v>82</v>
      </c>
      <c r="F33" s="3" t="s">
        <v>83</v>
      </c>
      <c r="G33" s="3" t="s">
        <v>159</v>
      </c>
      <c r="H33" s="3" t="s">
        <v>160</v>
      </c>
      <c r="I33" s="3" t="n">
        <v>3</v>
      </c>
      <c r="J33" s="3" t="n">
        <v>30</v>
      </c>
      <c r="K33" s="3" t="s">
        <v>67</v>
      </c>
      <c r="L33" s="3" t="s">
        <v>347</v>
      </c>
      <c r="M33" s="3" t="s">
        <v>348</v>
      </c>
      <c r="N33" s="3" t="s">
        <v>481</v>
      </c>
      <c r="O33" s="3" t="s">
        <v>481</v>
      </c>
      <c r="P33" s="3" t="s">
        <v>254</v>
      </c>
      <c r="Q33" s="3" t="s">
        <v>482</v>
      </c>
      <c r="R33" s="3" t="s">
        <v>483</v>
      </c>
      <c r="S33" s="3"/>
      <c r="T33" s="3"/>
      <c r="U33" s="3"/>
      <c r="V33" s="3"/>
      <c r="W33" s="3" t="s">
        <v>273</v>
      </c>
      <c r="X33" s="3" t="s">
        <v>484</v>
      </c>
      <c r="Y33" s="3" t="s">
        <v>485</v>
      </c>
      <c r="Z33" s="3" t="s">
        <v>261</v>
      </c>
      <c r="AA33" s="3" t="s">
        <v>256</v>
      </c>
      <c r="AB33" s="3" t="s">
        <v>256</v>
      </c>
      <c r="AC33" s="3" t="s">
        <v>324</v>
      </c>
    </row>
    <row r="34" customFormat="false" ht="23.85" hidden="false" customHeight="false" outlineLevel="0" collapsed="false">
      <c r="A34" s="19" t="s">
        <v>486</v>
      </c>
      <c r="B34" s="3" t="s">
        <v>487</v>
      </c>
      <c r="C34" s="3" t="s">
        <v>488</v>
      </c>
      <c r="D34" s="3" t="s">
        <v>489</v>
      </c>
      <c r="E34" s="3" t="s">
        <v>82</v>
      </c>
      <c r="F34" s="3" t="s">
        <v>83</v>
      </c>
      <c r="G34" s="3" t="s">
        <v>162</v>
      </c>
      <c r="H34" s="3" t="s">
        <v>163</v>
      </c>
      <c r="I34" s="3" t="n">
        <v>3</v>
      </c>
      <c r="J34" s="3" t="n">
        <v>31</v>
      </c>
      <c r="K34" s="3" t="s">
        <v>67</v>
      </c>
      <c r="L34" s="3" t="s">
        <v>347</v>
      </c>
      <c r="M34" s="3" t="s">
        <v>348</v>
      </c>
      <c r="N34" s="3" t="s">
        <v>490</v>
      </c>
      <c r="O34" s="3" t="s">
        <v>491</v>
      </c>
      <c r="P34" s="3" t="s">
        <v>289</v>
      </c>
      <c r="Q34" s="3" t="s">
        <v>492</v>
      </c>
      <c r="R34" s="3" t="s">
        <v>256</v>
      </c>
      <c r="S34" s="3" t="s">
        <v>493</v>
      </c>
      <c r="T34" s="3"/>
      <c r="U34" s="3"/>
      <c r="V34" s="3"/>
      <c r="W34" s="3" t="s">
        <v>258</v>
      </c>
      <c r="X34" s="3" t="s">
        <v>376</v>
      </c>
      <c r="Y34" s="3" t="s">
        <v>260</v>
      </c>
      <c r="Z34" s="3" t="s">
        <v>261</v>
      </c>
      <c r="AA34" s="3" t="s">
        <v>256</v>
      </c>
      <c r="AB34" s="3" t="s">
        <v>256</v>
      </c>
      <c r="AC34" s="3" t="s">
        <v>324</v>
      </c>
    </row>
    <row r="35" customFormat="false" ht="23.85" hidden="false" customHeight="false" outlineLevel="0" collapsed="false">
      <c r="A35" s="19" t="s">
        <v>494</v>
      </c>
      <c r="B35" s="3" t="s">
        <v>495</v>
      </c>
      <c r="C35" s="3" t="s">
        <v>496</v>
      </c>
      <c r="D35" s="3" t="s">
        <v>497</v>
      </c>
      <c r="E35" s="3" t="s">
        <v>82</v>
      </c>
      <c r="F35" s="3" t="s">
        <v>83</v>
      </c>
      <c r="G35" s="3" t="s">
        <v>165</v>
      </c>
      <c r="H35" s="3" t="s">
        <v>166</v>
      </c>
      <c r="I35" s="3" t="n">
        <v>3</v>
      </c>
      <c r="J35" s="3" t="n">
        <v>32</v>
      </c>
      <c r="K35" s="3" t="s">
        <v>68</v>
      </c>
      <c r="L35" s="3" t="s">
        <v>347</v>
      </c>
      <c r="M35" s="3" t="s">
        <v>348</v>
      </c>
      <c r="N35" s="3" t="s">
        <v>437</v>
      </c>
      <c r="O35" s="3" t="s">
        <v>438</v>
      </c>
      <c r="P35" s="3" t="s">
        <v>254</v>
      </c>
      <c r="Q35" s="3" t="s">
        <v>255</v>
      </c>
      <c r="R35" s="3" t="s">
        <v>256</v>
      </c>
      <c r="S35" s="3" t="s">
        <v>498</v>
      </c>
      <c r="T35" s="3" t="s">
        <v>258</v>
      </c>
      <c r="U35" s="3"/>
      <c r="V35" s="3"/>
      <c r="W35" s="3"/>
      <c r="X35" s="3"/>
      <c r="Y35" s="3" t="s">
        <v>260</v>
      </c>
      <c r="Z35" s="3" t="s">
        <v>261</v>
      </c>
      <c r="AA35" s="3" t="s">
        <v>256</v>
      </c>
      <c r="AB35" s="3" t="s">
        <v>499</v>
      </c>
      <c r="AC35" s="3" t="s">
        <v>284</v>
      </c>
    </row>
    <row r="36" customFormat="false" ht="23.85" hidden="false" customHeight="false" outlineLevel="0" collapsed="false">
      <c r="A36" s="19" t="s">
        <v>500</v>
      </c>
      <c r="B36" s="3" t="s">
        <v>501</v>
      </c>
      <c r="C36" s="3" t="s">
        <v>502</v>
      </c>
      <c r="D36" s="3" t="s">
        <v>503</v>
      </c>
      <c r="E36" s="3" t="s">
        <v>82</v>
      </c>
      <c r="F36" s="3" t="s">
        <v>83</v>
      </c>
      <c r="G36" s="3" t="s">
        <v>162</v>
      </c>
      <c r="H36" s="3" t="s">
        <v>163</v>
      </c>
      <c r="I36" s="3" t="n">
        <v>3</v>
      </c>
      <c r="J36" s="3" t="n">
        <v>33</v>
      </c>
      <c r="K36" s="3" t="s">
        <v>68</v>
      </c>
      <c r="L36" s="3" t="s">
        <v>251</v>
      </c>
      <c r="M36" s="3" t="s">
        <v>252</v>
      </c>
      <c r="N36" s="3" t="s">
        <v>253</v>
      </c>
      <c r="O36" s="3" t="s">
        <v>253</v>
      </c>
      <c r="P36" s="3" t="s">
        <v>254</v>
      </c>
      <c r="Q36" s="3" t="s">
        <v>504</v>
      </c>
      <c r="R36" s="3" t="s">
        <v>505</v>
      </c>
      <c r="S36" s="3" t="s">
        <v>506</v>
      </c>
      <c r="T36" s="3"/>
      <c r="U36" s="3"/>
      <c r="V36" s="3"/>
      <c r="W36" s="3" t="s">
        <v>258</v>
      </c>
      <c r="X36" s="3" t="s">
        <v>507</v>
      </c>
      <c r="Y36" s="3" t="s">
        <v>260</v>
      </c>
      <c r="Z36" s="3" t="s">
        <v>261</v>
      </c>
      <c r="AA36" s="3" t="s">
        <v>256</v>
      </c>
      <c r="AB36" s="3" t="s">
        <v>256</v>
      </c>
      <c r="AC36" s="3" t="s">
        <v>324</v>
      </c>
    </row>
    <row r="37" customFormat="false" ht="23.85" hidden="false" customHeight="false" outlineLevel="0" collapsed="false">
      <c r="A37" s="20" t="s">
        <v>508</v>
      </c>
      <c r="B37" s="3" t="s">
        <v>509</v>
      </c>
      <c r="C37" s="3" t="s">
        <v>510</v>
      </c>
      <c r="D37" s="3" t="s">
        <v>511</v>
      </c>
      <c r="E37" s="3" t="s">
        <v>88</v>
      </c>
      <c r="F37" s="3" t="s">
        <v>89</v>
      </c>
      <c r="G37" s="3" t="s">
        <v>171</v>
      </c>
      <c r="H37" s="3" t="s">
        <v>172</v>
      </c>
      <c r="I37" s="3" t="n">
        <v>4</v>
      </c>
      <c r="J37" s="3" t="n">
        <v>34</v>
      </c>
      <c r="K37" s="3" t="s">
        <v>67</v>
      </c>
      <c r="L37" s="3" t="s">
        <v>251</v>
      </c>
      <c r="M37" s="3" t="s">
        <v>252</v>
      </c>
      <c r="N37" s="3" t="s">
        <v>269</v>
      </c>
      <c r="O37" s="3" t="s">
        <v>270</v>
      </c>
      <c r="P37" s="3" t="s">
        <v>254</v>
      </c>
      <c r="Q37" s="3" t="s">
        <v>255</v>
      </c>
      <c r="R37" s="3" t="s">
        <v>256</v>
      </c>
      <c r="S37" s="3" t="s">
        <v>512</v>
      </c>
      <c r="T37" s="3" t="s">
        <v>258</v>
      </c>
      <c r="U37" s="3" t="s">
        <v>273</v>
      </c>
      <c r="V37" s="3" t="s">
        <v>258</v>
      </c>
      <c r="W37" s="3"/>
      <c r="X37" s="3"/>
      <c r="Y37" s="3" t="s">
        <v>260</v>
      </c>
      <c r="Z37" s="3" t="s">
        <v>261</v>
      </c>
      <c r="AA37" s="3" t="s">
        <v>513</v>
      </c>
      <c r="AB37" s="3" t="s">
        <v>514</v>
      </c>
      <c r="AC37" s="3" t="s">
        <v>264</v>
      </c>
    </row>
    <row r="38" customFormat="false" ht="23.85" hidden="false" customHeight="false" outlineLevel="0" collapsed="false">
      <c r="A38" s="20" t="s">
        <v>515</v>
      </c>
      <c r="B38" s="3" t="s">
        <v>516</v>
      </c>
      <c r="C38" s="3" t="s">
        <v>517</v>
      </c>
      <c r="D38" s="3" t="s">
        <v>518</v>
      </c>
      <c r="E38" s="3" t="s">
        <v>88</v>
      </c>
      <c r="F38" s="3" t="s">
        <v>89</v>
      </c>
      <c r="G38" s="3" t="s">
        <v>171</v>
      </c>
      <c r="H38" s="3" t="s">
        <v>172</v>
      </c>
      <c r="I38" s="3" t="n">
        <v>4</v>
      </c>
      <c r="J38" s="3" t="n">
        <v>35</v>
      </c>
      <c r="K38" s="3" t="s">
        <v>67</v>
      </c>
      <c r="L38" s="3" t="s">
        <v>347</v>
      </c>
      <c r="M38" s="3" t="s">
        <v>348</v>
      </c>
      <c r="N38" s="3" t="s">
        <v>329</v>
      </c>
      <c r="O38" s="3" t="s">
        <v>330</v>
      </c>
      <c r="P38" s="3" t="s">
        <v>254</v>
      </c>
      <c r="Q38" s="3" t="s">
        <v>519</v>
      </c>
      <c r="R38" s="3" t="s">
        <v>520</v>
      </c>
      <c r="S38" s="3" t="s">
        <v>512</v>
      </c>
      <c r="T38" s="3" t="s">
        <v>258</v>
      </c>
      <c r="U38" s="3" t="s">
        <v>273</v>
      </c>
      <c r="V38" s="3" t="s">
        <v>258</v>
      </c>
      <c r="W38" s="3"/>
      <c r="X38" s="3" t="s">
        <v>376</v>
      </c>
      <c r="Y38" s="3" t="s">
        <v>260</v>
      </c>
      <c r="Z38" s="3" t="s">
        <v>261</v>
      </c>
      <c r="AA38" s="3" t="s">
        <v>521</v>
      </c>
      <c r="AB38" s="3" t="s">
        <v>522</v>
      </c>
      <c r="AC38" s="3" t="s">
        <v>264</v>
      </c>
    </row>
    <row r="39" customFormat="false" ht="23.85" hidden="false" customHeight="false" outlineLevel="0" collapsed="false">
      <c r="A39" s="20" t="s">
        <v>523</v>
      </c>
      <c r="B39" s="3" t="s">
        <v>524</v>
      </c>
      <c r="C39" s="3" t="s">
        <v>525</v>
      </c>
      <c r="D39" s="3" t="s">
        <v>526</v>
      </c>
      <c r="E39" s="3" t="s">
        <v>88</v>
      </c>
      <c r="F39" s="3" t="s">
        <v>89</v>
      </c>
      <c r="G39" s="3" t="s">
        <v>177</v>
      </c>
      <c r="H39" s="3" t="s">
        <v>178</v>
      </c>
      <c r="I39" s="3" t="n">
        <v>4</v>
      </c>
      <c r="J39" s="3" t="n">
        <v>36</v>
      </c>
      <c r="K39" s="3" t="s">
        <v>67</v>
      </c>
      <c r="L39" s="3" t="s">
        <v>347</v>
      </c>
      <c r="M39" s="3" t="s">
        <v>348</v>
      </c>
      <c r="N39" s="3" t="s">
        <v>329</v>
      </c>
      <c r="O39" s="3" t="s">
        <v>330</v>
      </c>
      <c r="P39" s="3" t="s">
        <v>254</v>
      </c>
      <c r="Q39" s="3" t="s">
        <v>255</v>
      </c>
      <c r="R39" s="3" t="s">
        <v>256</v>
      </c>
      <c r="S39" s="3" t="s">
        <v>527</v>
      </c>
      <c r="T39" s="3"/>
      <c r="U39" s="3" t="s">
        <v>258</v>
      </c>
      <c r="V39" s="3" t="s">
        <v>258</v>
      </c>
      <c r="W39" s="3"/>
      <c r="X39" s="3" t="s">
        <v>376</v>
      </c>
      <c r="Y39" s="3" t="s">
        <v>260</v>
      </c>
      <c r="Z39" s="3" t="s">
        <v>261</v>
      </c>
      <c r="AA39" s="3" t="s">
        <v>528</v>
      </c>
      <c r="AB39" s="3" t="s">
        <v>529</v>
      </c>
      <c r="AC39" s="3" t="s">
        <v>264</v>
      </c>
    </row>
    <row r="40" customFormat="false" ht="23.85" hidden="false" customHeight="false" outlineLevel="0" collapsed="false">
      <c r="A40" s="20" t="s">
        <v>530</v>
      </c>
      <c r="B40" s="3" t="s">
        <v>531</v>
      </c>
      <c r="C40" s="3" t="s">
        <v>532</v>
      </c>
      <c r="D40" s="3" t="s">
        <v>533</v>
      </c>
      <c r="E40" s="3" t="s">
        <v>88</v>
      </c>
      <c r="F40" s="3" t="s">
        <v>89</v>
      </c>
      <c r="G40" s="3" t="s">
        <v>174</v>
      </c>
      <c r="H40" s="3" t="s">
        <v>175</v>
      </c>
      <c r="I40" s="3" t="n">
        <v>4</v>
      </c>
      <c r="J40" s="3" t="n">
        <v>37</v>
      </c>
      <c r="K40" s="3" t="s">
        <v>68</v>
      </c>
      <c r="L40" s="3" t="s">
        <v>347</v>
      </c>
      <c r="M40" s="3" t="s">
        <v>348</v>
      </c>
      <c r="N40" s="3" t="s">
        <v>269</v>
      </c>
      <c r="O40" s="3" t="s">
        <v>270</v>
      </c>
      <c r="P40" s="3" t="s">
        <v>289</v>
      </c>
      <c r="Q40" s="3" t="s">
        <v>255</v>
      </c>
      <c r="R40" s="3" t="s">
        <v>256</v>
      </c>
      <c r="S40" s="3" t="s">
        <v>323</v>
      </c>
      <c r="T40" s="3"/>
      <c r="U40" s="3" t="s">
        <v>258</v>
      </c>
      <c r="V40" s="3" t="s">
        <v>258</v>
      </c>
      <c r="W40" s="3"/>
      <c r="X40" s="3"/>
      <c r="Y40" s="3" t="s">
        <v>260</v>
      </c>
      <c r="Z40" s="3" t="s">
        <v>261</v>
      </c>
      <c r="AA40" s="3" t="s">
        <v>534</v>
      </c>
      <c r="AB40" s="3" t="s">
        <v>535</v>
      </c>
      <c r="AC40" s="3" t="s">
        <v>264</v>
      </c>
    </row>
    <row r="41" customFormat="false" ht="23.85" hidden="false" customHeight="false" outlineLevel="0" collapsed="false">
      <c r="A41" s="20" t="s">
        <v>536</v>
      </c>
      <c r="B41" s="3" t="s">
        <v>537</v>
      </c>
      <c r="C41" s="3" t="s">
        <v>538</v>
      </c>
      <c r="D41" s="3" t="s">
        <v>539</v>
      </c>
      <c r="E41" s="3" t="s">
        <v>88</v>
      </c>
      <c r="F41" s="3" t="s">
        <v>89</v>
      </c>
      <c r="G41" s="3" t="s">
        <v>174</v>
      </c>
      <c r="H41" s="3" t="s">
        <v>175</v>
      </c>
      <c r="I41" s="3" t="n">
        <v>4</v>
      </c>
      <c r="J41" s="3" t="n">
        <v>38</v>
      </c>
      <c r="K41" s="3" t="s">
        <v>68</v>
      </c>
      <c r="L41" s="3" t="s">
        <v>347</v>
      </c>
      <c r="M41" s="3" t="s">
        <v>348</v>
      </c>
      <c r="N41" s="3" t="s">
        <v>329</v>
      </c>
      <c r="O41" s="3" t="s">
        <v>330</v>
      </c>
      <c r="P41" s="3" t="s">
        <v>289</v>
      </c>
      <c r="Q41" s="3" t="s">
        <v>255</v>
      </c>
      <c r="R41" s="3" t="s">
        <v>540</v>
      </c>
      <c r="S41" s="3" t="s">
        <v>323</v>
      </c>
      <c r="T41" s="3"/>
      <c r="U41" s="3" t="s">
        <v>258</v>
      </c>
      <c r="V41" s="3" t="s">
        <v>258</v>
      </c>
      <c r="W41" s="3"/>
      <c r="X41" s="3" t="s">
        <v>376</v>
      </c>
      <c r="Y41" s="3" t="s">
        <v>260</v>
      </c>
      <c r="Z41" s="3" t="s">
        <v>261</v>
      </c>
      <c r="AA41" s="3" t="s">
        <v>541</v>
      </c>
      <c r="AB41" s="3" t="s">
        <v>542</v>
      </c>
      <c r="AC41" s="3" t="s">
        <v>264</v>
      </c>
    </row>
    <row r="42" customFormat="false" ht="15" hidden="false" customHeight="false" outlineLevel="0" collapsed="false">
      <c r="A42" s="20" t="s">
        <v>543</v>
      </c>
      <c r="B42" s="3" t="s">
        <v>544</v>
      </c>
      <c r="C42" s="3" t="s">
        <v>545</v>
      </c>
      <c r="D42" s="3" t="s">
        <v>546</v>
      </c>
      <c r="E42" s="3" t="s">
        <v>88</v>
      </c>
      <c r="F42" s="3" t="s">
        <v>89</v>
      </c>
      <c r="G42" s="3" t="s">
        <v>171</v>
      </c>
      <c r="H42" s="3" t="s">
        <v>172</v>
      </c>
      <c r="I42" s="3" t="n">
        <v>4</v>
      </c>
      <c r="J42" s="3" t="n">
        <v>39</v>
      </c>
      <c r="K42" s="3" t="s">
        <v>68</v>
      </c>
      <c r="L42" s="3" t="s">
        <v>251</v>
      </c>
      <c r="M42" s="3" t="s">
        <v>252</v>
      </c>
      <c r="N42" s="3" t="s">
        <v>253</v>
      </c>
      <c r="O42" s="3" t="s">
        <v>253</v>
      </c>
      <c r="P42" s="3" t="s">
        <v>254</v>
      </c>
      <c r="Q42" s="3" t="s">
        <v>255</v>
      </c>
      <c r="R42" s="3" t="s">
        <v>520</v>
      </c>
      <c r="S42" s="3" t="s">
        <v>547</v>
      </c>
      <c r="T42" s="3"/>
      <c r="U42" s="3" t="s">
        <v>258</v>
      </c>
      <c r="V42" s="3" t="s">
        <v>258</v>
      </c>
      <c r="W42" s="3"/>
      <c r="X42" s="3" t="s">
        <v>259</v>
      </c>
      <c r="Y42" s="3" t="s">
        <v>548</v>
      </c>
      <c r="Z42" s="3" t="s">
        <v>261</v>
      </c>
      <c r="AA42" s="3" t="s">
        <v>549</v>
      </c>
      <c r="AB42" s="3" t="s">
        <v>550</v>
      </c>
      <c r="AC42" s="3" t="s">
        <v>264</v>
      </c>
    </row>
    <row r="43" customFormat="false" ht="23.85" hidden="false" customHeight="false" outlineLevel="0" collapsed="false">
      <c r="A43" s="20" t="s">
        <v>551</v>
      </c>
      <c r="B43" s="3" t="s">
        <v>552</v>
      </c>
      <c r="C43" s="3" t="s">
        <v>553</v>
      </c>
      <c r="D43" s="3" t="s">
        <v>554</v>
      </c>
      <c r="E43" s="3" t="s">
        <v>88</v>
      </c>
      <c r="F43" s="3" t="s">
        <v>89</v>
      </c>
      <c r="G43" s="3" t="s">
        <v>180</v>
      </c>
      <c r="H43" s="3" t="s">
        <v>181</v>
      </c>
      <c r="I43" s="3" t="n">
        <v>4</v>
      </c>
      <c r="J43" s="3" t="n">
        <v>40</v>
      </c>
      <c r="K43" s="3" t="s">
        <v>68</v>
      </c>
      <c r="L43" s="3" t="s">
        <v>347</v>
      </c>
      <c r="M43" s="3" t="s">
        <v>348</v>
      </c>
      <c r="N43" s="3" t="s">
        <v>269</v>
      </c>
      <c r="O43" s="3" t="s">
        <v>270</v>
      </c>
      <c r="P43" s="3" t="s">
        <v>289</v>
      </c>
      <c r="Q43" s="3" t="s">
        <v>255</v>
      </c>
      <c r="R43" s="3" t="s">
        <v>256</v>
      </c>
      <c r="S43" s="3" t="s">
        <v>555</v>
      </c>
      <c r="T43" s="3"/>
      <c r="U43" s="3" t="s">
        <v>258</v>
      </c>
      <c r="V43" s="3" t="s">
        <v>258</v>
      </c>
      <c r="W43" s="3"/>
      <c r="X43" s="3"/>
      <c r="Y43" s="3" t="s">
        <v>260</v>
      </c>
      <c r="Z43" s="3" t="s">
        <v>261</v>
      </c>
      <c r="AA43" s="3" t="s">
        <v>556</v>
      </c>
      <c r="AB43" s="3" t="s">
        <v>557</v>
      </c>
      <c r="AC43" s="3" t="s">
        <v>264</v>
      </c>
    </row>
    <row r="44" customFormat="false" ht="23.85" hidden="false" customHeight="false" outlineLevel="0" collapsed="false">
      <c r="A44" s="20" t="s">
        <v>558</v>
      </c>
      <c r="B44" s="3" t="s">
        <v>559</v>
      </c>
      <c r="C44" s="3" t="s">
        <v>560</v>
      </c>
      <c r="D44" s="3" t="s">
        <v>561</v>
      </c>
      <c r="E44" s="3" t="s">
        <v>88</v>
      </c>
      <c r="F44" s="3" t="s">
        <v>89</v>
      </c>
      <c r="G44" s="3" t="s">
        <v>177</v>
      </c>
      <c r="H44" s="3" t="s">
        <v>178</v>
      </c>
      <c r="I44" s="3" t="n">
        <v>4</v>
      </c>
      <c r="J44" s="3" t="n">
        <v>41</v>
      </c>
      <c r="K44" s="3" t="s">
        <v>68</v>
      </c>
      <c r="L44" s="3" t="s">
        <v>251</v>
      </c>
      <c r="M44" s="3" t="s">
        <v>252</v>
      </c>
      <c r="N44" s="3" t="s">
        <v>269</v>
      </c>
      <c r="O44" s="3" t="s">
        <v>270</v>
      </c>
      <c r="P44" s="3" t="s">
        <v>254</v>
      </c>
      <c r="Q44" s="3" t="s">
        <v>255</v>
      </c>
      <c r="R44" s="3" t="s">
        <v>256</v>
      </c>
      <c r="S44" s="3" t="s">
        <v>562</v>
      </c>
      <c r="T44" s="3"/>
      <c r="U44" s="3" t="s">
        <v>258</v>
      </c>
      <c r="V44" s="3" t="s">
        <v>258</v>
      </c>
      <c r="W44" s="3"/>
      <c r="X44" s="3"/>
      <c r="Y44" s="3" t="s">
        <v>260</v>
      </c>
      <c r="Z44" s="3" t="s">
        <v>261</v>
      </c>
      <c r="AA44" s="3" t="s">
        <v>563</v>
      </c>
      <c r="AB44" s="3" t="s">
        <v>564</v>
      </c>
      <c r="AC44" s="3" t="s">
        <v>264</v>
      </c>
    </row>
    <row r="45" customFormat="false" ht="15" hidden="false" customHeight="false" outlineLevel="0" collapsed="false">
      <c r="A45" s="20" t="s">
        <v>565</v>
      </c>
      <c r="B45" s="3" t="s">
        <v>566</v>
      </c>
      <c r="C45" s="3" t="s">
        <v>567</v>
      </c>
      <c r="D45" s="3" t="s">
        <v>568</v>
      </c>
      <c r="E45" s="3" t="s">
        <v>88</v>
      </c>
      <c r="F45" s="3" t="s">
        <v>89</v>
      </c>
      <c r="G45" s="3" t="s">
        <v>177</v>
      </c>
      <c r="H45" s="3" t="s">
        <v>178</v>
      </c>
      <c r="I45" s="3" t="n">
        <v>4</v>
      </c>
      <c r="J45" s="3" t="n">
        <v>42</v>
      </c>
      <c r="K45" s="3" t="s">
        <v>68</v>
      </c>
      <c r="L45" s="3" t="s">
        <v>251</v>
      </c>
      <c r="M45" s="3" t="s">
        <v>252</v>
      </c>
      <c r="N45" s="3" t="s">
        <v>269</v>
      </c>
      <c r="O45" s="3" t="s">
        <v>270</v>
      </c>
      <c r="P45" s="3" t="s">
        <v>254</v>
      </c>
      <c r="Q45" s="3" t="s">
        <v>255</v>
      </c>
      <c r="R45" s="3" t="s">
        <v>256</v>
      </c>
      <c r="S45" s="3" t="s">
        <v>569</v>
      </c>
      <c r="T45" s="3"/>
      <c r="U45" s="3" t="s">
        <v>258</v>
      </c>
      <c r="V45" s="3" t="s">
        <v>258</v>
      </c>
      <c r="W45" s="3"/>
      <c r="X45" s="3"/>
      <c r="Y45" s="3" t="s">
        <v>260</v>
      </c>
      <c r="Z45" s="3" t="s">
        <v>261</v>
      </c>
      <c r="AA45" s="3" t="s">
        <v>570</v>
      </c>
      <c r="AB45" s="3" t="s">
        <v>571</v>
      </c>
      <c r="AC45" s="3" t="s">
        <v>264</v>
      </c>
    </row>
    <row r="46" customFormat="false" ht="23.85" hidden="false" customHeight="false" outlineLevel="0" collapsed="false">
      <c r="A46" s="20" t="s">
        <v>572</v>
      </c>
      <c r="B46" s="3" t="s">
        <v>573</v>
      </c>
      <c r="C46" s="3" t="s">
        <v>574</v>
      </c>
      <c r="D46" s="3" t="s">
        <v>575</v>
      </c>
      <c r="E46" s="3" t="s">
        <v>88</v>
      </c>
      <c r="F46" s="3" t="s">
        <v>89</v>
      </c>
      <c r="G46" s="3" t="s">
        <v>171</v>
      </c>
      <c r="H46" s="3" t="s">
        <v>172</v>
      </c>
      <c r="I46" s="3" t="n">
        <v>4</v>
      </c>
      <c r="J46" s="3" t="n">
        <v>43</v>
      </c>
      <c r="K46" s="3" t="s">
        <v>68</v>
      </c>
      <c r="L46" s="3" t="s">
        <v>251</v>
      </c>
      <c r="M46" s="3" t="s">
        <v>252</v>
      </c>
      <c r="N46" s="3" t="s">
        <v>576</v>
      </c>
      <c r="O46" s="3" t="s">
        <v>577</v>
      </c>
      <c r="P46" s="3" t="s">
        <v>254</v>
      </c>
      <c r="Q46" s="3" t="s">
        <v>578</v>
      </c>
      <c r="R46" s="3" t="s">
        <v>256</v>
      </c>
      <c r="S46" s="3" t="s">
        <v>323</v>
      </c>
      <c r="T46" s="3"/>
      <c r="U46" s="3" t="s">
        <v>258</v>
      </c>
      <c r="V46" s="3" t="s">
        <v>258</v>
      </c>
      <c r="W46" s="3"/>
      <c r="X46" s="3"/>
      <c r="Y46" s="3" t="s">
        <v>260</v>
      </c>
      <c r="Z46" s="3" t="s">
        <v>261</v>
      </c>
      <c r="AA46" s="3" t="s">
        <v>579</v>
      </c>
      <c r="AB46" s="3" t="s">
        <v>580</v>
      </c>
      <c r="AC46" s="3" t="s">
        <v>276</v>
      </c>
    </row>
    <row r="47" customFormat="false" ht="23.85" hidden="false" customHeight="false" outlineLevel="0" collapsed="false">
      <c r="A47" s="21" t="s">
        <v>581</v>
      </c>
      <c r="B47" s="3" t="s">
        <v>582</v>
      </c>
      <c r="C47" s="3" t="s">
        <v>583</v>
      </c>
      <c r="D47" s="3" t="s">
        <v>584</v>
      </c>
      <c r="E47" s="3" t="s">
        <v>93</v>
      </c>
      <c r="F47" s="3" t="s">
        <v>94</v>
      </c>
      <c r="G47" s="3" t="s">
        <v>183</v>
      </c>
      <c r="H47" s="3" t="s">
        <v>184</v>
      </c>
      <c r="I47" s="3" t="n">
        <v>5</v>
      </c>
      <c r="J47" s="3" t="n">
        <v>44</v>
      </c>
      <c r="K47" s="3" t="s">
        <v>67</v>
      </c>
      <c r="L47" s="3" t="s">
        <v>251</v>
      </c>
      <c r="M47" s="3" t="s">
        <v>252</v>
      </c>
      <c r="N47" s="3" t="s">
        <v>329</v>
      </c>
      <c r="O47" s="3" t="s">
        <v>330</v>
      </c>
      <c r="P47" s="3" t="s">
        <v>289</v>
      </c>
      <c r="Q47" s="3" t="s">
        <v>255</v>
      </c>
      <c r="R47" s="3" t="s">
        <v>256</v>
      </c>
      <c r="S47" s="3" t="s">
        <v>585</v>
      </c>
      <c r="T47" s="3"/>
      <c r="U47" s="3" t="s">
        <v>258</v>
      </c>
      <c r="V47" s="3" t="s">
        <v>258</v>
      </c>
      <c r="W47" s="3"/>
      <c r="X47" s="3" t="s">
        <v>586</v>
      </c>
      <c r="Y47" s="3" t="s">
        <v>260</v>
      </c>
      <c r="Z47" s="3" t="s">
        <v>587</v>
      </c>
      <c r="AA47" s="3" t="s">
        <v>588</v>
      </c>
      <c r="AB47" s="3" t="s">
        <v>589</v>
      </c>
      <c r="AC47" s="3" t="s">
        <v>264</v>
      </c>
    </row>
    <row r="48" customFormat="false" ht="35.05" hidden="false" customHeight="false" outlineLevel="0" collapsed="false">
      <c r="A48" s="21" t="s">
        <v>590</v>
      </c>
      <c r="B48" s="3" t="s">
        <v>591</v>
      </c>
      <c r="C48" s="3" t="s">
        <v>592</v>
      </c>
      <c r="D48" s="3" t="s">
        <v>593</v>
      </c>
      <c r="E48" s="3" t="s">
        <v>93</v>
      </c>
      <c r="F48" s="3" t="s">
        <v>94</v>
      </c>
      <c r="G48" s="3" t="s">
        <v>186</v>
      </c>
      <c r="H48" s="3" t="s">
        <v>187</v>
      </c>
      <c r="I48" s="3" t="n">
        <v>5</v>
      </c>
      <c r="J48" s="3" t="n">
        <v>45</v>
      </c>
      <c r="K48" s="3" t="s">
        <v>67</v>
      </c>
      <c r="L48" s="3" t="s">
        <v>251</v>
      </c>
      <c r="M48" s="3" t="s">
        <v>252</v>
      </c>
      <c r="N48" s="3" t="s">
        <v>329</v>
      </c>
      <c r="O48" s="3" t="s">
        <v>330</v>
      </c>
      <c r="P48" s="3" t="s">
        <v>254</v>
      </c>
      <c r="Q48" s="3" t="s">
        <v>255</v>
      </c>
      <c r="R48" s="3" t="s">
        <v>256</v>
      </c>
      <c r="S48" s="3" t="s">
        <v>594</v>
      </c>
      <c r="T48" s="3"/>
      <c r="U48" s="3" t="s">
        <v>258</v>
      </c>
      <c r="V48" s="3" t="s">
        <v>258</v>
      </c>
      <c r="W48" s="3" t="s">
        <v>258</v>
      </c>
      <c r="X48" s="3" t="s">
        <v>332</v>
      </c>
      <c r="Y48" s="3" t="s">
        <v>333</v>
      </c>
      <c r="Z48" s="3" t="s">
        <v>261</v>
      </c>
      <c r="AA48" s="3" t="s">
        <v>595</v>
      </c>
      <c r="AB48" s="3" t="s">
        <v>596</v>
      </c>
      <c r="AC48" s="3" t="s">
        <v>264</v>
      </c>
    </row>
    <row r="49" customFormat="false" ht="23.85" hidden="false" customHeight="false" outlineLevel="0" collapsed="false">
      <c r="A49" s="21" t="s">
        <v>597</v>
      </c>
      <c r="B49" s="3" t="s">
        <v>598</v>
      </c>
      <c r="C49" s="3" t="s">
        <v>599</v>
      </c>
      <c r="D49" s="3" t="s">
        <v>600</v>
      </c>
      <c r="E49" s="3" t="s">
        <v>93</v>
      </c>
      <c r="F49" s="3" t="s">
        <v>94</v>
      </c>
      <c r="G49" s="3" t="s">
        <v>186</v>
      </c>
      <c r="H49" s="3" t="s">
        <v>187</v>
      </c>
      <c r="I49" s="3" t="n">
        <v>5</v>
      </c>
      <c r="J49" s="3" t="n">
        <v>46</v>
      </c>
      <c r="K49" s="3" t="s">
        <v>67</v>
      </c>
      <c r="L49" s="3" t="s">
        <v>251</v>
      </c>
      <c r="M49" s="3" t="s">
        <v>252</v>
      </c>
      <c r="N49" s="3" t="s">
        <v>329</v>
      </c>
      <c r="O49" s="3" t="s">
        <v>330</v>
      </c>
      <c r="P49" s="3" t="s">
        <v>254</v>
      </c>
      <c r="Q49" s="3" t="s">
        <v>255</v>
      </c>
      <c r="R49" s="3" t="s">
        <v>256</v>
      </c>
      <c r="S49" s="3" t="s">
        <v>601</v>
      </c>
      <c r="T49" s="3"/>
      <c r="U49" s="3" t="s">
        <v>258</v>
      </c>
      <c r="V49" s="3" t="s">
        <v>258</v>
      </c>
      <c r="W49" s="3" t="s">
        <v>258</v>
      </c>
      <c r="X49" s="3" t="s">
        <v>332</v>
      </c>
      <c r="Y49" s="3" t="s">
        <v>333</v>
      </c>
      <c r="Z49" s="3" t="s">
        <v>261</v>
      </c>
      <c r="AA49" s="3" t="s">
        <v>602</v>
      </c>
      <c r="AB49" s="3" t="s">
        <v>603</v>
      </c>
      <c r="AC49" s="3" t="s">
        <v>264</v>
      </c>
    </row>
    <row r="50" customFormat="false" ht="23.85" hidden="false" customHeight="false" outlineLevel="0" collapsed="false">
      <c r="A50" s="21" t="s">
        <v>604</v>
      </c>
      <c r="B50" s="3" t="s">
        <v>605</v>
      </c>
      <c r="C50" s="3" t="s">
        <v>606</v>
      </c>
      <c r="D50" s="3" t="s">
        <v>607</v>
      </c>
      <c r="E50" s="3" t="s">
        <v>93</v>
      </c>
      <c r="F50" s="3" t="s">
        <v>94</v>
      </c>
      <c r="G50" s="3" t="s">
        <v>189</v>
      </c>
      <c r="H50" s="3" t="s">
        <v>190</v>
      </c>
      <c r="I50" s="3" t="n">
        <v>5</v>
      </c>
      <c r="J50" s="3" t="n">
        <v>47</v>
      </c>
      <c r="K50" s="3" t="s">
        <v>68</v>
      </c>
      <c r="L50" s="3" t="s">
        <v>347</v>
      </c>
      <c r="M50" s="3" t="s">
        <v>348</v>
      </c>
      <c r="N50" s="3" t="s">
        <v>490</v>
      </c>
      <c r="O50" s="3" t="s">
        <v>491</v>
      </c>
      <c r="P50" s="3" t="s">
        <v>289</v>
      </c>
      <c r="Q50" s="3" t="s">
        <v>608</v>
      </c>
      <c r="R50" s="3" t="s">
        <v>256</v>
      </c>
      <c r="S50" s="3" t="s">
        <v>609</v>
      </c>
      <c r="T50" s="3"/>
      <c r="U50" s="3" t="s">
        <v>258</v>
      </c>
      <c r="V50" s="3" t="s">
        <v>258</v>
      </c>
      <c r="W50" s="3" t="s">
        <v>258</v>
      </c>
      <c r="X50" s="3"/>
      <c r="Y50" s="3" t="s">
        <v>260</v>
      </c>
      <c r="Z50" s="3" t="s">
        <v>261</v>
      </c>
      <c r="AA50" s="3" t="s">
        <v>610</v>
      </c>
      <c r="AB50" s="3" t="s">
        <v>611</v>
      </c>
      <c r="AC50" s="3" t="s">
        <v>276</v>
      </c>
    </row>
    <row r="51" customFormat="false" ht="23.85" hidden="false" customHeight="false" outlineLevel="0" collapsed="false">
      <c r="A51" s="21" t="s">
        <v>612</v>
      </c>
      <c r="B51" s="3" t="s">
        <v>613</v>
      </c>
      <c r="C51" s="3" t="s">
        <v>614</v>
      </c>
      <c r="D51" s="3" t="s">
        <v>615</v>
      </c>
      <c r="E51" s="3" t="s">
        <v>93</v>
      </c>
      <c r="F51" s="3" t="s">
        <v>94</v>
      </c>
      <c r="G51" s="3" t="s">
        <v>192</v>
      </c>
      <c r="H51" s="3" t="s">
        <v>193</v>
      </c>
      <c r="I51" s="3" t="n">
        <v>5</v>
      </c>
      <c r="J51" s="3" t="n">
        <v>48</v>
      </c>
      <c r="K51" s="3" t="s">
        <v>68</v>
      </c>
      <c r="L51" s="3" t="s">
        <v>347</v>
      </c>
      <c r="M51" s="3" t="s">
        <v>348</v>
      </c>
      <c r="N51" s="3" t="s">
        <v>437</v>
      </c>
      <c r="O51" s="3" t="s">
        <v>438</v>
      </c>
      <c r="P51" s="3" t="s">
        <v>289</v>
      </c>
      <c r="Q51" s="3" t="s">
        <v>255</v>
      </c>
      <c r="R51" s="3" t="s">
        <v>256</v>
      </c>
      <c r="S51" s="3" t="s">
        <v>609</v>
      </c>
      <c r="T51" s="3"/>
      <c r="U51" s="3" t="s">
        <v>258</v>
      </c>
      <c r="V51" s="3" t="s">
        <v>258</v>
      </c>
      <c r="W51" s="3" t="s">
        <v>258</v>
      </c>
      <c r="X51" s="3"/>
      <c r="Y51" s="3" t="s">
        <v>260</v>
      </c>
      <c r="Z51" s="3" t="s">
        <v>261</v>
      </c>
      <c r="AA51" s="3" t="s">
        <v>616</v>
      </c>
      <c r="AB51" s="3" t="s">
        <v>617</v>
      </c>
      <c r="AC51" s="3" t="s">
        <v>276</v>
      </c>
    </row>
    <row r="52" customFormat="false" ht="23.85" hidden="false" customHeight="false" outlineLevel="0" collapsed="false">
      <c r="A52" s="21" t="s">
        <v>618</v>
      </c>
      <c r="B52" s="3" t="s">
        <v>619</v>
      </c>
      <c r="C52" s="3" t="s">
        <v>620</v>
      </c>
      <c r="D52" s="3" t="s">
        <v>621</v>
      </c>
      <c r="E52" s="3" t="s">
        <v>93</v>
      </c>
      <c r="F52" s="3" t="s">
        <v>94</v>
      </c>
      <c r="G52" s="3" t="s">
        <v>192</v>
      </c>
      <c r="H52" s="3" t="s">
        <v>193</v>
      </c>
      <c r="I52" s="3" t="n">
        <v>5</v>
      </c>
      <c r="J52" s="3" t="n">
        <v>49</v>
      </c>
      <c r="K52" s="3" t="s">
        <v>68</v>
      </c>
      <c r="L52" s="3" t="s">
        <v>347</v>
      </c>
      <c r="M52" s="3" t="s">
        <v>348</v>
      </c>
      <c r="N52" s="3" t="s">
        <v>576</v>
      </c>
      <c r="O52" s="3" t="s">
        <v>577</v>
      </c>
      <c r="P52" s="3" t="s">
        <v>289</v>
      </c>
      <c r="Q52" s="3" t="s">
        <v>578</v>
      </c>
      <c r="R52" s="3" t="s">
        <v>622</v>
      </c>
      <c r="S52" s="3" t="s">
        <v>609</v>
      </c>
      <c r="T52" s="3"/>
      <c r="U52" s="3" t="s">
        <v>258</v>
      </c>
      <c r="V52" s="3" t="s">
        <v>258</v>
      </c>
      <c r="W52" s="3" t="s">
        <v>258</v>
      </c>
      <c r="X52" s="3" t="s">
        <v>623</v>
      </c>
      <c r="Y52" s="3" t="s">
        <v>624</v>
      </c>
      <c r="Z52" s="3" t="s">
        <v>261</v>
      </c>
      <c r="AA52" s="3" t="s">
        <v>625</v>
      </c>
      <c r="AB52" s="3" t="s">
        <v>626</v>
      </c>
      <c r="AC52" s="3" t="s">
        <v>276</v>
      </c>
    </row>
    <row r="53" customFormat="false" ht="23.85" hidden="false" customHeight="false" outlineLevel="0" collapsed="false">
      <c r="A53" s="21" t="s">
        <v>627</v>
      </c>
      <c r="B53" s="3" t="s">
        <v>628</v>
      </c>
      <c r="C53" s="3" t="s">
        <v>629</v>
      </c>
      <c r="D53" s="3" t="s">
        <v>630</v>
      </c>
      <c r="E53" s="3" t="s">
        <v>93</v>
      </c>
      <c r="F53" s="3" t="s">
        <v>94</v>
      </c>
      <c r="G53" s="3" t="s">
        <v>189</v>
      </c>
      <c r="H53" s="3" t="s">
        <v>190</v>
      </c>
      <c r="I53" s="3" t="n">
        <v>5</v>
      </c>
      <c r="J53" s="3" t="n">
        <v>50</v>
      </c>
      <c r="K53" s="3" t="s">
        <v>68</v>
      </c>
      <c r="L53" s="3" t="s">
        <v>347</v>
      </c>
      <c r="M53" s="3" t="s">
        <v>348</v>
      </c>
      <c r="N53" s="3" t="s">
        <v>631</v>
      </c>
      <c r="O53" s="3" t="s">
        <v>577</v>
      </c>
      <c r="P53" s="3" t="s">
        <v>254</v>
      </c>
      <c r="Q53" s="3" t="s">
        <v>578</v>
      </c>
      <c r="R53" s="3" t="s">
        <v>256</v>
      </c>
      <c r="S53" s="3" t="s">
        <v>609</v>
      </c>
      <c r="T53" s="3"/>
      <c r="U53" s="3" t="s">
        <v>258</v>
      </c>
      <c r="V53" s="3" t="s">
        <v>258</v>
      </c>
      <c r="W53" s="3" t="s">
        <v>258</v>
      </c>
      <c r="X53" s="3" t="s">
        <v>623</v>
      </c>
      <c r="Y53" s="3" t="s">
        <v>632</v>
      </c>
      <c r="Z53" s="3" t="s">
        <v>633</v>
      </c>
      <c r="AA53" s="3" t="s">
        <v>634</v>
      </c>
      <c r="AB53" s="3" t="s">
        <v>635</v>
      </c>
      <c r="AC53" s="3" t="s">
        <v>276</v>
      </c>
    </row>
    <row r="54" customFormat="false" ht="23.85" hidden="false" customHeight="false" outlineLevel="0" collapsed="false">
      <c r="A54" s="21" t="s">
        <v>636</v>
      </c>
      <c r="B54" s="3" t="s">
        <v>637</v>
      </c>
      <c r="C54" s="3" t="s">
        <v>638</v>
      </c>
      <c r="D54" s="3" t="s">
        <v>639</v>
      </c>
      <c r="E54" s="3" t="s">
        <v>93</v>
      </c>
      <c r="F54" s="3" t="s">
        <v>94</v>
      </c>
      <c r="G54" s="3" t="s">
        <v>183</v>
      </c>
      <c r="H54" s="3" t="s">
        <v>184</v>
      </c>
      <c r="I54" s="3" t="n">
        <v>5</v>
      </c>
      <c r="J54" s="3" t="n">
        <v>51</v>
      </c>
      <c r="K54" s="3" t="s">
        <v>68</v>
      </c>
      <c r="L54" s="3" t="s">
        <v>251</v>
      </c>
      <c r="M54" s="3" t="s">
        <v>252</v>
      </c>
      <c r="N54" s="3" t="s">
        <v>329</v>
      </c>
      <c r="O54" s="3" t="s">
        <v>330</v>
      </c>
      <c r="P54" s="3" t="s">
        <v>289</v>
      </c>
      <c r="Q54" s="3" t="s">
        <v>255</v>
      </c>
      <c r="R54" s="3" t="s">
        <v>256</v>
      </c>
      <c r="S54" s="3" t="s">
        <v>609</v>
      </c>
      <c r="T54" s="3"/>
      <c r="U54" s="3" t="s">
        <v>258</v>
      </c>
      <c r="V54" s="3" t="s">
        <v>258</v>
      </c>
      <c r="W54" s="3"/>
      <c r="X54" s="3"/>
      <c r="Y54" s="3" t="s">
        <v>260</v>
      </c>
      <c r="Z54" s="3" t="s">
        <v>587</v>
      </c>
      <c r="AA54" s="3" t="s">
        <v>640</v>
      </c>
      <c r="AB54" s="3" t="s">
        <v>641</v>
      </c>
      <c r="AC54" s="3" t="s">
        <v>264</v>
      </c>
    </row>
    <row r="55" customFormat="false" ht="23.85" hidden="false" customHeight="false" outlineLevel="0" collapsed="false">
      <c r="A55" s="22" t="s">
        <v>642</v>
      </c>
      <c r="B55" s="3" t="s">
        <v>643</v>
      </c>
      <c r="C55" s="3" t="s">
        <v>644</v>
      </c>
      <c r="D55" s="3" t="s">
        <v>645</v>
      </c>
      <c r="E55" s="3" t="s">
        <v>99</v>
      </c>
      <c r="F55" s="3" t="s">
        <v>100</v>
      </c>
      <c r="G55" s="3" t="s">
        <v>195</v>
      </c>
      <c r="H55" s="3" t="s">
        <v>196</v>
      </c>
      <c r="I55" s="3" t="n">
        <v>6</v>
      </c>
      <c r="J55" s="3" t="n">
        <v>52</v>
      </c>
      <c r="K55" s="3" t="s">
        <v>67</v>
      </c>
      <c r="L55" s="3" t="s">
        <v>251</v>
      </c>
      <c r="M55" s="3" t="s">
        <v>252</v>
      </c>
      <c r="N55" s="3" t="s">
        <v>269</v>
      </c>
      <c r="O55" s="3" t="s">
        <v>270</v>
      </c>
      <c r="P55" s="3" t="s">
        <v>254</v>
      </c>
      <c r="Q55" s="3" t="s">
        <v>255</v>
      </c>
      <c r="R55" s="3" t="s">
        <v>256</v>
      </c>
      <c r="S55" s="3" t="s">
        <v>646</v>
      </c>
      <c r="T55" s="3" t="s">
        <v>258</v>
      </c>
      <c r="U55" s="3" t="s">
        <v>258</v>
      </c>
      <c r="V55" s="3"/>
      <c r="W55" s="3" t="s">
        <v>258</v>
      </c>
      <c r="X55" s="3" t="s">
        <v>647</v>
      </c>
      <c r="Y55" s="3" t="s">
        <v>260</v>
      </c>
      <c r="Z55" s="3" t="s">
        <v>261</v>
      </c>
      <c r="AA55" s="3" t="s">
        <v>648</v>
      </c>
      <c r="AB55" s="3" t="s">
        <v>649</v>
      </c>
      <c r="AC55" s="3" t="s">
        <v>264</v>
      </c>
    </row>
    <row r="56" customFormat="false" ht="23.85" hidden="false" customHeight="false" outlineLevel="0" collapsed="false">
      <c r="A56" s="22" t="s">
        <v>650</v>
      </c>
      <c r="B56" s="3" t="s">
        <v>651</v>
      </c>
      <c r="C56" s="3" t="s">
        <v>652</v>
      </c>
      <c r="D56" s="3" t="s">
        <v>653</v>
      </c>
      <c r="E56" s="3" t="s">
        <v>99</v>
      </c>
      <c r="F56" s="3" t="s">
        <v>100</v>
      </c>
      <c r="G56" s="3" t="s">
        <v>195</v>
      </c>
      <c r="H56" s="3" t="s">
        <v>196</v>
      </c>
      <c r="I56" s="3" t="n">
        <v>6</v>
      </c>
      <c r="J56" s="3" t="n">
        <v>53</v>
      </c>
      <c r="K56" s="3" t="s">
        <v>68</v>
      </c>
      <c r="L56" s="3" t="s">
        <v>347</v>
      </c>
      <c r="M56" s="3" t="s">
        <v>348</v>
      </c>
      <c r="N56" s="3" t="s">
        <v>576</v>
      </c>
      <c r="O56" s="3" t="s">
        <v>577</v>
      </c>
      <c r="P56" s="3" t="s">
        <v>254</v>
      </c>
      <c r="Q56" s="3" t="s">
        <v>578</v>
      </c>
      <c r="R56" s="3" t="s">
        <v>654</v>
      </c>
      <c r="S56" s="3" t="s">
        <v>655</v>
      </c>
      <c r="T56" s="3" t="s">
        <v>258</v>
      </c>
      <c r="U56" s="3" t="s">
        <v>258</v>
      </c>
      <c r="V56" s="3"/>
      <c r="W56" s="3" t="s">
        <v>258</v>
      </c>
      <c r="X56" s="3" t="s">
        <v>656</v>
      </c>
      <c r="Y56" s="3" t="s">
        <v>632</v>
      </c>
      <c r="Z56" s="3" t="s">
        <v>261</v>
      </c>
      <c r="AA56" s="3" t="s">
        <v>256</v>
      </c>
      <c r="AB56" s="3" t="s">
        <v>657</v>
      </c>
      <c r="AC56" s="3" t="s">
        <v>264</v>
      </c>
    </row>
    <row r="57" customFormat="false" ht="23.85" hidden="false" customHeight="false" outlineLevel="0" collapsed="false">
      <c r="A57" s="22" t="s">
        <v>658</v>
      </c>
      <c r="B57" s="3" t="s">
        <v>659</v>
      </c>
      <c r="C57" s="3" t="s">
        <v>660</v>
      </c>
      <c r="D57" s="3" t="s">
        <v>661</v>
      </c>
      <c r="E57" s="3" t="s">
        <v>99</v>
      </c>
      <c r="F57" s="3" t="s">
        <v>100</v>
      </c>
      <c r="G57" s="3" t="s">
        <v>195</v>
      </c>
      <c r="H57" s="3" t="s">
        <v>196</v>
      </c>
      <c r="I57" s="3" t="n">
        <v>6</v>
      </c>
      <c r="J57" s="3" t="n">
        <v>54</v>
      </c>
      <c r="K57" s="3" t="s">
        <v>68</v>
      </c>
      <c r="L57" s="3" t="s">
        <v>347</v>
      </c>
      <c r="M57" s="3" t="s">
        <v>348</v>
      </c>
      <c r="N57" s="3" t="s">
        <v>576</v>
      </c>
      <c r="O57" s="3" t="s">
        <v>577</v>
      </c>
      <c r="P57" s="3" t="s">
        <v>254</v>
      </c>
      <c r="Q57" s="3" t="s">
        <v>578</v>
      </c>
      <c r="R57" s="3" t="s">
        <v>654</v>
      </c>
      <c r="S57" s="3" t="s">
        <v>655</v>
      </c>
      <c r="T57" s="3" t="s">
        <v>258</v>
      </c>
      <c r="U57" s="3" t="s">
        <v>258</v>
      </c>
      <c r="V57" s="3"/>
      <c r="W57" s="3" t="s">
        <v>258</v>
      </c>
      <c r="X57" s="3" t="s">
        <v>656</v>
      </c>
      <c r="Y57" s="3" t="s">
        <v>632</v>
      </c>
      <c r="Z57" s="3" t="s">
        <v>261</v>
      </c>
      <c r="AA57" s="3" t="s">
        <v>256</v>
      </c>
      <c r="AB57" s="3" t="s">
        <v>662</v>
      </c>
      <c r="AC57" s="3" t="s">
        <v>264</v>
      </c>
    </row>
    <row r="58" customFormat="false" ht="15" hidden="false" customHeight="false" outlineLevel="0" collapsed="false">
      <c r="A58" s="22" t="s">
        <v>663</v>
      </c>
      <c r="B58" s="3" t="s">
        <v>664</v>
      </c>
      <c r="C58" s="3" t="s">
        <v>665</v>
      </c>
      <c r="D58" s="3" t="s">
        <v>666</v>
      </c>
      <c r="E58" s="3" t="s">
        <v>99</v>
      </c>
      <c r="F58" s="3" t="s">
        <v>100</v>
      </c>
      <c r="G58" s="3" t="s">
        <v>195</v>
      </c>
      <c r="H58" s="3" t="s">
        <v>196</v>
      </c>
      <c r="I58" s="3" t="n">
        <v>6</v>
      </c>
      <c r="J58" s="3" t="n">
        <v>55</v>
      </c>
      <c r="K58" s="3" t="s">
        <v>68</v>
      </c>
      <c r="L58" s="3" t="s">
        <v>251</v>
      </c>
      <c r="M58" s="3" t="s">
        <v>252</v>
      </c>
      <c r="N58" s="3" t="s">
        <v>437</v>
      </c>
      <c r="O58" s="3" t="s">
        <v>438</v>
      </c>
      <c r="P58" s="3" t="s">
        <v>289</v>
      </c>
      <c r="Q58" s="3" t="s">
        <v>255</v>
      </c>
      <c r="R58" s="3" t="s">
        <v>654</v>
      </c>
      <c r="S58" s="3" t="s">
        <v>655</v>
      </c>
      <c r="T58" s="3" t="s">
        <v>258</v>
      </c>
      <c r="U58" s="3"/>
      <c r="V58" s="3"/>
      <c r="W58" s="3" t="s">
        <v>258</v>
      </c>
      <c r="X58" s="3"/>
      <c r="Y58" s="3" t="s">
        <v>260</v>
      </c>
      <c r="Z58" s="3" t="s">
        <v>261</v>
      </c>
      <c r="AA58" s="3" t="s">
        <v>256</v>
      </c>
      <c r="AB58" s="3" t="s">
        <v>667</v>
      </c>
      <c r="AC58" s="3" t="s">
        <v>276</v>
      </c>
    </row>
    <row r="59" customFormat="false" ht="46.25" hidden="false" customHeight="false" outlineLevel="0" collapsed="false">
      <c r="A59" s="23" t="s">
        <v>668</v>
      </c>
      <c r="B59" s="3" t="s">
        <v>669</v>
      </c>
      <c r="C59" s="3" t="s">
        <v>670</v>
      </c>
      <c r="D59" s="3" t="s">
        <v>671</v>
      </c>
      <c r="E59" s="3" t="s">
        <v>105</v>
      </c>
      <c r="F59" s="3" t="s">
        <v>106</v>
      </c>
      <c r="G59" s="3" t="s">
        <v>198</v>
      </c>
      <c r="H59" s="3" t="s">
        <v>199</v>
      </c>
      <c r="I59" s="3" t="n">
        <v>7</v>
      </c>
      <c r="J59" s="3" t="n">
        <v>56</v>
      </c>
      <c r="K59" s="3" t="s">
        <v>66</v>
      </c>
      <c r="L59" s="3" t="s">
        <v>672</v>
      </c>
      <c r="M59" s="3" t="s">
        <v>348</v>
      </c>
      <c r="N59" s="3" t="s">
        <v>673</v>
      </c>
      <c r="O59" s="3" t="s">
        <v>674</v>
      </c>
      <c r="P59" s="3" t="s">
        <v>289</v>
      </c>
      <c r="Q59" s="3" t="s">
        <v>255</v>
      </c>
      <c r="R59" s="3" t="s">
        <v>675</v>
      </c>
      <c r="S59" s="3" t="s">
        <v>323</v>
      </c>
      <c r="T59" s="3" t="s">
        <v>273</v>
      </c>
      <c r="U59" s="3" t="s">
        <v>273</v>
      </c>
      <c r="V59" s="3" t="s">
        <v>273</v>
      </c>
      <c r="W59" s="3" t="s">
        <v>273</v>
      </c>
      <c r="X59" s="3" t="s">
        <v>676</v>
      </c>
      <c r="Y59" s="3" t="s">
        <v>677</v>
      </c>
      <c r="Z59" s="3" t="s">
        <v>261</v>
      </c>
      <c r="AA59" s="3" t="s">
        <v>678</v>
      </c>
      <c r="AB59" s="3" t="s">
        <v>679</v>
      </c>
      <c r="AC59" s="3" t="s">
        <v>264</v>
      </c>
    </row>
    <row r="60" customFormat="false" ht="46.25" hidden="false" customHeight="false" outlineLevel="0" collapsed="false">
      <c r="A60" s="23" t="s">
        <v>680</v>
      </c>
      <c r="B60" s="3" t="s">
        <v>681</v>
      </c>
      <c r="C60" s="3" t="s">
        <v>682</v>
      </c>
      <c r="D60" s="3" t="s">
        <v>683</v>
      </c>
      <c r="E60" s="3" t="s">
        <v>105</v>
      </c>
      <c r="F60" s="3" t="s">
        <v>106</v>
      </c>
      <c r="G60" s="3" t="s">
        <v>201</v>
      </c>
      <c r="H60" s="3" t="s">
        <v>202</v>
      </c>
      <c r="I60" s="3" t="n">
        <v>7</v>
      </c>
      <c r="J60" s="3" t="n">
        <v>57</v>
      </c>
      <c r="K60" s="3" t="s">
        <v>66</v>
      </c>
      <c r="L60" s="3" t="s">
        <v>672</v>
      </c>
      <c r="M60" s="3" t="s">
        <v>348</v>
      </c>
      <c r="N60" s="3" t="s">
        <v>684</v>
      </c>
      <c r="O60" s="3" t="s">
        <v>330</v>
      </c>
      <c r="P60" s="3" t="s">
        <v>289</v>
      </c>
      <c r="Q60" s="3" t="s">
        <v>255</v>
      </c>
      <c r="R60" s="3" t="s">
        <v>256</v>
      </c>
      <c r="S60" s="3" t="s">
        <v>323</v>
      </c>
      <c r="T60" s="3" t="s">
        <v>273</v>
      </c>
      <c r="U60" s="3" t="s">
        <v>273</v>
      </c>
      <c r="V60" s="3" t="s">
        <v>273</v>
      </c>
      <c r="W60" s="3" t="s">
        <v>273</v>
      </c>
      <c r="X60" s="3" t="s">
        <v>685</v>
      </c>
      <c r="Y60" s="3" t="s">
        <v>686</v>
      </c>
      <c r="Z60" s="3" t="s">
        <v>261</v>
      </c>
      <c r="AA60" s="3" t="s">
        <v>687</v>
      </c>
      <c r="AB60" s="3" t="s">
        <v>688</v>
      </c>
      <c r="AC60" s="3" t="s">
        <v>276</v>
      </c>
    </row>
    <row r="61" customFormat="false" ht="46.25" hidden="false" customHeight="false" outlineLevel="0" collapsed="false">
      <c r="A61" s="23" t="s">
        <v>689</v>
      </c>
      <c r="B61" s="3" t="s">
        <v>690</v>
      </c>
      <c r="C61" s="3" t="s">
        <v>691</v>
      </c>
      <c r="D61" s="3" t="s">
        <v>692</v>
      </c>
      <c r="E61" s="3" t="s">
        <v>105</v>
      </c>
      <c r="F61" s="3" t="s">
        <v>106</v>
      </c>
      <c r="G61" s="3" t="s">
        <v>204</v>
      </c>
      <c r="H61" s="3" t="s">
        <v>205</v>
      </c>
      <c r="I61" s="3" t="n">
        <v>7</v>
      </c>
      <c r="J61" s="3" t="n">
        <v>58</v>
      </c>
      <c r="K61" s="3" t="s">
        <v>67</v>
      </c>
      <c r="L61" s="3" t="s">
        <v>251</v>
      </c>
      <c r="M61" s="3" t="s">
        <v>252</v>
      </c>
      <c r="N61" s="3" t="s">
        <v>383</v>
      </c>
      <c r="O61" s="3" t="s">
        <v>384</v>
      </c>
      <c r="P61" s="3" t="s">
        <v>254</v>
      </c>
      <c r="Q61" s="3" t="s">
        <v>385</v>
      </c>
      <c r="R61" s="3" t="s">
        <v>256</v>
      </c>
      <c r="S61" s="3"/>
      <c r="T61" s="3" t="s">
        <v>258</v>
      </c>
      <c r="U61" s="3"/>
      <c r="V61" s="3"/>
      <c r="W61" s="3"/>
      <c r="X61" s="3"/>
      <c r="Y61" s="3" t="s">
        <v>260</v>
      </c>
      <c r="Z61" s="3" t="s">
        <v>261</v>
      </c>
      <c r="AA61" s="3" t="s">
        <v>394</v>
      </c>
      <c r="AB61" s="3" t="s">
        <v>256</v>
      </c>
      <c r="AC61" s="3" t="s">
        <v>324</v>
      </c>
    </row>
    <row r="62" customFormat="false" ht="23.85" hidden="false" customHeight="false" outlineLevel="0" collapsed="false">
      <c r="A62" s="24" t="s">
        <v>693</v>
      </c>
      <c r="B62" s="3" t="s">
        <v>694</v>
      </c>
      <c r="C62" s="3" t="s">
        <v>695</v>
      </c>
      <c r="D62" s="3" t="s">
        <v>696</v>
      </c>
      <c r="E62" s="3" t="s">
        <v>110</v>
      </c>
      <c r="F62" s="3" t="s">
        <v>111</v>
      </c>
      <c r="G62" s="3" t="s">
        <v>207</v>
      </c>
      <c r="H62" s="3" t="s">
        <v>208</v>
      </c>
      <c r="I62" s="3" t="n">
        <v>8</v>
      </c>
      <c r="J62" s="3" t="n">
        <v>59</v>
      </c>
      <c r="K62" s="3" t="s">
        <v>67</v>
      </c>
      <c r="L62" s="3" t="s">
        <v>347</v>
      </c>
      <c r="M62" s="3" t="s">
        <v>348</v>
      </c>
      <c r="N62" s="3" t="s">
        <v>697</v>
      </c>
      <c r="O62" s="3" t="s">
        <v>270</v>
      </c>
      <c r="P62" s="3" t="s">
        <v>289</v>
      </c>
      <c r="Q62" s="3" t="s">
        <v>255</v>
      </c>
      <c r="R62" s="3" t="s">
        <v>256</v>
      </c>
      <c r="S62" s="3" t="s">
        <v>323</v>
      </c>
      <c r="T62" s="3" t="s">
        <v>258</v>
      </c>
      <c r="U62" s="3"/>
      <c r="V62" s="3"/>
      <c r="W62" s="3"/>
      <c r="X62" s="3"/>
      <c r="Y62" s="3" t="s">
        <v>260</v>
      </c>
      <c r="Z62" s="3" t="s">
        <v>261</v>
      </c>
      <c r="AA62" s="3" t="s">
        <v>256</v>
      </c>
      <c r="AB62" s="3" t="s">
        <v>698</v>
      </c>
      <c r="AC62" s="3" t="s">
        <v>276</v>
      </c>
    </row>
    <row r="63" customFormat="false" ht="23.85" hidden="false" customHeight="false" outlineLevel="0" collapsed="false">
      <c r="A63" s="24" t="s">
        <v>699</v>
      </c>
      <c r="B63" s="3" t="s">
        <v>700</v>
      </c>
      <c r="C63" s="3" t="s">
        <v>701</v>
      </c>
      <c r="D63" s="3" t="s">
        <v>702</v>
      </c>
      <c r="E63" s="3" t="s">
        <v>110</v>
      </c>
      <c r="F63" s="3" t="s">
        <v>111</v>
      </c>
      <c r="G63" s="3" t="s">
        <v>210</v>
      </c>
      <c r="H63" s="3" t="s">
        <v>211</v>
      </c>
      <c r="I63" s="3" t="n">
        <v>8</v>
      </c>
      <c r="J63" s="3" t="n">
        <v>60</v>
      </c>
      <c r="K63" s="3" t="s">
        <v>68</v>
      </c>
      <c r="L63" s="3" t="s">
        <v>251</v>
      </c>
      <c r="M63" s="3" t="s">
        <v>252</v>
      </c>
      <c r="N63" s="3" t="s">
        <v>269</v>
      </c>
      <c r="O63" s="3" t="s">
        <v>270</v>
      </c>
      <c r="P63" s="3" t="s">
        <v>289</v>
      </c>
      <c r="Q63" s="3" t="s">
        <v>703</v>
      </c>
      <c r="R63" s="3" t="s">
        <v>256</v>
      </c>
      <c r="S63" s="3" t="s">
        <v>704</v>
      </c>
      <c r="T63" s="3" t="s">
        <v>258</v>
      </c>
      <c r="U63" s="3" t="s">
        <v>258</v>
      </c>
      <c r="V63" s="3" t="s">
        <v>258</v>
      </c>
      <c r="W63" s="3" t="s">
        <v>258</v>
      </c>
      <c r="X63" s="3" t="s">
        <v>705</v>
      </c>
      <c r="Y63" s="3" t="s">
        <v>260</v>
      </c>
      <c r="Z63" s="3" t="s">
        <v>261</v>
      </c>
      <c r="AA63" s="3" t="s">
        <v>256</v>
      </c>
      <c r="AB63" s="3" t="s">
        <v>706</v>
      </c>
      <c r="AC63" s="3" t="s">
        <v>276</v>
      </c>
    </row>
    <row r="64" customFormat="false" ht="23.85" hidden="false" customHeight="false" outlineLevel="0" collapsed="false">
      <c r="A64" s="24" t="s">
        <v>707</v>
      </c>
      <c r="B64" s="3" t="s">
        <v>708</v>
      </c>
      <c r="C64" s="3" t="s">
        <v>709</v>
      </c>
      <c r="D64" s="3" t="s">
        <v>710</v>
      </c>
      <c r="E64" s="3" t="s">
        <v>110</v>
      </c>
      <c r="F64" s="3" t="s">
        <v>111</v>
      </c>
      <c r="G64" s="3" t="s">
        <v>207</v>
      </c>
      <c r="H64" s="3" t="s">
        <v>208</v>
      </c>
      <c r="I64" s="3" t="n">
        <v>8</v>
      </c>
      <c r="J64" s="3" t="n">
        <v>61</v>
      </c>
      <c r="K64" s="3" t="s">
        <v>68</v>
      </c>
      <c r="L64" s="3" t="s">
        <v>347</v>
      </c>
      <c r="M64" s="3" t="s">
        <v>348</v>
      </c>
      <c r="N64" s="3" t="s">
        <v>253</v>
      </c>
      <c r="O64" s="3" t="s">
        <v>253</v>
      </c>
      <c r="P64" s="3" t="s">
        <v>289</v>
      </c>
      <c r="Q64" s="3" t="s">
        <v>255</v>
      </c>
      <c r="R64" s="3" t="s">
        <v>256</v>
      </c>
      <c r="S64" s="3" t="s">
        <v>323</v>
      </c>
      <c r="T64" s="3" t="s">
        <v>258</v>
      </c>
      <c r="U64" s="3"/>
      <c r="V64" s="3"/>
      <c r="W64" s="3"/>
      <c r="X64" s="3" t="s">
        <v>507</v>
      </c>
      <c r="Y64" s="3" t="s">
        <v>260</v>
      </c>
      <c r="Z64" s="3" t="s">
        <v>261</v>
      </c>
      <c r="AA64" s="3" t="s">
        <v>256</v>
      </c>
      <c r="AB64" s="3" t="s">
        <v>256</v>
      </c>
      <c r="AC64" s="3" t="s">
        <v>324</v>
      </c>
    </row>
    <row r="65" customFormat="false" ht="46.25" hidden="false" customHeight="false" outlineLevel="0" collapsed="false">
      <c r="A65" s="25" t="s">
        <v>711</v>
      </c>
      <c r="B65" s="3" t="s">
        <v>712</v>
      </c>
      <c r="C65" s="3" t="s">
        <v>713</v>
      </c>
      <c r="D65" s="3" t="s">
        <v>714</v>
      </c>
      <c r="E65" s="3" t="s">
        <v>116</v>
      </c>
      <c r="F65" s="3" t="s">
        <v>117</v>
      </c>
      <c r="G65" s="3" t="s">
        <v>213</v>
      </c>
      <c r="H65" s="3" t="s">
        <v>214</v>
      </c>
      <c r="I65" s="3" t="n">
        <v>9</v>
      </c>
      <c r="J65" s="3" t="n">
        <v>62</v>
      </c>
      <c r="K65" s="3" t="s">
        <v>66</v>
      </c>
      <c r="L65" s="3" t="s">
        <v>251</v>
      </c>
      <c r="M65" s="3" t="s">
        <v>252</v>
      </c>
      <c r="N65" s="3" t="s">
        <v>253</v>
      </c>
      <c r="O65" s="3" t="s">
        <v>253</v>
      </c>
      <c r="P65" s="3" t="s">
        <v>254</v>
      </c>
      <c r="Q65" s="3" t="s">
        <v>715</v>
      </c>
      <c r="R65" s="3" t="s">
        <v>256</v>
      </c>
      <c r="S65" s="3" t="s">
        <v>716</v>
      </c>
      <c r="T65" s="3" t="s">
        <v>273</v>
      </c>
      <c r="U65" s="3" t="s">
        <v>273</v>
      </c>
      <c r="V65" s="3" t="s">
        <v>273</v>
      </c>
      <c r="W65" s="3" t="s">
        <v>273</v>
      </c>
      <c r="X65" s="3" t="s">
        <v>717</v>
      </c>
      <c r="Y65" s="3" t="s">
        <v>333</v>
      </c>
      <c r="Z65" s="3" t="s">
        <v>261</v>
      </c>
      <c r="AA65" s="3" t="s">
        <v>718</v>
      </c>
      <c r="AB65" s="3" t="s">
        <v>719</v>
      </c>
      <c r="AC65" s="3" t="s">
        <v>720</v>
      </c>
    </row>
    <row r="66" customFormat="false" ht="35.05" hidden="false" customHeight="false" outlineLevel="0" collapsed="false">
      <c r="A66" s="25" t="s">
        <v>721</v>
      </c>
      <c r="B66" s="3" t="s">
        <v>722</v>
      </c>
      <c r="C66" s="3" t="s">
        <v>723</v>
      </c>
      <c r="D66" s="3" t="s">
        <v>724</v>
      </c>
      <c r="E66" s="3" t="s">
        <v>116</v>
      </c>
      <c r="F66" s="3" t="s">
        <v>117</v>
      </c>
      <c r="G66" s="3" t="s">
        <v>216</v>
      </c>
      <c r="H66" s="3" t="s">
        <v>217</v>
      </c>
      <c r="I66" s="3" t="n">
        <v>9</v>
      </c>
      <c r="J66" s="3" t="n">
        <v>63</v>
      </c>
      <c r="K66" s="3" t="s">
        <v>66</v>
      </c>
      <c r="L66" s="3" t="s">
        <v>347</v>
      </c>
      <c r="M66" s="3" t="s">
        <v>348</v>
      </c>
      <c r="N66" s="3" t="s">
        <v>725</v>
      </c>
      <c r="O66" s="3" t="s">
        <v>253</v>
      </c>
      <c r="P66" s="3" t="s">
        <v>254</v>
      </c>
      <c r="Q66" s="3" t="s">
        <v>255</v>
      </c>
      <c r="R66" s="3" t="s">
        <v>256</v>
      </c>
      <c r="S66" s="3" t="s">
        <v>726</v>
      </c>
      <c r="T66" s="3" t="s">
        <v>258</v>
      </c>
      <c r="U66" s="3" t="s">
        <v>273</v>
      </c>
      <c r="V66" s="3" t="s">
        <v>273</v>
      </c>
      <c r="W66" s="3" t="s">
        <v>273</v>
      </c>
      <c r="X66" s="3" t="s">
        <v>727</v>
      </c>
      <c r="Y66" s="3" t="s">
        <v>260</v>
      </c>
      <c r="Z66" s="3" t="s">
        <v>261</v>
      </c>
      <c r="AA66" s="3" t="s">
        <v>256</v>
      </c>
      <c r="AB66" s="3" t="s">
        <v>728</v>
      </c>
      <c r="AC66" s="3" t="s">
        <v>276</v>
      </c>
    </row>
    <row r="67" customFormat="false" ht="23.85" hidden="false" customHeight="false" outlineLevel="0" collapsed="false">
      <c r="A67" s="25" t="s">
        <v>729</v>
      </c>
      <c r="B67" s="3" t="s">
        <v>730</v>
      </c>
      <c r="C67" s="3" t="s">
        <v>731</v>
      </c>
      <c r="D67" s="3" t="s">
        <v>732</v>
      </c>
      <c r="E67" s="3" t="s">
        <v>116</v>
      </c>
      <c r="F67" s="3" t="s">
        <v>117</v>
      </c>
      <c r="G67" s="3" t="s">
        <v>219</v>
      </c>
      <c r="H67" s="3" t="s">
        <v>220</v>
      </c>
      <c r="I67" s="3" t="n">
        <v>9</v>
      </c>
      <c r="J67" s="3" t="n">
        <v>64</v>
      </c>
      <c r="K67" s="3" t="s">
        <v>67</v>
      </c>
      <c r="L67" s="3" t="s">
        <v>251</v>
      </c>
      <c r="M67" s="3" t="s">
        <v>252</v>
      </c>
      <c r="N67" s="3" t="s">
        <v>269</v>
      </c>
      <c r="O67" s="3" t="s">
        <v>270</v>
      </c>
      <c r="P67" s="3" t="s">
        <v>254</v>
      </c>
      <c r="Q67" s="3" t="s">
        <v>733</v>
      </c>
      <c r="R67" s="3" t="s">
        <v>256</v>
      </c>
      <c r="S67" s="3" t="s">
        <v>734</v>
      </c>
      <c r="T67" s="3"/>
      <c r="U67" s="3" t="s">
        <v>258</v>
      </c>
      <c r="V67" s="3" t="s">
        <v>258</v>
      </c>
      <c r="W67" s="3"/>
      <c r="X67" s="3"/>
      <c r="Y67" s="3" t="s">
        <v>260</v>
      </c>
      <c r="Z67" s="3" t="s">
        <v>261</v>
      </c>
      <c r="AA67" s="3" t="s">
        <v>735</v>
      </c>
      <c r="AB67" s="3" t="s">
        <v>736</v>
      </c>
      <c r="AC67" s="3" t="s">
        <v>284</v>
      </c>
    </row>
    <row r="68" customFormat="false" ht="23.85" hidden="false" customHeight="false" outlineLevel="0" collapsed="false">
      <c r="A68" s="25" t="s">
        <v>737</v>
      </c>
      <c r="B68" s="3" t="s">
        <v>738</v>
      </c>
      <c r="C68" s="3" t="s">
        <v>739</v>
      </c>
      <c r="D68" s="3" t="s">
        <v>740</v>
      </c>
      <c r="E68" s="3" t="s">
        <v>116</v>
      </c>
      <c r="F68" s="3" t="s">
        <v>117</v>
      </c>
      <c r="G68" s="3" t="s">
        <v>219</v>
      </c>
      <c r="H68" s="3" t="s">
        <v>220</v>
      </c>
      <c r="I68" s="3" t="n">
        <v>9</v>
      </c>
      <c r="J68" s="3" t="n">
        <v>65</v>
      </c>
      <c r="K68" s="3" t="s">
        <v>67</v>
      </c>
      <c r="L68" s="3" t="s">
        <v>251</v>
      </c>
      <c r="M68" s="3" t="s">
        <v>252</v>
      </c>
      <c r="N68" s="3" t="s">
        <v>741</v>
      </c>
      <c r="O68" s="3" t="s">
        <v>742</v>
      </c>
      <c r="P68" s="3" t="s">
        <v>254</v>
      </c>
      <c r="Q68" s="3" t="s">
        <v>255</v>
      </c>
      <c r="R68" s="3" t="s">
        <v>256</v>
      </c>
      <c r="S68" s="3" t="s">
        <v>323</v>
      </c>
      <c r="T68" s="3"/>
      <c r="U68" s="3" t="s">
        <v>258</v>
      </c>
      <c r="V68" s="3" t="s">
        <v>258</v>
      </c>
      <c r="W68" s="3"/>
      <c r="X68" s="3"/>
      <c r="Y68" s="3" t="s">
        <v>260</v>
      </c>
      <c r="Z68" s="3" t="s">
        <v>261</v>
      </c>
      <c r="AA68" s="3" t="s">
        <v>743</v>
      </c>
      <c r="AB68" s="3" t="s">
        <v>744</v>
      </c>
      <c r="AC68" s="3" t="s">
        <v>284</v>
      </c>
    </row>
    <row r="69" customFormat="false" ht="35.05" hidden="false" customHeight="false" outlineLevel="0" collapsed="false">
      <c r="A69" s="25" t="s">
        <v>745</v>
      </c>
      <c r="B69" s="3" t="s">
        <v>746</v>
      </c>
      <c r="C69" s="3" t="s">
        <v>747</v>
      </c>
      <c r="D69" s="3" t="s">
        <v>748</v>
      </c>
      <c r="E69" s="3" t="s">
        <v>116</v>
      </c>
      <c r="F69" s="3" t="s">
        <v>117</v>
      </c>
      <c r="G69" s="3" t="s">
        <v>216</v>
      </c>
      <c r="H69" s="3" t="s">
        <v>217</v>
      </c>
      <c r="I69" s="3" t="n">
        <v>9</v>
      </c>
      <c r="J69" s="3" t="n">
        <v>66</v>
      </c>
      <c r="K69" s="3" t="s">
        <v>67</v>
      </c>
      <c r="L69" s="3" t="s">
        <v>347</v>
      </c>
      <c r="M69" s="3" t="s">
        <v>348</v>
      </c>
      <c r="N69" s="3" t="s">
        <v>631</v>
      </c>
      <c r="O69" s="3" t="s">
        <v>577</v>
      </c>
      <c r="P69" s="3" t="s">
        <v>254</v>
      </c>
      <c r="Q69" s="3" t="s">
        <v>749</v>
      </c>
      <c r="R69" s="3" t="s">
        <v>256</v>
      </c>
      <c r="S69" s="3" t="s">
        <v>547</v>
      </c>
      <c r="T69" s="3"/>
      <c r="U69" s="3" t="s">
        <v>258</v>
      </c>
      <c r="V69" s="3" t="s">
        <v>258</v>
      </c>
      <c r="W69" s="3" t="s">
        <v>258</v>
      </c>
      <c r="X69" s="3" t="s">
        <v>750</v>
      </c>
      <c r="Y69" s="3" t="s">
        <v>632</v>
      </c>
      <c r="Z69" s="3" t="s">
        <v>633</v>
      </c>
      <c r="AA69" s="3" t="s">
        <v>751</v>
      </c>
      <c r="AB69" s="3" t="s">
        <v>752</v>
      </c>
      <c r="AC69" s="3" t="s">
        <v>276</v>
      </c>
    </row>
    <row r="70" customFormat="false" ht="35.05" hidden="false" customHeight="false" outlineLevel="0" collapsed="false">
      <c r="A70" s="25" t="s">
        <v>753</v>
      </c>
      <c r="B70" s="3" t="s">
        <v>754</v>
      </c>
      <c r="C70" s="3" t="s">
        <v>755</v>
      </c>
      <c r="D70" s="3" t="s">
        <v>756</v>
      </c>
      <c r="E70" s="3" t="s">
        <v>116</v>
      </c>
      <c r="F70" s="3" t="s">
        <v>117</v>
      </c>
      <c r="G70" s="3" t="s">
        <v>213</v>
      </c>
      <c r="H70" s="3" t="s">
        <v>214</v>
      </c>
      <c r="I70" s="3" t="n">
        <v>9</v>
      </c>
      <c r="J70" s="3" t="n">
        <v>67</v>
      </c>
      <c r="K70" s="3" t="s">
        <v>68</v>
      </c>
      <c r="L70" s="3" t="s">
        <v>251</v>
      </c>
      <c r="M70" s="3" t="s">
        <v>252</v>
      </c>
      <c r="N70" s="3" t="s">
        <v>253</v>
      </c>
      <c r="O70" s="3" t="s">
        <v>253</v>
      </c>
      <c r="P70" s="3" t="s">
        <v>254</v>
      </c>
      <c r="Q70" s="3" t="s">
        <v>757</v>
      </c>
      <c r="R70" s="3" t="s">
        <v>256</v>
      </c>
      <c r="S70" s="3" t="s">
        <v>758</v>
      </c>
      <c r="T70" s="3" t="s">
        <v>258</v>
      </c>
      <c r="U70" s="3" t="s">
        <v>258</v>
      </c>
      <c r="V70" s="3" t="s">
        <v>258</v>
      </c>
      <c r="W70" s="3" t="s">
        <v>258</v>
      </c>
      <c r="X70" s="3"/>
      <c r="Y70" s="3" t="s">
        <v>260</v>
      </c>
      <c r="Z70" s="3" t="s">
        <v>261</v>
      </c>
      <c r="AA70" s="3" t="s">
        <v>759</v>
      </c>
      <c r="AB70" s="3" t="s">
        <v>760</v>
      </c>
      <c r="AC70" s="3" t="s">
        <v>264</v>
      </c>
    </row>
  </sheetData>
  <dataValidations count="2">
    <dataValidation allowBlank="true" errorStyle="stop" operator="between" showDropDown="false" showErrorMessage="false" showInputMessage="false" sqref="T4:W70" type="list">
      <formula1>"M,C"</formula1>
      <formula2>0</formula2>
    </dataValidation>
    <dataValidation allowBlank="false" errorStyle="stop" operator="between" showDropDown="false" showErrorMessage="false" showInputMessage="false" sqref="K4:K70" type="list">
      <formula1>"T1,T2,T3"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6"/>
    <col collapsed="false" customWidth="true" hidden="false" outlineLevel="0" max="4" min="4" style="0" width="8"/>
  </cols>
  <sheetData>
    <row r="1" customFormat="false" ht="15" hidden="false" customHeight="false" outlineLevel="0" collapsed="false">
      <c r="A1" s="5" t="s">
        <v>761</v>
      </c>
    </row>
    <row r="3" customFormat="false" ht="30" hidden="false" customHeight="true" outlineLevel="0" collapsed="false">
      <c r="A3" s="6" t="s">
        <v>224</v>
      </c>
      <c r="B3" s="6" t="s">
        <v>762</v>
      </c>
      <c r="C3" s="6" t="s">
        <v>763</v>
      </c>
      <c r="D3" s="6" t="s">
        <v>764</v>
      </c>
    </row>
    <row r="4" customFormat="false" ht="15" hidden="false" customHeight="false" outlineLevel="0" collapsed="false">
      <c r="A4" s="3" t="s">
        <v>247</v>
      </c>
      <c r="B4" s="3" t="s">
        <v>765</v>
      </c>
      <c r="C4" s="3" t="s">
        <v>766</v>
      </c>
      <c r="D4" s="3" t="n">
        <v>1</v>
      </c>
    </row>
    <row r="5" customFormat="false" ht="15" hidden="false" customHeight="false" outlineLevel="0" collapsed="false">
      <c r="A5" s="3" t="s">
        <v>247</v>
      </c>
      <c r="B5" s="3" t="s">
        <v>767</v>
      </c>
      <c r="C5" s="3" t="s">
        <v>704</v>
      </c>
      <c r="D5" s="3" t="n">
        <v>2</v>
      </c>
    </row>
    <row r="6" customFormat="false" ht="15" hidden="false" customHeight="false" outlineLevel="0" collapsed="false">
      <c r="A6" s="3" t="s">
        <v>247</v>
      </c>
      <c r="B6" s="3" t="s">
        <v>768</v>
      </c>
      <c r="C6" s="3" t="s">
        <v>769</v>
      </c>
      <c r="D6" s="3" t="n">
        <v>3</v>
      </c>
    </row>
    <row r="7" customFormat="false" ht="15" hidden="false" customHeight="false" outlineLevel="0" collapsed="false">
      <c r="A7" s="3" t="s">
        <v>247</v>
      </c>
      <c r="B7" s="3" t="s">
        <v>770</v>
      </c>
      <c r="C7" s="3" t="s">
        <v>295</v>
      </c>
      <c r="D7" s="3" t="n">
        <v>4</v>
      </c>
    </row>
    <row r="8" customFormat="false" ht="15" hidden="false" customHeight="false" outlineLevel="0" collapsed="false">
      <c r="A8" s="3" t="s">
        <v>265</v>
      </c>
      <c r="B8" s="3" t="s">
        <v>771</v>
      </c>
      <c r="C8" s="3" t="s">
        <v>772</v>
      </c>
      <c r="D8" s="3" t="n">
        <v>1</v>
      </c>
    </row>
    <row r="9" customFormat="false" ht="15" hidden="false" customHeight="false" outlineLevel="0" collapsed="false">
      <c r="A9" s="3" t="s">
        <v>265</v>
      </c>
      <c r="B9" s="3" t="s">
        <v>773</v>
      </c>
      <c r="C9" s="3" t="s">
        <v>774</v>
      </c>
      <c r="D9" s="3" t="n">
        <v>2</v>
      </c>
    </row>
    <row r="10" customFormat="false" ht="15" hidden="false" customHeight="false" outlineLevel="0" collapsed="false">
      <c r="A10" s="3" t="s">
        <v>277</v>
      </c>
      <c r="B10" s="3" t="s">
        <v>775</v>
      </c>
      <c r="C10" s="3" t="s">
        <v>776</v>
      </c>
      <c r="D10" s="3" t="n">
        <v>1</v>
      </c>
    </row>
    <row r="11" customFormat="false" ht="15" hidden="false" customHeight="false" outlineLevel="0" collapsed="false">
      <c r="A11" s="3" t="s">
        <v>277</v>
      </c>
      <c r="B11" s="3" t="s">
        <v>777</v>
      </c>
      <c r="C11" s="3" t="s">
        <v>323</v>
      </c>
      <c r="D11" s="3" t="n">
        <v>2</v>
      </c>
    </row>
    <row r="12" customFormat="false" ht="15" hidden="false" customHeight="false" outlineLevel="0" collapsed="false">
      <c r="A12" s="3" t="s">
        <v>291</v>
      </c>
      <c r="B12" s="3" t="s">
        <v>770</v>
      </c>
      <c r="C12" s="3" t="s">
        <v>295</v>
      </c>
      <c r="D12" s="3" t="n">
        <v>1</v>
      </c>
    </row>
    <row r="13" customFormat="false" ht="15" hidden="false" customHeight="false" outlineLevel="0" collapsed="false">
      <c r="A13" s="3" t="s">
        <v>297</v>
      </c>
      <c r="B13" s="3" t="s">
        <v>778</v>
      </c>
      <c r="C13" s="3" t="s">
        <v>301</v>
      </c>
      <c r="D13" s="3" t="n">
        <v>1</v>
      </c>
    </row>
    <row r="14" customFormat="false" ht="15" hidden="false" customHeight="false" outlineLevel="0" collapsed="false">
      <c r="A14" s="3" t="s">
        <v>304</v>
      </c>
      <c r="B14" s="3" t="s">
        <v>765</v>
      </c>
      <c r="C14" s="3" t="s">
        <v>766</v>
      </c>
      <c r="D14" s="3" t="n">
        <v>1</v>
      </c>
    </row>
    <row r="15" customFormat="false" ht="15" hidden="false" customHeight="false" outlineLevel="0" collapsed="false">
      <c r="A15" s="3" t="s">
        <v>304</v>
      </c>
      <c r="B15" s="3" t="s">
        <v>767</v>
      </c>
      <c r="C15" s="3" t="s">
        <v>704</v>
      </c>
      <c r="D15" s="3" t="n">
        <v>2</v>
      </c>
    </row>
    <row r="16" customFormat="false" ht="15" hidden="false" customHeight="false" outlineLevel="0" collapsed="false">
      <c r="A16" s="3" t="s">
        <v>304</v>
      </c>
      <c r="B16" s="3" t="s">
        <v>779</v>
      </c>
      <c r="C16" s="3" t="s">
        <v>780</v>
      </c>
      <c r="D16" s="3" t="n">
        <v>3</v>
      </c>
    </row>
    <row r="17" customFormat="false" ht="15" hidden="false" customHeight="false" outlineLevel="0" collapsed="false">
      <c r="A17" s="3" t="s">
        <v>311</v>
      </c>
      <c r="B17" s="3" t="s">
        <v>765</v>
      </c>
      <c r="C17" s="3" t="s">
        <v>766</v>
      </c>
      <c r="D17" s="3" t="n">
        <v>1</v>
      </c>
    </row>
    <row r="18" customFormat="false" ht="15" hidden="false" customHeight="false" outlineLevel="0" collapsed="false">
      <c r="A18" s="3" t="s">
        <v>311</v>
      </c>
      <c r="B18" s="3" t="s">
        <v>767</v>
      </c>
      <c r="C18" s="3" t="s">
        <v>704</v>
      </c>
      <c r="D18" s="3" t="n">
        <v>2</v>
      </c>
    </row>
    <row r="19" customFormat="false" ht="15" hidden="false" customHeight="false" outlineLevel="0" collapsed="false">
      <c r="A19" s="3" t="s">
        <v>311</v>
      </c>
      <c r="B19" s="3" t="s">
        <v>781</v>
      </c>
      <c r="C19" s="3" t="s">
        <v>782</v>
      </c>
      <c r="D19" s="3" t="n">
        <v>3</v>
      </c>
    </row>
    <row r="20" customFormat="false" ht="15" hidden="false" customHeight="false" outlineLevel="0" collapsed="false">
      <c r="A20" s="3" t="s">
        <v>311</v>
      </c>
      <c r="B20" s="3" t="s">
        <v>775</v>
      </c>
      <c r="C20" s="3" t="s">
        <v>776</v>
      </c>
      <c r="D20" s="3" t="n">
        <v>4</v>
      </c>
    </row>
    <row r="21" customFormat="false" ht="15" hidden="false" customHeight="false" outlineLevel="0" collapsed="false">
      <c r="A21" s="3" t="s">
        <v>319</v>
      </c>
      <c r="B21" s="3" t="s">
        <v>777</v>
      </c>
      <c r="C21" s="3" t="s">
        <v>323</v>
      </c>
      <c r="D21" s="3" t="n">
        <v>1</v>
      </c>
    </row>
    <row r="22" customFormat="false" ht="15" hidden="false" customHeight="false" outlineLevel="0" collapsed="false">
      <c r="A22" s="3" t="s">
        <v>325</v>
      </c>
      <c r="B22" s="3" t="s">
        <v>783</v>
      </c>
      <c r="C22" s="3" t="s">
        <v>784</v>
      </c>
      <c r="D22" s="3" t="n">
        <v>1</v>
      </c>
    </row>
    <row r="23" customFormat="false" ht="15" hidden="false" customHeight="false" outlineLevel="0" collapsed="false">
      <c r="A23" s="3" t="s">
        <v>325</v>
      </c>
      <c r="B23" s="3" t="s">
        <v>785</v>
      </c>
      <c r="C23" s="3" t="s">
        <v>407</v>
      </c>
      <c r="D23" s="3" t="n">
        <v>2</v>
      </c>
    </row>
    <row r="24" customFormat="false" ht="15" hidden="false" customHeight="false" outlineLevel="0" collapsed="false">
      <c r="A24" s="3" t="s">
        <v>325</v>
      </c>
      <c r="B24" s="3" t="s">
        <v>786</v>
      </c>
      <c r="C24" s="3" t="s">
        <v>471</v>
      </c>
      <c r="D24" s="3" t="n">
        <v>3</v>
      </c>
    </row>
    <row r="25" customFormat="false" ht="15" hidden="false" customHeight="false" outlineLevel="0" collapsed="false">
      <c r="A25" s="3" t="s">
        <v>336</v>
      </c>
      <c r="B25" s="3" t="s">
        <v>787</v>
      </c>
      <c r="C25" s="3" t="s">
        <v>788</v>
      </c>
      <c r="D25" s="3" t="n">
        <v>1</v>
      </c>
    </row>
    <row r="26" customFormat="false" ht="15" hidden="false" customHeight="false" outlineLevel="0" collapsed="false">
      <c r="A26" s="3" t="s">
        <v>336</v>
      </c>
      <c r="B26" s="3" t="s">
        <v>785</v>
      </c>
      <c r="C26" s="3" t="s">
        <v>407</v>
      </c>
      <c r="D26" s="3" t="n">
        <v>2</v>
      </c>
    </row>
    <row r="27" customFormat="false" ht="15" hidden="false" customHeight="false" outlineLevel="0" collapsed="false">
      <c r="A27" s="3" t="s">
        <v>336</v>
      </c>
      <c r="B27" s="3" t="s">
        <v>786</v>
      </c>
      <c r="C27" s="3" t="s">
        <v>471</v>
      </c>
      <c r="D27" s="3" t="n">
        <v>3</v>
      </c>
    </row>
    <row r="28" customFormat="false" ht="15" hidden="false" customHeight="false" outlineLevel="0" collapsed="false">
      <c r="A28" s="3" t="s">
        <v>343</v>
      </c>
      <c r="B28" s="3" t="s">
        <v>789</v>
      </c>
      <c r="C28" s="3" t="s">
        <v>375</v>
      </c>
      <c r="D28" s="3" t="n">
        <v>1</v>
      </c>
    </row>
    <row r="29" customFormat="false" ht="15" hidden="false" customHeight="false" outlineLevel="0" collapsed="false">
      <c r="A29" s="3" t="s">
        <v>343</v>
      </c>
      <c r="B29" s="3" t="s">
        <v>785</v>
      </c>
      <c r="C29" s="3" t="s">
        <v>407</v>
      </c>
      <c r="D29" s="3" t="n">
        <v>2</v>
      </c>
    </row>
    <row r="30" customFormat="false" ht="15" hidden="false" customHeight="false" outlineLevel="0" collapsed="false">
      <c r="A30" s="3" t="s">
        <v>343</v>
      </c>
      <c r="B30" s="3" t="s">
        <v>786</v>
      </c>
      <c r="C30" s="3" t="s">
        <v>471</v>
      </c>
      <c r="D30" s="3" t="n">
        <v>3</v>
      </c>
    </row>
    <row r="31" customFormat="false" ht="15" hidden="false" customHeight="false" outlineLevel="0" collapsed="false">
      <c r="A31" s="3" t="s">
        <v>353</v>
      </c>
      <c r="B31" s="3" t="s">
        <v>790</v>
      </c>
      <c r="C31" s="3" t="s">
        <v>791</v>
      </c>
      <c r="D31" s="3" t="n">
        <v>1</v>
      </c>
    </row>
    <row r="32" customFormat="false" ht="15" hidden="false" customHeight="false" outlineLevel="0" collapsed="false">
      <c r="A32" s="3" t="s">
        <v>353</v>
      </c>
      <c r="B32" s="3" t="s">
        <v>785</v>
      </c>
      <c r="C32" s="3" t="s">
        <v>407</v>
      </c>
      <c r="D32" s="3" t="n">
        <v>2</v>
      </c>
    </row>
    <row r="33" customFormat="false" ht="15" hidden="false" customHeight="false" outlineLevel="0" collapsed="false">
      <c r="A33" s="3" t="s">
        <v>353</v>
      </c>
      <c r="B33" s="3" t="s">
        <v>786</v>
      </c>
      <c r="C33" s="3" t="s">
        <v>471</v>
      </c>
      <c r="D33" s="3" t="n">
        <v>3</v>
      </c>
    </row>
    <row r="34" customFormat="false" ht="15" hidden="false" customHeight="false" outlineLevel="0" collapsed="false">
      <c r="A34" s="3" t="s">
        <v>360</v>
      </c>
      <c r="B34" s="3" t="s">
        <v>792</v>
      </c>
      <c r="C34" s="3" t="s">
        <v>793</v>
      </c>
      <c r="D34" s="3" t="n">
        <v>1</v>
      </c>
    </row>
    <row r="35" customFormat="false" ht="15" hidden="false" customHeight="false" outlineLevel="0" collapsed="false">
      <c r="A35" s="3" t="s">
        <v>360</v>
      </c>
      <c r="B35" s="3" t="s">
        <v>785</v>
      </c>
      <c r="C35" s="3" t="s">
        <v>407</v>
      </c>
      <c r="D35" s="3" t="n">
        <v>2</v>
      </c>
    </row>
    <row r="36" customFormat="false" ht="15" hidden="false" customHeight="false" outlineLevel="0" collapsed="false">
      <c r="A36" s="3" t="s">
        <v>371</v>
      </c>
      <c r="B36" s="3" t="s">
        <v>789</v>
      </c>
      <c r="C36" s="3" t="s">
        <v>375</v>
      </c>
      <c r="D36" s="3" t="n">
        <v>1</v>
      </c>
    </row>
    <row r="37" customFormat="false" ht="15" hidden="false" customHeight="false" outlineLevel="0" collapsed="false">
      <c r="A37" s="3" t="s">
        <v>387</v>
      </c>
      <c r="B37" s="3" t="s">
        <v>794</v>
      </c>
      <c r="C37" s="3" t="s">
        <v>795</v>
      </c>
      <c r="D37" s="3" t="n">
        <v>1</v>
      </c>
    </row>
    <row r="38" customFormat="false" ht="15" hidden="false" customHeight="false" outlineLevel="0" collapsed="false">
      <c r="A38" s="3" t="s">
        <v>387</v>
      </c>
      <c r="B38" s="3" t="s">
        <v>796</v>
      </c>
      <c r="C38" s="3" t="s">
        <v>401</v>
      </c>
      <c r="D38" s="3" t="n">
        <v>2</v>
      </c>
    </row>
    <row r="39" customFormat="false" ht="15" hidden="false" customHeight="false" outlineLevel="0" collapsed="false">
      <c r="A39" s="3" t="s">
        <v>396</v>
      </c>
      <c r="B39" s="3" t="s">
        <v>796</v>
      </c>
      <c r="C39" s="3" t="s">
        <v>401</v>
      </c>
      <c r="D39" s="3" t="n">
        <v>1</v>
      </c>
    </row>
    <row r="40" customFormat="false" ht="15" hidden="false" customHeight="false" outlineLevel="0" collapsed="false">
      <c r="A40" s="3" t="s">
        <v>403</v>
      </c>
      <c r="B40" s="3" t="s">
        <v>785</v>
      </c>
      <c r="C40" s="3" t="s">
        <v>407</v>
      </c>
      <c r="D40" s="3" t="n">
        <v>1</v>
      </c>
    </row>
    <row r="41" customFormat="false" ht="15" hidden="false" customHeight="false" outlineLevel="0" collapsed="false">
      <c r="A41" s="3" t="s">
        <v>411</v>
      </c>
      <c r="B41" s="3" t="s">
        <v>777</v>
      </c>
      <c r="C41" s="3" t="s">
        <v>323</v>
      </c>
      <c r="D41" s="3" t="n">
        <v>1</v>
      </c>
    </row>
    <row r="42" customFormat="false" ht="15" hidden="false" customHeight="false" outlineLevel="0" collapsed="false">
      <c r="A42" s="3" t="s">
        <v>417</v>
      </c>
      <c r="B42" s="3" t="s">
        <v>777</v>
      </c>
      <c r="C42" s="3" t="s">
        <v>323</v>
      </c>
      <c r="D42" s="3" t="n">
        <v>1</v>
      </c>
    </row>
    <row r="43" customFormat="false" ht="15" hidden="false" customHeight="false" outlineLevel="0" collapsed="false">
      <c r="A43" s="3" t="s">
        <v>422</v>
      </c>
      <c r="B43" s="3" t="s">
        <v>777</v>
      </c>
      <c r="C43" s="3" t="s">
        <v>323</v>
      </c>
      <c r="D43" s="3" t="n">
        <v>1</v>
      </c>
    </row>
    <row r="44" customFormat="false" ht="15" hidden="false" customHeight="false" outlineLevel="0" collapsed="false">
      <c r="A44" s="3" t="s">
        <v>428</v>
      </c>
      <c r="B44" s="3" t="s">
        <v>777</v>
      </c>
      <c r="C44" s="3" t="s">
        <v>323</v>
      </c>
      <c r="D44" s="3" t="n">
        <v>1</v>
      </c>
    </row>
    <row r="45" customFormat="false" ht="15" hidden="false" customHeight="false" outlineLevel="0" collapsed="false">
      <c r="A45" s="3" t="s">
        <v>433</v>
      </c>
      <c r="B45" s="3" t="s">
        <v>797</v>
      </c>
      <c r="C45" s="3" t="s">
        <v>498</v>
      </c>
      <c r="D45" s="3" t="n">
        <v>1</v>
      </c>
    </row>
    <row r="46" customFormat="false" ht="15" hidden="false" customHeight="false" outlineLevel="0" collapsed="false">
      <c r="A46" s="3" t="s">
        <v>433</v>
      </c>
      <c r="B46" s="3" t="s">
        <v>798</v>
      </c>
      <c r="C46" s="3" t="s">
        <v>799</v>
      </c>
      <c r="D46" s="3" t="n">
        <v>2</v>
      </c>
    </row>
    <row r="47" customFormat="false" ht="15" hidden="false" customHeight="false" outlineLevel="0" collapsed="false">
      <c r="A47" s="3" t="s">
        <v>443</v>
      </c>
      <c r="B47" s="3" t="s">
        <v>800</v>
      </c>
      <c r="C47" s="3" t="s">
        <v>801</v>
      </c>
      <c r="D47" s="3" t="n">
        <v>1</v>
      </c>
    </row>
    <row r="48" customFormat="false" ht="15" hidden="false" customHeight="false" outlineLevel="0" collapsed="false">
      <c r="A48" s="3" t="s">
        <v>443</v>
      </c>
      <c r="B48" s="3" t="s">
        <v>802</v>
      </c>
      <c r="C48" s="3" t="s">
        <v>803</v>
      </c>
      <c r="D48" s="3" t="n">
        <v>2</v>
      </c>
    </row>
    <row r="49" customFormat="false" ht="15" hidden="false" customHeight="false" outlineLevel="0" collapsed="false">
      <c r="A49" s="3" t="s">
        <v>451</v>
      </c>
      <c r="B49" s="3" t="s">
        <v>804</v>
      </c>
      <c r="C49" s="3" t="s">
        <v>805</v>
      </c>
      <c r="D49" s="3" t="n">
        <v>1</v>
      </c>
    </row>
    <row r="50" customFormat="false" ht="15" hidden="false" customHeight="false" outlineLevel="0" collapsed="false">
      <c r="A50" s="3" t="s">
        <v>451</v>
      </c>
      <c r="B50" s="3" t="s">
        <v>765</v>
      </c>
      <c r="C50" s="3" t="s">
        <v>766</v>
      </c>
      <c r="D50" s="3" t="n">
        <v>2</v>
      </c>
    </row>
    <row r="51" customFormat="false" ht="15" hidden="false" customHeight="false" outlineLevel="0" collapsed="false">
      <c r="A51" s="3" t="s">
        <v>451</v>
      </c>
      <c r="B51" s="3" t="s">
        <v>767</v>
      </c>
      <c r="C51" s="3" t="s">
        <v>704</v>
      </c>
      <c r="D51" s="3" t="n">
        <v>3</v>
      </c>
    </row>
    <row r="52" customFormat="false" ht="15" hidden="false" customHeight="false" outlineLevel="0" collapsed="false">
      <c r="A52" s="3" t="s">
        <v>459</v>
      </c>
      <c r="B52" s="3" t="s">
        <v>786</v>
      </c>
      <c r="C52" s="3" t="s">
        <v>471</v>
      </c>
      <c r="D52" s="3" t="n">
        <v>1</v>
      </c>
    </row>
    <row r="53" customFormat="false" ht="15" hidden="false" customHeight="false" outlineLevel="0" collapsed="false">
      <c r="A53" s="3" t="s">
        <v>459</v>
      </c>
      <c r="B53" s="3" t="s">
        <v>804</v>
      </c>
      <c r="C53" s="3" t="s">
        <v>805</v>
      </c>
      <c r="D53" s="3" t="n">
        <v>2</v>
      </c>
    </row>
    <row r="54" customFormat="false" ht="15" hidden="false" customHeight="false" outlineLevel="0" collapsed="false">
      <c r="A54" s="3" t="s">
        <v>459</v>
      </c>
      <c r="B54" s="3" t="s">
        <v>765</v>
      </c>
      <c r="C54" s="3" t="s">
        <v>766</v>
      </c>
      <c r="D54" s="3" t="n">
        <v>3</v>
      </c>
    </row>
    <row r="55" customFormat="false" ht="15" hidden="false" customHeight="false" outlineLevel="0" collapsed="false">
      <c r="A55" s="3" t="s">
        <v>459</v>
      </c>
      <c r="B55" s="3" t="s">
        <v>767</v>
      </c>
      <c r="C55" s="3" t="s">
        <v>704</v>
      </c>
      <c r="D55" s="3" t="n">
        <v>4</v>
      </c>
    </row>
    <row r="56" customFormat="false" ht="15" hidden="false" customHeight="false" outlineLevel="0" collapsed="false">
      <c r="A56" s="3" t="s">
        <v>466</v>
      </c>
      <c r="B56" s="3" t="s">
        <v>786</v>
      </c>
      <c r="C56" s="3" t="s">
        <v>471</v>
      </c>
      <c r="D56" s="3" t="n">
        <v>1</v>
      </c>
    </row>
    <row r="57" customFormat="false" ht="15" hidden="false" customHeight="false" outlineLevel="0" collapsed="false">
      <c r="A57" s="3" t="s">
        <v>472</v>
      </c>
      <c r="B57" s="3" t="s">
        <v>806</v>
      </c>
      <c r="C57" s="3" t="s">
        <v>807</v>
      </c>
      <c r="D57" s="3" t="n">
        <v>1</v>
      </c>
    </row>
    <row r="58" customFormat="false" ht="15" hidden="false" customHeight="false" outlineLevel="0" collapsed="false">
      <c r="A58" s="3" t="s">
        <v>472</v>
      </c>
      <c r="B58" s="3" t="s">
        <v>802</v>
      </c>
      <c r="C58" s="3" t="s">
        <v>803</v>
      </c>
      <c r="D58" s="3" t="n">
        <v>2</v>
      </c>
    </row>
    <row r="59" customFormat="false" ht="15" hidden="false" customHeight="false" outlineLevel="0" collapsed="false">
      <c r="A59" s="3" t="s">
        <v>486</v>
      </c>
      <c r="B59" s="3" t="s">
        <v>808</v>
      </c>
      <c r="C59" s="3" t="s">
        <v>493</v>
      </c>
      <c r="D59" s="3" t="n">
        <v>1</v>
      </c>
    </row>
    <row r="60" customFormat="false" ht="15" hidden="false" customHeight="false" outlineLevel="0" collapsed="false">
      <c r="A60" s="3" t="s">
        <v>494</v>
      </c>
      <c r="B60" s="3" t="s">
        <v>797</v>
      </c>
      <c r="C60" s="3" t="s">
        <v>498</v>
      </c>
      <c r="D60" s="3" t="n">
        <v>1</v>
      </c>
    </row>
    <row r="61" customFormat="false" ht="15" hidden="false" customHeight="false" outlineLevel="0" collapsed="false">
      <c r="A61" s="3" t="s">
        <v>500</v>
      </c>
      <c r="B61" s="3" t="s">
        <v>765</v>
      </c>
      <c r="C61" s="3" t="s">
        <v>766</v>
      </c>
      <c r="D61" s="3" t="n">
        <v>1</v>
      </c>
    </row>
    <row r="62" customFormat="false" ht="15" hidden="false" customHeight="false" outlineLevel="0" collapsed="false">
      <c r="A62" s="3" t="s">
        <v>500</v>
      </c>
      <c r="B62" s="3" t="s">
        <v>808</v>
      </c>
      <c r="C62" s="3" t="s">
        <v>493</v>
      </c>
      <c r="D62" s="3" t="n">
        <v>2</v>
      </c>
    </row>
    <row r="63" customFormat="false" ht="15" hidden="false" customHeight="false" outlineLevel="0" collapsed="false">
      <c r="A63" s="3" t="s">
        <v>508</v>
      </c>
      <c r="B63" s="3" t="s">
        <v>809</v>
      </c>
      <c r="C63" s="3" t="s">
        <v>512</v>
      </c>
      <c r="D63" s="3" t="n">
        <v>1</v>
      </c>
    </row>
    <row r="64" customFormat="false" ht="15" hidden="false" customHeight="false" outlineLevel="0" collapsed="false">
      <c r="A64" s="3" t="s">
        <v>515</v>
      </c>
      <c r="B64" s="3" t="s">
        <v>809</v>
      </c>
      <c r="C64" s="3" t="s">
        <v>512</v>
      </c>
      <c r="D64" s="3" t="n">
        <v>1</v>
      </c>
    </row>
    <row r="65" customFormat="false" ht="15" hidden="false" customHeight="false" outlineLevel="0" collapsed="false">
      <c r="A65" s="3" t="s">
        <v>523</v>
      </c>
      <c r="B65" s="3" t="s">
        <v>810</v>
      </c>
      <c r="C65" s="3" t="s">
        <v>527</v>
      </c>
      <c r="D65" s="3" t="n">
        <v>1</v>
      </c>
    </row>
    <row r="66" customFormat="false" ht="15" hidden="false" customHeight="false" outlineLevel="0" collapsed="false">
      <c r="A66" s="3" t="s">
        <v>530</v>
      </c>
      <c r="B66" s="3" t="s">
        <v>777</v>
      </c>
      <c r="C66" s="3" t="s">
        <v>323</v>
      </c>
      <c r="D66" s="3" t="n">
        <v>1</v>
      </c>
    </row>
    <row r="67" customFormat="false" ht="15" hidden="false" customHeight="false" outlineLevel="0" collapsed="false">
      <c r="A67" s="3" t="s">
        <v>536</v>
      </c>
      <c r="B67" s="3" t="s">
        <v>777</v>
      </c>
      <c r="C67" s="3" t="s">
        <v>323</v>
      </c>
      <c r="D67" s="3" t="n">
        <v>1</v>
      </c>
    </row>
    <row r="68" customFormat="false" ht="15" hidden="false" customHeight="false" outlineLevel="0" collapsed="false">
      <c r="A68" s="3" t="s">
        <v>543</v>
      </c>
      <c r="B68" s="3" t="s">
        <v>765</v>
      </c>
      <c r="C68" s="3" t="s">
        <v>766</v>
      </c>
      <c r="D68" s="3" t="n">
        <v>1</v>
      </c>
    </row>
    <row r="69" customFormat="false" ht="15" hidden="false" customHeight="false" outlineLevel="0" collapsed="false">
      <c r="A69" s="3" t="s">
        <v>543</v>
      </c>
      <c r="B69" s="3" t="s">
        <v>767</v>
      </c>
      <c r="C69" s="3" t="s">
        <v>704</v>
      </c>
      <c r="D69" s="3" t="n">
        <v>2</v>
      </c>
    </row>
    <row r="70" customFormat="false" ht="15" hidden="false" customHeight="false" outlineLevel="0" collapsed="false">
      <c r="A70" s="3" t="s">
        <v>551</v>
      </c>
      <c r="B70" s="3" t="s">
        <v>811</v>
      </c>
      <c r="C70" s="3" t="s">
        <v>555</v>
      </c>
      <c r="D70" s="3" t="n">
        <v>1</v>
      </c>
    </row>
    <row r="71" customFormat="false" ht="15" hidden="false" customHeight="false" outlineLevel="0" collapsed="false">
      <c r="A71" s="3" t="s">
        <v>558</v>
      </c>
      <c r="B71" s="3" t="s">
        <v>812</v>
      </c>
      <c r="C71" s="3" t="s">
        <v>562</v>
      </c>
      <c r="D71" s="3" t="n">
        <v>1</v>
      </c>
    </row>
    <row r="72" customFormat="false" ht="15" hidden="false" customHeight="false" outlineLevel="0" collapsed="false">
      <c r="A72" s="3" t="s">
        <v>565</v>
      </c>
      <c r="B72" s="3" t="s">
        <v>810</v>
      </c>
      <c r="C72" s="3" t="s">
        <v>527</v>
      </c>
      <c r="D72" s="3" t="n">
        <v>1</v>
      </c>
    </row>
    <row r="73" customFormat="false" ht="15" hidden="false" customHeight="false" outlineLevel="0" collapsed="false">
      <c r="A73" s="3" t="s">
        <v>565</v>
      </c>
      <c r="B73" s="3" t="s">
        <v>813</v>
      </c>
      <c r="C73" s="3" t="s">
        <v>814</v>
      </c>
      <c r="D73" s="3" t="n">
        <v>2</v>
      </c>
    </row>
    <row r="74" customFormat="false" ht="15" hidden="false" customHeight="false" outlineLevel="0" collapsed="false">
      <c r="A74" s="3" t="s">
        <v>572</v>
      </c>
      <c r="B74" s="3" t="s">
        <v>777</v>
      </c>
      <c r="C74" s="3" t="s">
        <v>323</v>
      </c>
      <c r="D74" s="3" t="n">
        <v>1</v>
      </c>
    </row>
    <row r="75" customFormat="false" ht="15" hidden="false" customHeight="false" outlineLevel="0" collapsed="false">
      <c r="A75" s="3" t="s">
        <v>581</v>
      </c>
      <c r="B75" s="3" t="s">
        <v>815</v>
      </c>
      <c r="C75" s="3" t="s">
        <v>609</v>
      </c>
      <c r="D75" s="3" t="n">
        <v>1</v>
      </c>
    </row>
    <row r="76" customFormat="false" ht="15" hidden="false" customHeight="false" outlineLevel="0" collapsed="false">
      <c r="A76" s="3" t="s">
        <v>581</v>
      </c>
      <c r="B76" s="3" t="s">
        <v>777</v>
      </c>
      <c r="C76" s="3" t="s">
        <v>323</v>
      </c>
      <c r="D76" s="3" t="n">
        <v>2</v>
      </c>
    </row>
    <row r="77" customFormat="false" ht="15" hidden="false" customHeight="false" outlineLevel="0" collapsed="false">
      <c r="A77" s="3" t="s">
        <v>590</v>
      </c>
      <c r="B77" s="3" t="s">
        <v>815</v>
      </c>
      <c r="C77" s="3" t="s">
        <v>609</v>
      </c>
      <c r="D77" s="3" t="n">
        <v>1</v>
      </c>
    </row>
    <row r="78" customFormat="false" ht="15" hidden="false" customHeight="false" outlineLevel="0" collapsed="false">
      <c r="A78" s="3" t="s">
        <v>590</v>
      </c>
      <c r="B78" s="3" t="s">
        <v>785</v>
      </c>
      <c r="C78" s="3" t="s">
        <v>407</v>
      </c>
      <c r="D78" s="3" t="n">
        <v>2</v>
      </c>
    </row>
    <row r="79" customFormat="false" ht="15" hidden="false" customHeight="false" outlineLevel="0" collapsed="false">
      <c r="A79" s="3" t="s">
        <v>590</v>
      </c>
      <c r="B79" s="3" t="s">
        <v>786</v>
      </c>
      <c r="C79" s="3" t="s">
        <v>471</v>
      </c>
      <c r="D79" s="3" t="n">
        <v>3</v>
      </c>
    </row>
    <row r="80" customFormat="false" ht="15" hidden="false" customHeight="false" outlineLevel="0" collapsed="false">
      <c r="A80" s="3" t="s">
        <v>597</v>
      </c>
      <c r="B80" s="3" t="s">
        <v>785</v>
      </c>
      <c r="C80" s="3" t="s">
        <v>407</v>
      </c>
      <c r="D80" s="3" t="n">
        <v>1</v>
      </c>
    </row>
    <row r="81" customFormat="false" ht="15" hidden="false" customHeight="false" outlineLevel="0" collapsed="false">
      <c r="A81" s="3" t="s">
        <v>597</v>
      </c>
      <c r="B81" s="3" t="s">
        <v>786</v>
      </c>
      <c r="C81" s="3" t="s">
        <v>471</v>
      </c>
      <c r="D81" s="3" t="n">
        <v>2</v>
      </c>
    </row>
    <row r="82" customFormat="false" ht="15" hidden="false" customHeight="false" outlineLevel="0" collapsed="false">
      <c r="A82" s="3" t="s">
        <v>604</v>
      </c>
      <c r="B82" s="3" t="s">
        <v>815</v>
      </c>
      <c r="C82" s="3" t="s">
        <v>609</v>
      </c>
      <c r="D82" s="3" t="n">
        <v>1</v>
      </c>
    </row>
    <row r="83" customFormat="false" ht="15" hidden="false" customHeight="false" outlineLevel="0" collapsed="false">
      <c r="A83" s="3" t="s">
        <v>612</v>
      </c>
      <c r="B83" s="3" t="s">
        <v>815</v>
      </c>
      <c r="C83" s="3" t="s">
        <v>609</v>
      </c>
      <c r="D83" s="3" t="n">
        <v>1</v>
      </c>
    </row>
    <row r="84" customFormat="false" ht="15" hidden="false" customHeight="false" outlineLevel="0" collapsed="false">
      <c r="A84" s="3" t="s">
        <v>618</v>
      </c>
      <c r="B84" s="3" t="s">
        <v>815</v>
      </c>
      <c r="C84" s="3" t="s">
        <v>609</v>
      </c>
      <c r="D84" s="3" t="n">
        <v>1</v>
      </c>
    </row>
    <row r="85" customFormat="false" ht="15" hidden="false" customHeight="false" outlineLevel="0" collapsed="false">
      <c r="A85" s="3" t="s">
        <v>627</v>
      </c>
      <c r="B85" s="3" t="s">
        <v>815</v>
      </c>
      <c r="C85" s="3" t="s">
        <v>609</v>
      </c>
      <c r="D85" s="3" t="n">
        <v>1</v>
      </c>
    </row>
    <row r="86" customFormat="false" ht="15" hidden="false" customHeight="false" outlineLevel="0" collapsed="false">
      <c r="A86" s="3" t="s">
        <v>636</v>
      </c>
      <c r="B86" s="3" t="s">
        <v>815</v>
      </c>
      <c r="C86" s="3" t="s">
        <v>609</v>
      </c>
      <c r="D86" s="3" t="n">
        <v>1</v>
      </c>
    </row>
    <row r="87" customFormat="false" ht="15" hidden="false" customHeight="false" outlineLevel="0" collapsed="false">
      <c r="A87" s="3" t="s">
        <v>642</v>
      </c>
      <c r="B87" s="3" t="s">
        <v>816</v>
      </c>
      <c r="C87" s="3" t="s">
        <v>655</v>
      </c>
      <c r="D87" s="3" t="n">
        <v>1</v>
      </c>
    </row>
    <row r="88" customFormat="false" ht="15" hidden="false" customHeight="false" outlineLevel="0" collapsed="false">
      <c r="A88" s="3" t="s">
        <v>642</v>
      </c>
      <c r="B88" s="3" t="s">
        <v>777</v>
      </c>
      <c r="C88" s="3" t="s">
        <v>323</v>
      </c>
      <c r="D88" s="3" t="n">
        <v>2</v>
      </c>
    </row>
    <row r="89" customFormat="false" ht="15" hidden="false" customHeight="false" outlineLevel="0" collapsed="false">
      <c r="A89" s="3" t="s">
        <v>650</v>
      </c>
      <c r="B89" s="3" t="s">
        <v>816</v>
      </c>
      <c r="C89" s="3" t="s">
        <v>655</v>
      </c>
      <c r="D89" s="3" t="n">
        <v>1</v>
      </c>
    </row>
    <row r="90" customFormat="false" ht="15" hidden="false" customHeight="false" outlineLevel="0" collapsed="false">
      <c r="A90" s="3" t="s">
        <v>658</v>
      </c>
      <c r="B90" s="3" t="s">
        <v>816</v>
      </c>
      <c r="C90" s="3" t="s">
        <v>655</v>
      </c>
      <c r="D90" s="3" t="n">
        <v>1</v>
      </c>
    </row>
    <row r="91" customFormat="false" ht="15" hidden="false" customHeight="false" outlineLevel="0" collapsed="false">
      <c r="A91" s="3" t="s">
        <v>663</v>
      </c>
      <c r="B91" s="3" t="s">
        <v>816</v>
      </c>
      <c r="C91" s="3" t="s">
        <v>655</v>
      </c>
      <c r="D91" s="3" t="n">
        <v>1</v>
      </c>
    </row>
    <row r="92" customFormat="false" ht="15" hidden="false" customHeight="false" outlineLevel="0" collapsed="false">
      <c r="A92" s="3" t="s">
        <v>668</v>
      </c>
      <c r="B92" s="3" t="s">
        <v>777</v>
      </c>
      <c r="C92" s="3" t="s">
        <v>323</v>
      </c>
      <c r="D92" s="3" t="n">
        <v>1</v>
      </c>
    </row>
    <row r="93" customFormat="false" ht="15" hidden="false" customHeight="false" outlineLevel="0" collapsed="false">
      <c r="A93" s="3" t="s">
        <v>680</v>
      </c>
      <c r="B93" s="3" t="s">
        <v>777</v>
      </c>
      <c r="C93" s="3" t="s">
        <v>323</v>
      </c>
      <c r="D93" s="3" t="n">
        <v>1</v>
      </c>
    </row>
    <row r="94" customFormat="false" ht="15" hidden="false" customHeight="false" outlineLevel="0" collapsed="false">
      <c r="A94" s="3" t="s">
        <v>693</v>
      </c>
      <c r="B94" s="3" t="s">
        <v>777</v>
      </c>
      <c r="C94" s="3" t="s">
        <v>323</v>
      </c>
      <c r="D94" s="3" t="n">
        <v>1</v>
      </c>
    </row>
    <row r="95" customFormat="false" ht="15" hidden="false" customHeight="false" outlineLevel="0" collapsed="false">
      <c r="A95" s="3" t="s">
        <v>699</v>
      </c>
      <c r="B95" s="3" t="s">
        <v>767</v>
      </c>
      <c r="C95" s="3" t="s">
        <v>704</v>
      </c>
      <c r="D95" s="3" t="n">
        <v>1</v>
      </c>
    </row>
    <row r="96" customFormat="false" ht="15" hidden="false" customHeight="false" outlineLevel="0" collapsed="false">
      <c r="A96" s="3" t="s">
        <v>707</v>
      </c>
      <c r="B96" s="3" t="s">
        <v>777</v>
      </c>
      <c r="C96" s="3" t="s">
        <v>323</v>
      </c>
      <c r="D96" s="3" t="n">
        <v>1</v>
      </c>
    </row>
    <row r="97" customFormat="false" ht="15" hidden="false" customHeight="false" outlineLevel="0" collapsed="false">
      <c r="A97" s="3" t="s">
        <v>711</v>
      </c>
      <c r="B97" s="3" t="s">
        <v>765</v>
      </c>
      <c r="C97" s="3" t="s">
        <v>766</v>
      </c>
      <c r="D97" s="3" t="n">
        <v>1</v>
      </c>
    </row>
    <row r="98" customFormat="false" ht="15" hidden="false" customHeight="false" outlineLevel="0" collapsed="false">
      <c r="A98" s="3" t="s">
        <v>711</v>
      </c>
      <c r="B98" s="3" t="s">
        <v>767</v>
      </c>
      <c r="C98" s="3" t="s">
        <v>704</v>
      </c>
      <c r="D98" s="3" t="n">
        <v>2</v>
      </c>
    </row>
    <row r="99" customFormat="false" ht="15" hidden="false" customHeight="false" outlineLevel="0" collapsed="false">
      <c r="A99" s="3" t="s">
        <v>711</v>
      </c>
      <c r="B99" s="3" t="s">
        <v>817</v>
      </c>
      <c r="C99" s="3" t="s">
        <v>818</v>
      </c>
      <c r="D99" s="3" t="n">
        <v>3</v>
      </c>
    </row>
    <row r="100" customFormat="false" ht="15" hidden="false" customHeight="false" outlineLevel="0" collapsed="false">
      <c r="A100" s="3" t="s">
        <v>711</v>
      </c>
      <c r="B100" s="3" t="s">
        <v>804</v>
      </c>
      <c r="C100" s="3" t="s">
        <v>805</v>
      </c>
      <c r="D100" s="3" t="n">
        <v>4</v>
      </c>
    </row>
    <row r="101" customFormat="false" ht="15" hidden="false" customHeight="false" outlineLevel="0" collapsed="false">
      <c r="A101" s="3" t="s">
        <v>711</v>
      </c>
      <c r="B101" s="3" t="s">
        <v>777</v>
      </c>
      <c r="C101" s="3" t="s">
        <v>323</v>
      </c>
      <c r="D101" s="3" t="n">
        <v>5</v>
      </c>
    </row>
    <row r="102" customFormat="false" ht="15" hidden="false" customHeight="false" outlineLevel="0" collapsed="false">
      <c r="A102" s="3" t="s">
        <v>721</v>
      </c>
      <c r="B102" s="3" t="s">
        <v>765</v>
      </c>
      <c r="C102" s="3" t="s">
        <v>766</v>
      </c>
      <c r="D102" s="3" t="n">
        <v>1</v>
      </c>
    </row>
    <row r="103" customFormat="false" ht="15" hidden="false" customHeight="false" outlineLevel="0" collapsed="false">
      <c r="A103" s="3" t="s">
        <v>721</v>
      </c>
      <c r="B103" s="3" t="s">
        <v>802</v>
      </c>
      <c r="C103" s="3" t="s">
        <v>803</v>
      </c>
      <c r="D103" s="3" t="n">
        <v>2</v>
      </c>
    </row>
    <row r="104" customFormat="false" ht="15" hidden="false" customHeight="false" outlineLevel="0" collapsed="false">
      <c r="A104" s="3" t="s">
        <v>729</v>
      </c>
      <c r="B104" s="3" t="s">
        <v>819</v>
      </c>
      <c r="C104" s="3" t="s">
        <v>820</v>
      </c>
      <c r="D104" s="3" t="n">
        <v>1</v>
      </c>
    </row>
    <row r="105" customFormat="false" ht="15" hidden="false" customHeight="false" outlineLevel="0" collapsed="false">
      <c r="A105" s="3" t="s">
        <v>729</v>
      </c>
      <c r="B105" s="3" t="s">
        <v>821</v>
      </c>
      <c r="C105" s="3" t="s">
        <v>822</v>
      </c>
      <c r="D105" s="3" t="n">
        <v>2</v>
      </c>
    </row>
    <row r="106" customFormat="false" ht="15" hidden="false" customHeight="false" outlineLevel="0" collapsed="false">
      <c r="A106" s="3" t="s">
        <v>729</v>
      </c>
      <c r="B106" s="3" t="s">
        <v>777</v>
      </c>
      <c r="C106" s="3" t="s">
        <v>323</v>
      </c>
      <c r="D106" s="3" t="n">
        <v>3</v>
      </c>
    </row>
    <row r="107" customFormat="false" ht="15" hidden="false" customHeight="false" outlineLevel="0" collapsed="false">
      <c r="A107" s="3" t="s">
        <v>737</v>
      </c>
      <c r="B107" s="3" t="s">
        <v>777</v>
      </c>
      <c r="C107" s="3" t="s">
        <v>323</v>
      </c>
      <c r="D107" s="3" t="n">
        <v>1</v>
      </c>
    </row>
    <row r="108" customFormat="false" ht="15" hidden="false" customHeight="false" outlineLevel="0" collapsed="false">
      <c r="A108" s="3" t="s">
        <v>745</v>
      </c>
      <c r="B108" s="3" t="s">
        <v>765</v>
      </c>
      <c r="C108" s="3" t="s">
        <v>766</v>
      </c>
      <c r="D108" s="3" t="n">
        <v>1</v>
      </c>
    </row>
    <row r="109" customFormat="false" ht="15" hidden="false" customHeight="false" outlineLevel="0" collapsed="false">
      <c r="A109" s="3" t="s">
        <v>745</v>
      </c>
      <c r="B109" s="3" t="s">
        <v>767</v>
      </c>
      <c r="C109" s="3" t="s">
        <v>704</v>
      </c>
      <c r="D109" s="3" t="n">
        <v>2</v>
      </c>
    </row>
    <row r="110" customFormat="false" ht="15" hidden="false" customHeight="false" outlineLevel="0" collapsed="false">
      <c r="A110" s="3" t="s">
        <v>753</v>
      </c>
      <c r="B110" s="3" t="s">
        <v>823</v>
      </c>
      <c r="C110" s="3" t="s">
        <v>824</v>
      </c>
      <c r="D110" s="3" t="n">
        <v>1</v>
      </c>
    </row>
    <row r="111" customFormat="false" ht="15" hidden="false" customHeight="false" outlineLevel="0" collapsed="false">
      <c r="A111" s="3" t="s">
        <v>753</v>
      </c>
      <c r="B111" s="3" t="s">
        <v>777</v>
      </c>
      <c r="C111" s="3" t="s">
        <v>323</v>
      </c>
      <c r="D111" s="3"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30"/>
    <col collapsed="false" customWidth="true" hidden="false" outlineLevel="0" max="4" min="4" style="0" width="90"/>
    <col collapsed="false" customWidth="true" hidden="false" outlineLevel="0" max="5" min="5" style="0" width="14"/>
  </cols>
  <sheetData>
    <row r="1" customFormat="false" ht="15" hidden="false" customHeight="false" outlineLevel="0" collapsed="false">
      <c r="A1" s="5" t="s">
        <v>825</v>
      </c>
    </row>
    <row r="2" customFormat="false" ht="15" hidden="false" customHeight="false" outlineLevel="0" collapsed="false">
      <c r="A2" s="16" t="s">
        <v>826</v>
      </c>
    </row>
    <row r="3" customFormat="false" ht="30" hidden="false" customHeight="true" outlineLevel="0" collapsed="false">
      <c r="A3" s="6" t="s">
        <v>762</v>
      </c>
      <c r="B3" s="6" t="s">
        <v>763</v>
      </c>
      <c r="C3" s="6" t="s">
        <v>827</v>
      </c>
      <c r="D3" s="6" t="s">
        <v>828</v>
      </c>
      <c r="E3" s="6" t="s">
        <v>829</v>
      </c>
    </row>
    <row r="4" customFormat="false" ht="15" hidden="false" customHeight="false" outlineLevel="0" collapsed="false">
      <c r="A4" s="3" t="s">
        <v>765</v>
      </c>
      <c r="B4" s="3" t="s">
        <v>766</v>
      </c>
      <c r="C4" s="3" t="s">
        <v>830</v>
      </c>
      <c r="D4" s="3" t="s">
        <v>831</v>
      </c>
      <c r="E4" s="3" t="n">
        <f aca="false">COUNTIFS(04_IndicatorDisaggregations!$B$4:$B$111,A4)</f>
        <v>10</v>
      </c>
    </row>
    <row r="5" customFormat="false" ht="15" hidden="false" customHeight="false" outlineLevel="0" collapsed="false">
      <c r="A5" s="3" t="s">
        <v>767</v>
      </c>
      <c r="B5" s="3" t="s">
        <v>704</v>
      </c>
      <c r="C5" s="3" t="s">
        <v>832</v>
      </c>
      <c r="D5" s="3" t="s">
        <v>833</v>
      </c>
      <c r="E5" s="3" t="n">
        <f aca="false">COUNTIFS(04_IndicatorDisaggregations!$B$4:$B$111,A5)</f>
        <v>9</v>
      </c>
    </row>
    <row r="6" customFormat="false" ht="15" hidden="false" customHeight="false" outlineLevel="0" collapsed="false">
      <c r="A6" s="3" t="s">
        <v>777</v>
      </c>
      <c r="B6" s="3" t="s">
        <v>323</v>
      </c>
      <c r="C6" s="3" t="s">
        <v>834</v>
      </c>
      <c r="D6" s="3" t="s">
        <v>835</v>
      </c>
      <c r="E6" s="3" t="n">
        <f aca="false">COUNTIFS(04_IndicatorDisaggregations!$B$4:$B$111,A6)</f>
        <v>19</v>
      </c>
    </row>
    <row r="7" customFormat="false" ht="15" hidden="false" customHeight="false" outlineLevel="0" collapsed="false">
      <c r="A7" s="3" t="s">
        <v>817</v>
      </c>
      <c r="B7" s="3" t="s">
        <v>818</v>
      </c>
      <c r="C7" s="3" t="s">
        <v>836</v>
      </c>
      <c r="D7" s="3" t="s">
        <v>837</v>
      </c>
      <c r="E7" s="3" t="n">
        <f aca="false">COUNTIFS(04_IndicatorDisaggregations!$B$4:$B$111,A7)</f>
        <v>1</v>
      </c>
    </row>
    <row r="8" customFormat="false" ht="15" hidden="false" customHeight="false" outlineLevel="0" collapsed="false">
      <c r="A8" s="3" t="s">
        <v>785</v>
      </c>
      <c r="B8" s="3" t="s">
        <v>407</v>
      </c>
      <c r="C8" s="3" t="s">
        <v>838</v>
      </c>
      <c r="D8" s="3" t="s">
        <v>839</v>
      </c>
      <c r="E8" s="3" t="n">
        <f aca="false">COUNTIFS(04_IndicatorDisaggregations!$B$4:$B$111,A8)</f>
        <v>8</v>
      </c>
    </row>
    <row r="9" customFormat="false" ht="23.85" hidden="false" customHeight="false" outlineLevel="0" collapsed="false">
      <c r="A9" s="3" t="s">
        <v>786</v>
      </c>
      <c r="B9" s="3" t="s">
        <v>471</v>
      </c>
      <c r="C9" s="3" t="s">
        <v>840</v>
      </c>
      <c r="D9" s="3" t="s">
        <v>841</v>
      </c>
      <c r="E9" s="3" t="n">
        <f aca="false">COUNTIFS(04_IndicatorDisaggregations!$B$4:$B$111,A9)</f>
        <v>8</v>
      </c>
    </row>
    <row r="10" customFormat="false" ht="15" hidden="false" customHeight="false" outlineLevel="0" collapsed="false">
      <c r="A10" s="3" t="s">
        <v>804</v>
      </c>
      <c r="B10" s="3" t="s">
        <v>805</v>
      </c>
      <c r="C10" s="3" t="s">
        <v>842</v>
      </c>
      <c r="D10" s="3" t="s">
        <v>843</v>
      </c>
      <c r="E10" s="3" t="n">
        <f aca="false">COUNTIFS(04_IndicatorDisaggregations!$B$4:$B$111,A10)</f>
        <v>3</v>
      </c>
    </row>
    <row r="11" customFormat="false" ht="23.85" hidden="false" customHeight="false" outlineLevel="0" collapsed="false">
      <c r="A11" s="3" t="s">
        <v>768</v>
      </c>
      <c r="B11" s="3" t="s">
        <v>769</v>
      </c>
      <c r="C11" s="3" t="s">
        <v>844</v>
      </c>
      <c r="D11" s="3" t="s">
        <v>845</v>
      </c>
      <c r="E11" s="3" t="n">
        <f aca="false">COUNTIFS(04_IndicatorDisaggregations!$B$4:$B$111,A11)</f>
        <v>1</v>
      </c>
    </row>
    <row r="12" customFormat="false" ht="15" hidden="false" customHeight="false" outlineLevel="0" collapsed="false">
      <c r="A12" s="3" t="s">
        <v>770</v>
      </c>
      <c r="B12" s="3" t="s">
        <v>295</v>
      </c>
      <c r="C12" s="3" t="s">
        <v>846</v>
      </c>
      <c r="D12" s="3" t="s">
        <v>847</v>
      </c>
      <c r="E12" s="3" t="n">
        <f aca="false">COUNTIFS(04_IndicatorDisaggregations!$B$4:$B$111,A12)</f>
        <v>2</v>
      </c>
    </row>
    <row r="13" customFormat="false" ht="15" hidden="false" customHeight="false" outlineLevel="0" collapsed="false">
      <c r="A13" s="3" t="s">
        <v>771</v>
      </c>
      <c r="B13" s="3" t="s">
        <v>772</v>
      </c>
      <c r="C13" s="3" t="s">
        <v>848</v>
      </c>
      <c r="D13" s="3" t="s">
        <v>849</v>
      </c>
      <c r="E13" s="3" t="n">
        <f aca="false">COUNTIFS(04_IndicatorDisaggregations!$B$4:$B$111,A13)</f>
        <v>1</v>
      </c>
    </row>
    <row r="14" customFormat="false" ht="15" hidden="false" customHeight="false" outlineLevel="0" collapsed="false">
      <c r="A14" s="3" t="s">
        <v>773</v>
      </c>
      <c r="B14" s="3" t="s">
        <v>774</v>
      </c>
      <c r="C14" s="3" t="s">
        <v>850</v>
      </c>
      <c r="D14" s="3" t="s">
        <v>851</v>
      </c>
      <c r="E14" s="3" t="n">
        <f aca="false">COUNTIFS(04_IndicatorDisaggregations!$B$4:$B$111,A14)</f>
        <v>1</v>
      </c>
    </row>
    <row r="15" customFormat="false" ht="15" hidden="false" customHeight="false" outlineLevel="0" collapsed="false">
      <c r="A15" s="3" t="s">
        <v>775</v>
      </c>
      <c r="B15" s="3" t="s">
        <v>776</v>
      </c>
      <c r="C15" s="3" t="s">
        <v>852</v>
      </c>
      <c r="D15" s="3" t="s">
        <v>853</v>
      </c>
      <c r="E15" s="3" t="n">
        <f aca="false">COUNTIFS(04_IndicatorDisaggregations!$B$4:$B$111,A15)</f>
        <v>2</v>
      </c>
    </row>
    <row r="16" customFormat="false" ht="15" hidden="false" customHeight="false" outlineLevel="0" collapsed="false">
      <c r="A16" s="3" t="s">
        <v>781</v>
      </c>
      <c r="B16" s="3" t="s">
        <v>782</v>
      </c>
      <c r="C16" s="3" t="s">
        <v>854</v>
      </c>
      <c r="D16" s="3" t="s">
        <v>855</v>
      </c>
      <c r="E16" s="3" t="n">
        <f aca="false">COUNTIFS(04_IndicatorDisaggregations!$B$4:$B$111,A16)</f>
        <v>1</v>
      </c>
    </row>
    <row r="17" customFormat="false" ht="15" hidden="false" customHeight="false" outlineLevel="0" collapsed="false">
      <c r="A17" s="3" t="s">
        <v>809</v>
      </c>
      <c r="B17" s="3" t="s">
        <v>512</v>
      </c>
      <c r="C17" s="3" t="s">
        <v>856</v>
      </c>
      <c r="D17" s="3" t="s">
        <v>857</v>
      </c>
      <c r="E17" s="3" t="n">
        <f aca="false">COUNTIFS(04_IndicatorDisaggregations!$B$4:$B$111,A17)</f>
        <v>2</v>
      </c>
    </row>
    <row r="18" customFormat="false" ht="15" hidden="false" customHeight="false" outlineLevel="0" collapsed="false">
      <c r="A18" s="3" t="s">
        <v>810</v>
      </c>
      <c r="B18" s="3" t="s">
        <v>527</v>
      </c>
      <c r="C18" s="3" t="s">
        <v>858</v>
      </c>
      <c r="D18" s="3" t="s">
        <v>859</v>
      </c>
      <c r="E18" s="3" t="n">
        <f aca="false">COUNTIFS(04_IndicatorDisaggregations!$B$4:$B$111,A18)</f>
        <v>2</v>
      </c>
    </row>
    <row r="19" customFormat="false" ht="15" hidden="false" customHeight="false" outlineLevel="0" collapsed="false">
      <c r="A19" s="3" t="s">
        <v>813</v>
      </c>
      <c r="B19" s="3" t="s">
        <v>814</v>
      </c>
      <c r="C19" s="3" t="s">
        <v>860</v>
      </c>
      <c r="D19" s="3" t="s">
        <v>861</v>
      </c>
      <c r="E19" s="3" t="n">
        <f aca="false">COUNTIFS(04_IndicatorDisaggregations!$B$4:$B$111,A19)</f>
        <v>1</v>
      </c>
    </row>
    <row r="20" customFormat="false" ht="15" hidden="false" customHeight="false" outlineLevel="0" collapsed="false">
      <c r="A20" s="3" t="s">
        <v>812</v>
      </c>
      <c r="B20" s="3" t="s">
        <v>562</v>
      </c>
      <c r="C20" s="3" t="s">
        <v>862</v>
      </c>
      <c r="D20" s="3" t="s">
        <v>863</v>
      </c>
      <c r="E20" s="3" t="n">
        <f aca="false">COUNTIFS(04_IndicatorDisaggregations!$B$4:$B$111,A20)</f>
        <v>1</v>
      </c>
    </row>
    <row r="21" customFormat="false" ht="15" hidden="false" customHeight="false" outlineLevel="0" collapsed="false">
      <c r="A21" s="3" t="s">
        <v>811</v>
      </c>
      <c r="B21" s="3" t="s">
        <v>555</v>
      </c>
      <c r="C21" s="3" t="s">
        <v>864</v>
      </c>
      <c r="D21" s="3" t="s">
        <v>865</v>
      </c>
      <c r="E21" s="3" t="n">
        <f aca="false">COUNTIFS(04_IndicatorDisaggregations!$B$4:$B$111,A21)</f>
        <v>1</v>
      </c>
    </row>
    <row r="22" customFormat="false" ht="15" hidden="false" customHeight="false" outlineLevel="0" collapsed="false">
      <c r="A22" s="3" t="s">
        <v>819</v>
      </c>
      <c r="B22" s="3" t="s">
        <v>820</v>
      </c>
      <c r="C22" s="3" t="s">
        <v>866</v>
      </c>
      <c r="D22" s="3" t="s">
        <v>867</v>
      </c>
      <c r="E22" s="3" t="n">
        <f aca="false">COUNTIFS(04_IndicatorDisaggregations!$B$4:$B$111,A22)</f>
        <v>1</v>
      </c>
    </row>
    <row r="23" customFormat="false" ht="15" hidden="false" customHeight="false" outlineLevel="0" collapsed="false">
      <c r="A23" s="3" t="s">
        <v>821</v>
      </c>
      <c r="B23" s="3" t="s">
        <v>822</v>
      </c>
      <c r="C23" s="3" t="s">
        <v>868</v>
      </c>
      <c r="D23" s="3" t="s">
        <v>869</v>
      </c>
      <c r="E23" s="3" t="n">
        <f aca="false">COUNTIFS(04_IndicatorDisaggregations!$B$4:$B$111,A23)</f>
        <v>1</v>
      </c>
    </row>
    <row r="24" customFormat="false" ht="15" hidden="false" customHeight="false" outlineLevel="0" collapsed="false">
      <c r="A24" s="3" t="s">
        <v>787</v>
      </c>
      <c r="B24" s="3" t="s">
        <v>788</v>
      </c>
      <c r="C24" s="3" t="s">
        <v>870</v>
      </c>
      <c r="D24" s="3" t="s">
        <v>871</v>
      </c>
      <c r="E24" s="3" t="n">
        <f aca="false">COUNTIFS(04_IndicatorDisaggregations!$B$4:$B$111,A24)</f>
        <v>1</v>
      </c>
    </row>
    <row r="25" customFormat="false" ht="15" hidden="false" customHeight="false" outlineLevel="0" collapsed="false">
      <c r="A25" s="3" t="s">
        <v>783</v>
      </c>
      <c r="B25" s="3" t="s">
        <v>784</v>
      </c>
      <c r="C25" s="3" t="s">
        <v>872</v>
      </c>
      <c r="D25" s="3" t="s">
        <v>873</v>
      </c>
      <c r="E25" s="3" t="n">
        <f aca="false">COUNTIFS(04_IndicatorDisaggregations!$B$4:$B$111,A25)</f>
        <v>1</v>
      </c>
    </row>
    <row r="26" customFormat="false" ht="15" hidden="false" customHeight="false" outlineLevel="0" collapsed="false">
      <c r="A26" s="3" t="s">
        <v>789</v>
      </c>
      <c r="B26" s="3" t="s">
        <v>375</v>
      </c>
      <c r="C26" s="3" t="s">
        <v>874</v>
      </c>
      <c r="D26" s="3" t="s">
        <v>875</v>
      </c>
      <c r="E26" s="3" t="n">
        <f aca="false">COUNTIFS(04_IndicatorDisaggregations!$B$4:$B$111,A26)</f>
        <v>2</v>
      </c>
    </row>
    <row r="27" customFormat="false" ht="15" hidden="false" customHeight="false" outlineLevel="0" collapsed="false">
      <c r="A27" s="3" t="s">
        <v>790</v>
      </c>
      <c r="B27" s="3" t="s">
        <v>791</v>
      </c>
      <c r="C27" s="3" t="s">
        <v>876</v>
      </c>
      <c r="D27" s="3" t="s">
        <v>877</v>
      </c>
      <c r="E27" s="3" t="n">
        <f aca="false">COUNTIFS(04_IndicatorDisaggregations!$B$4:$B$111,A27)</f>
        <v>1</v>
      </c>
    </row>
    <row r="28" customFormat="false" ht="15" hidden="false" customHeight="false" outlineLevel="0" collapsed="false">
      <c r="A28" s="3" t="s">
        <v>792</v>
      </c>
      <c r="B28" s="3" t="s">
        <v>793</v>
      </c>
      <c r="C28" s="3" t="s">
        <v>878</v>
      </c>
      <c r="D28" s="3" t="s">
        <v>879</v>
      </c>
      <c r="E28" s="3" t="n">
        <f aca="false">COUNTIFS(04_IndicatorDisaggregations!$B$4:$B$111,A28)</f>
        <v>1</v>
      </c>
    </row>
    <row r="29" customFormat="false" ht="15" hidden="false" customHeight="false" outlineLevel="0" collapsed="false">
      <c r="A29" s="3" t="s">
        <v>794</v>
      </c>
      <c r="B29" s="3" t="s">
        <v>795</v>
      </c>
      <c r="C29" s="3" t="s">
        <v>880</v>
      </c>
      <c r="D29" s="3" t="s">
        <v>881</v>
      </c>
      <c r="E29" s="3" t="n">
        <f aca="false">COUNTIFS(04_IndicatorDisaggregations!$B$4:$B$111,A29)</f>
        <v>1</v>
      </c>
    </row>
    <row r="30" customFormat="false" ht="15" hidden="false" customHeight="false" outlineLevel="0" collapsed="false">
      <c r="A30" s="3" t="s">
        <v>796</v>
      </c>
      <c r="B30" s="3" t="s">
        <v>401</v>
      </c>
      <c r="C30" s="3" t="s">
        <v>882</v>
      </c>
      <c r="D30" s="3" t="s">
        <v>883</v>
      </c>
      <c r="E30" s="3" t="n">
        <f aca="false">COUNTIFS(04_IndicatorDisaggregations!$B$4:$B$111,A30)</f>
        <v>2</v>
      </c>
    </row>
    <row r="31" customFormat="false" ht="15" hidden="false" customHeight="false" outlineLevel="0" collapsed="false">
      <c r="A31" s="3" t="s">
        <v>815</v>
      </c>
      <c r="B31" s="3" t="s">
        <v>609</v>
      </c>
      <c r="C31" s="3" t="s">
        <v>884</v>
      </c>
      <c r="D31" s="3" t="s">
        <v>885</v>
      </c>
      <c r="E31" s="3" t="n">
        <f aca="false">COUNTIFS(04_IndicatorDisaggregations!$B$4:$B$111,A31)</f>
        <v>7</v>
      </c>
    </row>
    <row r="32" customFormat="false" ht="15" hidden="false" customHeight="false" outlineLevel="0" collapsed="false">
      <c r="A32" s="3" t="s">
        <v>808</v>
      </c>
      <c r="B32" s="3" t="s">
        <v>493</v>
      </c>
      <c r="C32" s="3" t="s">
        <v>886</v>
      </c>
      <c r="D32" s="3" t="s">
        <v>887</v>
      </c>
      <c r="E32" s="3" t="n">
        <f aca="false">COUNTIFS(04_IndicatorDisaggregations!$B$4:$B$111,A32)</f>
        <v>2</v>
      </c>
    </row>
    <row r="33" customFormat="false" ht="15" hidden="false" customHeight="false" outlineLevel="0" collapsed="false">
      <c r="A33" s="3" t="s">
        <v>816</v>
      </c>
      <c r="B33" s="3" t="s">
        <v>655</v>
      </c>
      <c r="C33" s="3" t="s">
        <v>888</v>
      </c>
      <c r="D33" s="3" t="s">
        <v>889</v>
      </c>
      <c r="E33" s="3" t="n">
        <f aca="false">COUNTIFS(04_IndicatorDisaggregations!$B$4:$B$111,A33)</f>
        <v>4</v>
      </c>
    </row>
    <row r="34" customFormat="false" ht="15" hidden="false" customHeight="false" outlineLevel="0" collapsed="false">
      <c r="A34" s="3" t="s">
        <v>797</v>
      </c>
      <c r="B34" s="3" t="s">
        <v>498</v>
      </c>
      <c r="C34" s="3" t="s">
        <v>890</v>
      </c>
      <c r="D34" s="3" t="s">
        <v>891</v>
      </c>
      <c r="E34" s="3" t="n">
        <f aca="false">COUNTIFS(04_IndicatorDisaggregations!$B$4:$B$111,A34)</f>
        <v>2</v>
      </c>
    </row>
    <row r="35" customFormat="false" ht="15" hidden="false" customHeight="false" outlineLevel="0" collapsed="false">
      <c r="A35" s="3" t="s">
        <v>798</v>
      </c>
      <c r="B35" s="3" t="s">
        <v>799</v>
      </c>
      <c r="C35" s="3" t="s">
        <v>892</v>
      </c>
      <c r="D35" s="3" t="s">
        <v>893</v>
      </c>
      <c r="E35" s="3" t="n">
        <f aca="false">COUNTIFS(04_IndicatorDisaggregations!$B$4:$B$111,A35)</f>
        <v>1</v>
      </c>
    </row>
    <row r="36" customFormat="false" ht="15" hidden="false" customHeight="false" outlineLevel="0" collapsed="false">
      <c r="A36" s="3" t="s">
        <v>800</v>
      </c>
      <c r="B36" s="3" t="s">
        <v>801</v>
      </c>
      <c r="C36" s="3" t="s">
        <v>894</v>
      </c>
      <c r="D36" s="3" t="s">
        <v>895</v>
      </c>
      <c r="E36" s="3" t="n">
        <f aca="false">COUNTIFS(04_IndicatorDisaggregations!$B$4:$B$111,A36)</f>
        <v>1</v>
      </c>
    </row>
    <row r="37" customFormat="false" ht="15" hidden="false" customHeight="false" outlineLevel="0" collapsed="false">
      <c r="A37" s="3" t="s">
        <v>806</v>
      </c>
      <c r="B37" s="3" t="s">
        <v>807</v>
      </c>
      <c r="C37" s="3" t="s">
        <v>896</v>
      </c>
      <c r="D37" s="3" t="s">
        <v>897</v>
      </c>
      <c r="E37" s="3" t="n">
        <f aca="false">COUNTIFS(04_IndicatorDisaggregations!$B$4:$B$111,A37)</f>
        <v>1</v>
      </c>
    </row>
    <row r="38" customFormat="false" ht="15" hidden="false" customHeight="false" outlineLevel="0" collapsed="false">
      <c r="A38" s="3" t="s">
        <v>802</v>
      </c>
      <c r="B38" s="3" t="s">
        <v>803</v>
      </c>
      <c r="C38" s="3" t="s">
        <v>898</v>
      </c>
      <c r="D38" s="3" t="s">
        <v>899</v>
      </c>
      <c r="E38" s="3" t="n">
        <f aca="false">COUNTIFS(04_IndicatorDisaggregations!$B$4:$B$111,A38)</f>
        <v>3</v>
      </c>
    </row>
    <row r="39" customFormat="false" ht="15" hidden="false" customHeight="false" outlineLevel="0" collapsed="false">
      <c r="A39" s="3" t="s">
        <v>778</v>
      </c>
      <c r="B39" s="3" t="s">
        <v>301</v>
      </c>
      <c r="C39" s="3" t="s">
        <v>900</v>
      </c>
      <c r="D39" s="3" t="s">
        <v>901</v>
      </c>
      <c r="E39" s="3" t="n">
        <f aca="false">COUNTIFS(04_IndicatorDisaggregations!$B$4:$B$111,A39)</f>
        <v>1</v>
      </c>
    </row>
    <row r="40" customFormat="false" ht="15" hidden="false" customHeight="false" outlineLevel="0" collapsed="false">
      <c r="A40" s="3" t="s">
        <v>779</v>
      </c>
      <c r="B40" s="3" t="s">
        <v>780</v>
      </c>
      <c r="C40" s="3" t="s">
        <v>902</v>
      </c>
      <c r="D40" s="3" t="s">
        <v>903</v>
      </c>
      <c r="E40" s="3" t="n">
        <f aca="false">COUNTIFS(04_IndicatorDisaggregations!$B$4:$B$111,A40)</f>
        <v>1</v>
      </c>
    </row>
    <row r="41" customFormat="false" ht="15" hidden="false" customHeight="false" outlineLevel="0" collapsed="false">
      <c r="A41" s="3" t="s">
        <v>823</v>
      </c>
      <c r="B41" s="3" t="s">
        <v>824</v>
      </c>
      <c r="C41" s="3" t="s">
        <v>904</v>
      </c>
      <c r="D41" s="3" t="s">
        <v>905</v>
      </c>
      <c r="E41" s="3" t="n">
        <f aca="false">COUNTIFS(04_IndicatorDisaggregations!$B$4:$B$111,A41)</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3" min="3" style="0" width="90"/>
    <col collapsed="false" customWidth="true" hidden="false" outlineLevel="0" max="4" min="4" style="0" width="14"/>
  </cols>
  <sheetData>
    <row r="1" customFormat="false" ht="15" hidden="false" customHeight="false" outlineLevel="0" collapsed="false">
      <c r="A1" s="5" t="s">
        <v>906</v>
      </c>
    </row>
    <row r="3" customFormat="false" ht="30" hidden="false" customHeight="true" outlineLevel="0" collapsed="false">
      <c r="A3" s="6" t="s">
        <v>907</v>
      </c>
      <c r="B3" s="6" t="s">
        <v>908</v>
      </c>
      <c r="C3" s="6" t="s">
        <v>125</v>
      </c>
      <c r="D3" s="6" t="s">
        <v>65</v>
      </c>
    </row>
    <row r="4" customFormat="false" ht="23.85" hidden="false" customHeight="false" outlineLevel="0" collapsed="false">
      <c r="A4" s="3" t="s">
        <v>909</v>
      </c>
      <c r="B4" s="3" t="s">
        <v>910</v>
      </c>
      <c r="C4" s="3" t="s">
        <v>911</v>
      </c>
      <c r="D4" s="3" t="n">
        <f aca="false">COUNTIFS(07_IndicatorTags!$B$4:$B$79,A4)</f>
        <v>13</v>
      </c>
    </row>
    <row r="5" customFormat="false" ht="15" hidden="false" customHeight="false" outlineLevel="0" collapsed="false">
      <c r="A5" s="3" t="s">
        <v>647</v>
      </c>
      <c r="B5" s="3" t="s">
        <v>912</v>
      </c>
      <c r="C5" s="3" t="s">
        <v>913</v>
      </c>
      <c r="D5" s="3" t="n">
        <f aca="false">COUNTIFS(07_IndicatorTags!$B$4:$B$79,A5)</f>
        <v>11</v>
      </c>
    </row>
    <row r="6" customFormat="false" ht="15" hidden="false" customHeight="false" outlineLevel="0" collapsed="false">
      <c r="A6" s="3" t="s">
        <v>507</v>
      </c>
      <c r="B6" s="3" t="s">
        <v>914</v>
      </c>
      <c r="C6" s="3" t="s">
        <v>915</v>
      </c>
      <c r="D6" s="3" t="n">
        <f aca="false">COUNTIFS(07_IndicatorTags!$B$4:$B$79,A6)</f>
        <v>11</v>
      </c>
    </row>
    <row r="7" customFormat="false" ht="15" hidden="false" customHeight="false" outlineLevel="0" collapsed="false">
      <c r="A7" s="3" t="s">
        <v>705</v>
      </c>
      <c r="B7" s="3" t="s">
        <v>916</v>
      </c>
      <c r="C7" s="3" t="s">
        <v>917</v>
      </c>
      <c r="D7" s="3" t="n">
        <f aca="false">COUNTIFS(07_IndicatorTags!$B$4:$B$79,A7)</f>
        <v>8</v>
      </c>
    </row>
    <row r="8" customFormat="false" ht="15" hidden="false" customHeight="false" outlineLevel="0" collapsed="false">
      <c r="A8" s="3" t="s">
        <v>376</v>
      </c>
      <c r="B8" s="3" t="s">
        <v>918</v>
      </c>
      <c r="C8" s="3" t="s">
        <v>919</v>
      </c>
      <c r="D8" s="3" t="n">
        <f aca="false">COUNTIFS(07_IndicatorTags!$B$4:$B$79,A8)</f>
        <v>20</v>
      </c>
    </row>
    <row r="9" customFormat="false" ht="15" hidden="false" customHeight="false" outlineLevel="0" collapsed="false">
      <c r="A9" s="3" t="s">
        <v>484</v>
      </c>
      <c r="B9" s="3" t="s">
        <v>920</v>
      </c>
      <c r="C9" s="3" t="s">
        <v>921</v>
      </c>
      <c r="D9" s="3" t="n">
        <f aca="false">COUNTIFS(07_IndicatorTags!$B$4:$B$79,A9)</f>
        <v>3</v>
      </c>
    </row>
    <row r="10" customFormat="false" ht="15" hidden="false" customHeight="false" outlineLevel="0" collapsed="false">
      <c r="A10" s="3" t="s">
        <v>623</v>
      </c>
      <c r="B10" s="3" t="s">
        <v>922</v>
      </c>
      <c r="C10" s="3" t="s">
        <v>923</v>
      </c>
      <c r="D10" s="3" t="n">
        <f aca="false">COUNTIFS(07_IndicatorTags!$B$4:$B$79,A10)</f>
        <v>5</v>
      </c>
    </row>
    <row r="11" customFormat="false" ht="15" hidden="false" customHeight="false" outlineLevel="0" collapsed="false">
      <c r="A11" s="3" t="s">
        <v>441</v>
      </c>
      <c r="B11" s="3" t="s">
        <v>924</v>
      </c>
      <c r="C11" s="3" t="s">
        <v>925</v>
      </c>
      <c r="D11" s="3" t="n">
        <f aca="false">COUNTIFS(07_IndicatorTags!$B$4:$B$79,A11)</f>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32"/>
  </cols>
  <sheetData>
    <row r="1" customFormat="false" ht="15" hidden="false" customHeight="false" outlineLevel="0" collapsed="false">
      <c r="A1" s="5" t="s">
        <v>926</v>
      </c>
    </row>
    <row r="3" customFormat="false" ht="30" hidden="false" customHeight="true" outlineLevel="0" collapsed="false">
      <c r="A3" s="6" t="s">
        <v>224</v>
      </c>
      <c r="B3" s="6" t="s">
        <v>907</v>
      </c>
      <c r="C3" s="6" t="s">
        <v>908</v>
      </c>
    </row>
    <row r="4" customFormat="false" ht="15" hidden="false" customHeight="false" outlineLevel="0" collapsed="false">
      <c r="A4" s="3" t="s">
        <v>247</v>
      </c>
      <c r="B4" s="3" t="s">
        <v>507</v>
      </c>
      <c r="C4" s="3" t="s">
        <v>914</v>
      </c>
    </row>
    <row r="5" customFormat="false" ht="15" hidden="false" customHeight="false" outlineLevel="0" collapsed="false">
      <c r="A5" s="3" t="s">
        <v>247</v>
      </c>
      <c r="B5" s="3" t="s">
        <v>705</v>
      </c>
      <c r="C5" s="3" t="s">
        <v>916</v>
      </c>
    </row>
    <row r="6" customFormat="false" ht="15" hidden="false" customHeight="false" outlineLevel="0" collapsed="false">
      <c r="A6" s="3" t="s">
        <v>304</v>
      </c>
      <c r="B6" s="3" t="s">
        <v>507</v>
      </c>
      <c r="C6" s="3" t="s">
        <v>914</v>
      </c>
    </row>
    <row r="7" customFormat="false" ht="15" hidden="false" customHeight="false" outlineLevel="0" collapsed="false">
      <c r="A7" s="3" t="s">
        <v>304</v>
      </c>
      <c r="B7" s="3" t="s">
        <v>705</v>
      </c>
      <c r="C7" s="3" t="s">
        <v>916</v>
      </c>
    </row>
    <row r="8" customFormat="false" ht="15" hidden="false" customHeight="false" outlineLevel="0" collapsed="false">
      <c r="A8" s="3" t="s">
        <v>311</v>
      </c>
      <c r="B8" s="3" t="s">
        <v>507</v>
      </c>
      <c r="C8" s="3" t="s">
        <v>914</v>
      </c>
    </row>
    <row r="9" customFormat="false" ht="15" hidden="false" customHeight="false" outlineLevel="0" collapsed="false">
      <c r="A9" s="3" t="s">
        <v>311</v>
      </c>
      <c r="B9" s="3" t="s">
        <v>705</v>
      </c>
      <c r="C9" s="3" t="s">
        <v>916</v>
      </c>
    </row>
    <row r="10" customFormat="false" ht="15" hidden="false" customHeight="false" outlineLevel="0" collapsed="false">
      <c r="A10" s="3" t="s">
        <v>325</v>
      </c>
      <c r="B10" s="3" t="s">
        <v>909</v>
      </c>
      <c r="C10" s="3" t="s">
        <v>910</v>
      </c>
    </row>
    <row r="11" customFormat="false" ht="15" hidden="false" customHeight="false" outlineLevel="0" collapsed="false">
      <c r="A11" s="3" t="s">
        <v>325</v>
      </c>
      <c r="B11" s="3" t="s">
        <v>647</v>
      </c>
      <c r="C11" s="3" t="s">
        <v>912</v>
      </c>
    </row>
    <row r="12" customFormat="false" ht="15" hidden="false" customHeight="false" outlineLevel="0" collapsed="false">
      <c r="A12" s="3" t="s">
        <v>325</v>
      </c>
      <c r="B12" s="3" t="s">
        <v>376</v>
      </c>
      <c r="C12" s="3" t="s">
        <v>918</v>
      </c>
    </row>
    <row r="13" customFormat="false" ht="15" hidden="false" customHeight="false" outlineLevel="0" collapsed="false">
      <c r="A13" s="3" t="s">
        <v>336</v>
      </c>
      <c r="B13" s="3" t="s">
        <v>909</v>
      </c>
      <c r="C13" s="3" t="s">
        <v>910</v>
      </c>
    </row>
    <row r="14" customFormat="false" ht="15" hidden="false" customHeight="false" outlineLevel="0" collapsed="false">
      <c r="A14" s="3" t="s">
        <v>336</v>
      </c>
      <c r="B14" s="3" t="s">
        <v>647</v>
      </c>
      <c r="C14" s="3" t="s">
        <v>912</v>
      </c>
    </row>
    <row r="15" customFormat="false" ht="15" hidden="false" customHeight="false" outlineLevel="0" collapsed="false">
      <c r="A15" s="3" t="s">
        <v>336</v>
      </c>
      <c r="B15" s="3" t="s">
        <v>376</v>
      </c>
      <c r="C15" s="3" t="s">
        <v>918</v>
      </c>
    </row>
    <row r="16" customFormat="false" ht="15" hidden="false" customHeight="false" outlineLevel="0" collapsed="false">
      <c r="A16" s="3" t="s">
        <v>343</v>
      </c>
      <c r="B16" s="3" t="s">
        <v>909</v>
      </c>
      <c r="C16" s="3" t="s">
        <v>910</v>
      </c>
    </row>
    <row r="17" customFormat="false" ht="15" hidden="false" customHeight="false" outlineLevel="0" collapsed="false">
      <c r="A17" s="3" t="s">
        <v>343</v>
      </c>
      <c r="B17" s="3" t="s">
        <v>647</v>
      </c>
      <c r="C17" s="3" t="s">
        <v>912</v>
      </c>
    </row>
    <row r="18" customFormat="false" ht="15" hidden="false" customHeight="false" outlineLevel="0" collapsed="false">
      <c r="A18" s="3" t="s">
        <v>343</v>
      </c>
      <c r="B18" s="3" t="s">
        <v>376</v>
      </c>
      <c r="C18" s="3" t="s">
        <v>918</v>
      </c>
    </row>
    <row r="19" customFormat="false" ht="15" hidden="false" customHeight="false" outlineLevel="0" collapsed="false">
      <c r="A19" s="3" t="s">
        <v>353</v>
      </c>
      <c r="B19" s="3" t="s">
        <v>909</v>
      </c>
      <c r="C19" s="3" t="s">
        <v>910</v>
      </c>
    </row>
    <row r="20" customFormat="false" ht="15" hidden="false" customHeight="false" outlineLevel="0" collapsed="false">
      <c r="A20" s="3" t="s">
        <v>353</v>
      </c>
      <c r="B20" s="3" t="s">
        <v>647</v>
      </c>
      <c r="C20" s="3" t="s">
        <v>912</v>
      </c>
    </row>
    <row r="21" customFormat="false" ht="15" hidden="false" customHeight="false" outlineLevel="0" collapsed="false">
      <c r="A21" s="3" t="s">
        <v>353</v>
      </c>
      <c r="B21" s="3" t="s">
        <v>376</v>
      </c>
      <c r="C21" s="3" t="s">
        <v>918</v>
      </c>
    </row>
    <row r="22" customFormat="false" ht="15" hidden="false" customHeight="false" outlineLevel="0" collapsed="false">
      <c r="A22" s="3" t="s">
        <v>360</v>
      </c>
      <c r="B22" s="3" t="s">
        <v>909</v>
      </c>
      <c r="C22" s="3" t="s">
        <v>910</v>
      </c>
    </row>
    <row r="23" customFormat="false" ht="15" hidden="false" customHeight="false" outlineLevel="0" collapsed="false">
      <c r="A23" s="3" t="s">
        <v>360</v>
      </c>
      <c r="B23" s="3" t="s">
        <v>376</v>
      </c>
      <c r="C23" s="3" t="s">
        <v>918</v>
      </c>
    </row>
    <row r="24" customFormat="false" ht="15" hidden="false" customHeight="false" outlineLevel="0" collapsed="false">
      <c r="A24" s="3" t="s">
        <v>371</v>
      </c>
      <c r="B24" s="3" t="s">
        <v>376</v>
      </c>
      <c r="C24" s="3" t="s">
        <v>918</v>
      </c>
    </row>
    <row r="25" customFormat="false" ht="15" hidden="false" customHeight="false" outlineLevel="0" collapsed="false">
      <c r="A25" s="3" t="s">
        <v>387</v>
      </c>
      <c r="B25" s="3" t="s">
        <v>376</v>
      </c>
      <c r="C25" s="3" t="s">
        <v>918</v>
      </c>
    </row>
    <row r="26" customFormat="false" ht="15" hidden="false" customHeight="false" outlineLevel="0" collapsed="false">
      <c r="A26" s="3" t="s">
        <v>396</v>
      </c>
      <c r="B26" s="3" t="s">
        <v>376</v>
      </c>
      <c r="C26" s="3" t="s">
        <v>918</v>
      </c>
    </row>
    <row r="27" customFormat="false" ht="15" hidden="false" customHeight="false" outlineLevel="0" collapsed="false">
      <c r="A27" s="3" t="s">
        <v>403</v>
      </c>
      <c r="B27" s="3" t="s">
        <v>376</v>
      </c>
      <c r="C27" s="3" t="s">
        <v>918</v>
      </c>
    </row>
    <row r="28" customFormat="false" ht="15" hidden="false" customHeight="false" outlineLevel="0" collapsed="false">
      <c r="A28" s="3" t="s">
        <v>403</v>
      </c>
      <c r="B28" s="3" t="s">
        <v>909</v>
      </c>
      <c r="C28" s="3" t="s">
        <v>910</v>
      </c>
    </row>
    <row r="29" customFormat="false" ht="15" hidden="false" customHeight="false" outlineLevel="0" collapsed="false">
      <c r="A29" s="3" t="s">
        <v>422</v>
      </c>
      <c r="B29" s="3" t="s">
        <v>376</v>
      </c>
      <c r="C29" s="3" t="s">
        <v>918</v>
      </c>
    </row>
    <row r="30" customFormat="false" ht="15" hidden="false" customHeight="false" outlineLevel="0" collapsed="false">
      <c r="A30" s="3" t="s">
        <v>428</v>
      </c>
      <c r="B30" s="3" t="s">
        <v>376</v>
      </c>
      <c r="C30" s="3" t="s">
        <v>918</v>
      </c>
    </row>
    <row r="31" customFormat="false" ht="15" hidden="false" customHeight="false" outlineLevel="0" collapsed="false">
      <c r="A31" s="3" t="s">
        <v>433</v>
      </c>
      <c r="B31" s="3" t="s">
        <v>441</v>
      </c>
      <c r="C31" s="3" t="s">
        <v>924</v>
      </c>
    </row>
    <row r="32" customFormat="false" ht="15" hidden="false" customHeight="false" outlineLevel="0" collapsed="false">
      <c r="A32" s="3" t="s">
        <v>451</v>
      </c>
      <c r="B32" s="3" t="s">
        <v>909</v>
      </c>
      <c r="C32" s="3" t="s">
        <v>910</v>
      </c>
    </row>
    <row r="33" customFormat="false" ht="15" hidden="false" customHeight="false" outlineLevel="0" collapsed="false">
      <c r="A33" s="3" t="s">
        <v>451</v>
      </c>
      <c r="B33" s="3" t="s">
        <v>507</v>
      </c>
      <c r="C33" s="3" t="s">
        <v>914</v>
      </c>
    </row>
    <row r="34" customFormat="false" ht="15" hidden="false" customHeight="false" outlineLevel="0" collapsed="false">
      <c r="A34" s="3" t="s">
        <v>451</v>
      </c>
      <c r="B34" s="3" t="s">
        <v>705</v>
      </c>
      <c r="C34" s="3" t="s">
        <v>916</v>
      </c>
    </row>
    <row r="35" customFormat="false" ht="15" hidden="false" customHeight="false" outlineLevel="0" collapsed="false">
      <c r="A35" s="3" t="s">
        <v>459</v>
      </c>
      <c r="B35" s="3" t="s">
        <v>909</v>
      </c>
      <c r="C35" s="3" t="s">
        <v>910</v>
      </c>
    </row>
    <row r="36" customFormat="false" ht="15" hidden="false" customHeight="false" outlineLevel="0" collapsed="false">
      <c r="A36" s="3" t="s">
        <v>459</v>
      </c>
      <c r="B36" s="3" t="s">
        <v>507</v>
      </c>
      <c r="C36" s="3" t="s">
        <v>914</v>
      </c>
    </row>
    <row r="37" customFormat="false" ht="15" hidden="false" customHeight="false" outlineLevel="0" collapsed="false">
      <c r="A37" s="3" t="s">
        <v>459</v>
      </c>
      <c r="B37" s="3" t="s">
        <v>705</v>
      </c>
      <c r="C37" s="3" t="s">
        <v>916</v>
      </c>
    </row>
    <row r="38" customFormat="false" ht="15" hidden="false" customHeight="false" outlineLevel="0" collapsed="false">
      <c r="A38" s="3" t="s">
        <v>466</v>
      </c>
      <c r="B38" s="3" t="s">
        <v>909</v>
      </c>
      <c r="C38" s="3" t="s">
        <v>910</v>
      </c>
    </row>
    <row r="39" customFormat="false" ht="15" hidden="false" customHeight="false" outlineLevel="0" collapsed="false">
      <c r="A39" s="3" t="s">
        <v>466</v>
      </c>
      <c r="B39" s="3" t="s">
        <v>376</v>
      </c>
      <c r="C39" s="3" t="s">
        <v>918</v>
      </c>
    </row>
    <row r="40" customFormat="false" ht="15" hidden="false" customHeight="false" outlineLevel="0" collapsed="false">
      <c r="A40" s="3" t="s">
        <v>477</v>
      </c>
      <c r="B40" s="3" t="s">
        <v>484</v>
      </c>
      <c r="C40" s="3" t="s">
        <v>920</v>
      </c>
    </row>
    <row r="41" customFormat="false" ht="15" hidden="false" customHeight="false" outlineLevel="0" collapsed="false">
      <c r="A41" s="3" t="s">
        <v>486</v>
      </c>
      <c r="B41" s="3" t="s">
        <v>376</v>
      </c>
      <c r="C41" s="3" t="s">
        <v>918</v>
      </c>
    </row>
    <row r="42" customFormat="false" ht="15" hidden="false" customHeight="false" outlineLevel="0" collapsed="false">
      <c r="A42" s="3" t="s">
        <v>500</v>
      </c>
      <c r="B42" s="3" t="s">
        <v>507</v>
      </c>
      <c r="C42" s="3" t="s">
        <v>914</v>
      </c>
    </row>
    <row r="43" customFormat="false" ht="15" hidden="false" customHeight="false" outlineLevel="0" collapsed="false">
      <c r="A43" s="3" t="s">
        <v>515</v>
      </c>
      <c r="B43" s="3" t="s">
        <v>376</v>
      </c>
      <c r="C43" s="3" t="s">
        <v>918</v>
      </c>
    </row>
    <row r="44" customFormat="false" ht="15" hidden="false" customHeight="false" outlineLevel="0" collapsed="false">
      <c r="A44" s="3" t="s">
        <v>523</v>
      </c>
      <c r="B44" s="3" t="s">
        <v>376</v>
      </c>
      <c r="C44" s="3" t="s">
        <v>918</v>
      </c>
    </row>
    <row r="45" customFormat="false" ht="15" hidden="false" customHeight="false" outlineLevel="0" collapsed="false">
      <c r="A45" s="3" t="s">
        <v>536</v>
      </c>
      <c r="B45" s="3" t="s">
        <v>376</v>
      </c>
      <c r="C45" s="3" t="s">
        <v>918</v>
      </c>
    </row>
    <row r="46" customFormat="false" ht="15" hidden="false" customHeight="false" outlineLevel="0" collapsed="false">
      <c r="A46" s="3" t="s">
        <v>543</v>
      </c>
      <c r="B46" s="3" t="s">
        <v>507</v>
      </c>
      <c r="C46" s="3" t="s">
        <v>914</v>
      </c>
    </row>
    <row r="47" customFormat="false" ht="15" hidden="false" customHeight="false" outlineLevel="0" collapsed="false">
      <c r="A47" s="3" t="s">
        <v>543</v>
      </c>
      <c r="B47" s="3" t="s">
        <v>705</v>
      </c>
      <c r="C47" s="3" t="s">
        <v>916</v>
      </c>
    </row>
    <row r="48" customFormat="false" ht="15" hidden="false" customHeight="false" outlineLevel="0" collapsed="false">
      <c r="A48" s="3" t="s">
        <v>581</v>
      </c>
      <c r="B48" s="3" t="s">
        <v>647</v>
      </c>
      <c r="C48" s="3" t="s">
        <v>912</v>
      </c>
    </row>
    <row r="49" customFormat="false" ht="15" hidden="false" customHeight="false" outlineLevel="0" collapsed="false">
      <c r="A49" s="3" t="s">
        <v>581</v>
      </c>
      <c r="B49" s="3" t="s">
        <v>376</v>
      </c>
      <c r="C49" s="3" t="s">
        <v>918</v>
      </c>
    </row>
    <row r="50" customFormat="false" ht="15" hidden="false" customHeight="false" outlineLevel="0" collapsed="false">
      <c r="A50" s="3" t="s">
        <v>590</v>
      </c>
      <c r="B50" s="3" t="s">
        <v>909</v>
      </c>
      <c r="C50" s="3" t="s">
        <v>910</v>
      </c>
    </row>
    <row r="51" customFormat="false" ht="15" hidden="false" customHeight="false" outlineLevel="0" collapsed="false">
      <c r="A51" s="3" t="s">
        <v>590</v>
      </c>
      <c r="B51" s="3" t="s">
        <v>647</v>
      </c>
      <c r="C51" s="3" t="s">
        <v>912</v>
      </c>
    </row>
    <row r="52" customFormat="false" ht="15" hidden="false" customHeight="false" outlineLevel="0" collapsed="false">
      <c r="A52" s="3" t="s">
        <v>590</v>
      </c>
      <c r="B52" s="3" t="s">
        <v>376</v>
      </c>
      <c r="C52" s="3" t="s">
        <v>918</v>
      </c>
    </row>
    <row r="53" customFormat="false" ht="15" hidden="false" customHeight="false" outlineLevel="0" collapsed="false">
      <c r="A53" s="3" t="s">
        <v>597</v>
      </c>
      <c r="B53" s="3" t="s">
        <v>909</v>
      </c>
      <c r="C53" s="3" t="s">
        <v>910</v>
      </c>
    </row>
    <row r="54" customFormat="false" ht="15" hidden="false" customHeight="false" outlineLevel="0" collapsed="false">
      <c r="A54" s="3" t="s">
        <v>597</v>
      </c>
      <c r="B54" s="3" t="s">
        <v>647</v>
      </c>
      <c r="C54" s="3" t="s">
        <v>912</v>
      </c>
    </row>
    <row r="55" customFormat="false" ht="15" hidden="false" customHeight="false" outlineLevel="0" collapsed="false">
      <c r="A55" s="3" t="s">
        <v>597</v>
      </c>
      <c r="B55" s="3" t="s">
        <v>376</v>
      </c>
      <c r="C55" s="3" t="s">
        <v>918</v>
      </c>
    </row>
    <row r="56" customFormat="false" ht="15" hidden="false" customHeight="false" outlineLevel="0" collapsed="false">
      <c r="A56" s="3" t="s">
        <v>618</v>
      </c>
      <c r="B56" s="3" t="s">
        <v>623</v>
      </c>
      <c r="C56" s="3" t="s">
        <v>922</v>
      </c>
    </row>
    <row r="57" customFormat="false" ht="15" hidden="false" customHeight="false" outlineLevel="0" collapsed="false">
      <c r="A57" s="3" t="s">
        <v>627</v>
      </c>
      <c r="B57" s="3" t="s">
        <v>623</v>
      </c>
      <c r="C57" s="3" t="s">
        <v>922</v>
      </c>
    </row>
    <row r="58" customFormat="false" ht="15" hidden="false" customHeight="false" outlineLevel="0" collapsed="false">
      <c r="A58" s="3" t="s">
        <v>642</v>
      </c>
      <c r="B58" s="3" t="s">
        <v>647</v>
      </c>
      <c r="C58" s="3" t="s">
        <v>912</v>
      </c>
    </row>
    <row r="59" customFormat="false" ht="15" hidden="false" customHeight="false" outlineLevel="0" collapsed="false">
      <c r="A59" s="3" t="s">
        <v>650</v>
      </c>
      <c r="B59" s="3" t="s">
        <v>623</v>
      </c>
      <c r="C59" s="3" t="s">
        <v>922</v>
      </c>
    </row>
    <row r="60" customFormat="false" ht="15" hidden="false" customHeight="false" outlineLevel="0" collapsed="false">
      <c r="A60" s="3" t="s">
        <v>650</v>
      </c>
      <c r="B60" s="3" t="s">
        <v>647</v>
      </c>
      <c r="C60" s="3" t="s">
        <v>912</v>
      </c>
    </row>
    <row r="61" customFormat="false" ht="15" hidden="false" customHeight="false" outlineLevel="0" collapsed="false">
      <c r="A61" s="3" t="s">
        <v>658</v>
      </c>
      <c r="B61" s="3" t="s">
        <v>623</v>
      </c>
      <c r="C61" s="3" t="s">
        <v>922</v>
      </c>
    </row>
    <row r="62" customFormat="false" ht="15" hidden="false" customHeight="false" outlineLevel="0" collapsed="false">
      <c r="A62" s="3" t="s">
        <v>658</v>
      </c>
      <c r="B62" s="3" t="s">
        <v>647</v>
      </c>
      <c r="C62" s="3" t="s">
        <v>912</v>
      </c>
    </row>
    <row r="63" customFormat="false" ht="15" hidden="false" customHeight="false" outlineLevel="0" collapsed="false">
      <c r="A63" s="3" t="s">
        <v>668</v>
      </c>
      <c r="B63" s="3" t="s">
        <v>441</v>
      </c>
      <c r="C63" s="3" t="s">
        <v>924</v>
      </c>
    </row>
    <row r="64" customFormat="false" ht="15" hidden="false" customHeight="false" outlineLevel="0" collapsed="false">
      <c r="A64" s="3" t="s">
        <v>668</v>
      </c>
      <c r="B64" s="3" t="s">
        <v>484</v>
      </c>
      <c r="C64" s="3" t="s">
        <v>920</v>
      </c>
    </row>
    <row r="65" customFormat="false" ht="15" hidden="false" customHeight="false" outlineLevel="0" collapsed="false">
      <c r="A65" s="3" t="s">
        <v>668</v>
      </c>
      <c r="B65" s="3" t="s">
        <v>909</v>
      </c>
      <c r="C65" s="3" t="s">
        <v>910</v>
      </c>
    </row>
    <row r="66" customFormat="false" ht="15" hidden="false" customHeight="false" outlineLevel="0" collapsed="false">
      <c r="A66" s="3" t="s">
        <v>680</v>
      </c>
      <c r="B66" s="3" t="s">
        <v>441</v>
      </c>
      <c r="C66" s="3" t="s">
        <v>924</v>
      </c>
    </row>
    <row r="67" customFormat="false" ht="15" hidden="false" customHeight="false" outlineLevel="0" collapsed="false">
      <c r="A67" s="3" t="s">
        <v>680</v>
      </c>
      <c r="B67" s="3" t="s">
        <v>484</v>
      </c>
      <c r="C67" s="3" t="s">
        <v>920</v>
      </c>
    </row>
    <row r="68" customFormat="false" ht="15" hidden="false" customHeight="false" outlineLevel="0" collapsed="false">
      <c r="A68" s="3" t="s">
        <v>680</v>
      </c>
      <c r="B68" s="3" t="s">
        <v>376</v>
      </c>
      <c r="C68" s="3" t="s">
        <v>918</v>
      </c>
    </row>
    <row r="69" customFormat="false" ht="15" hidden="false" customHeight="false" outlineLevel="0" collapsed="false">
      <c r="A69" s="3" t="s">
        <v>680</v>
      </c>
      <c r="B69" s="3" t="s">
        <v>647</v>
      </c>
      <c r="C69" s="3" t="s">
        <v>912</v>
      </c>
    </row>
    <row r="70" customFormat="false" ht="15" hidden="false" customHeight="false" outlineLevel="0" collapsed="false">
      <c r="A70" s="3" t="s">
        <v>699</v>
      </c>
      <c r="B70" s="3" t="s">
        <v>705</v>
      </c>
      <c r="C70" s="3" t="s">
        <v>916</v>
      </c>
    </row>
    <row r="71" customFormat="false" ht="15" hidden="false" customHeight="false" outlineLevel="0" collapsed="false">
      <c r="A71" s="3" t="s">
        <v>707</v>
      </c>
      <c r="B71" s="3" t="s">
        <v>507</v>
      </c>
      <c r="C71" s="3" t="s">
        <v>914</v>
      </c>
    </row>
    <row r="72" customFormat="false" ht="15" hidden="false" customHeight="false" outlineLevel="0" collapsed="false">
      <c r="A72" s="3" t="s">
        <v>711</v>
      </c>
      <c r="B72" s="3" t="s">
        <v>441</v>
      </c>
      <c r="C72" s="3" t="s">
        <v>924</v>
      </c>
    </row>
    <row r="73" customFormat="false" ht="15" hidden="false" customHeight="false" outlineLevel="0" collapsed="false">
      <c r="A73" s="3" t="s">
        <v>711</v>
      </c>
      <c r="B73" s="3" t="s">
        <v>507</v>
      </c>
      <c r="C73" s="3" t="s">
        <v>914</v>
      </c>
    </row>
    <row r="74" customFormat="false" ht="15" hidden="false" customHeight="false" outlineLevel="0" collapsed="false">
      <c r="A74" s="3" t="s">
        <v>711</v>
      </c>
      <c r="B74" s="3" t="s">
        <v>705</v>
      </c>
      <c r="C74" s="3" t="s">
        <v>916</v>
      </c>
    </row>
    <row r="75" customFormat="false" ht="15" hidden="false" customHeight="false" outlineLevel="0" collapsed="false">
      <c r="A75" s="3" t="s">
        <v>711</v>
      </c>
      <c r="B75" s="3" t="s">
        <v>909</v>
      </c>
      <c r="C75" s="3" t="s">
        <v>910</v>
      </c>
    </row>
    <row r="76" customFormat="false" ht="15" hidden="false" customHeight="false" outlineLevel="0" collapsed="false">
      <c r="A76" s="3" t="s">
        <v>721</v>
      </c>
      <c r="B76" s="3" t="s">
        <v>441</v>
      </c>
      <c r="C76" s="3" t="s">
        <v>924</v>
      </c>
    </row>
    <row r="77" customFormat="false" ht="15" hidden="false" customHeight="false" outlineLevel="0" collapsed="false">
      <c r="A77" s="3" t="s">
        <v>721</v>
      </c>
      <c r="B77" s="3" t="s">
        <v>507</v>
      </c>
      <c r="C77" s="3" t="s">
        <v>914</v>
      </c>
    </row>
    <row r="78" customFormat="false" ht="15" hidden="false" customHeight="false" outlineLevel="0" collapsed="false">
      <c r="A78" s="3" t="s">
        <v>745</v>
      </c>
      <c r="B78" s="3" t="s">
        <v>623</v>
      </c>
      <c r="C78" s="3" t="s">
        <v>922</v>
      </c>
    </row>
    <row r="79" customFormat="false" ht="15" hidden="false" customHeight="false" outlineLevel="0" collapsed="false">
      <c r="A79" s="3" t="s">
        <v>745</v>
      </c>
      <c r="B79" s="3" t="s">
        <v>507</v>
      </c>
      <c r="C79" s="3" t="s">
        <v>914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4"/>
    <col collapsed="false" customWidth="true" hidden="false" outlineLevel="0" max="3" min="3" style="0" width="46"/>
    <col collapsed="false" customWidth="true" hidden="false" outlineLevel="0" max="4" min="4" style="0" width="14"/>
  </cols>
  <sheetData>
    <row r="1" customFormat="false" ht="15" hidden="false" customHeight="false" outlineLevel="0" collapsed="false">
      <c r="A1" s="5" t="s">
        <v>927</v>
      </c>
    </row>
    <row r="3" customFormat="false" ht="30" hidden="false" customHeight="true" outlineLevel="0" collapsed="false">
      <c r="A3" s="6" t="s">
        <v>232</v>
      </c>
      <c r="B3" s="6" t="s">
        <v>928</v>
      </c>
      <c r="C3" s="6" t="s">
        <v>64</v>
      </c>
      <c r="D3" s="6" t="s">
        <v>65</v>
      </c>
    </row>
    <row r="4" customFormat="false" ht="15" hidden="false" customHeight="false" outlineLevel="0" collapsed="false">
      <c r="A4" s="3" t="s">
        <v>253</v>
      </c>
      <c r="B4" s="3" t="n">
        <v>1</v>
      </c>
      <c r="C4" s="3" t="s">
        <v>929</v>
      </c>
      <c r="D4" s="3" t="n">
        <f aca="false">COUNTIFS(03_Indicators!$O$4:$O$70,A4)</f>
        <v>9</v>
      </c>
    </row>
    <row r="5" customFormat="false" ht="15" hidden="false" customHeight="false" outlineLevel="0" collapsed="false">
      <c r="A5" s="3" t="s">
        <v>330</v>
      </c>
      <c r="B5" s="3" t="n">
        <v>2</v>
      </c>
      <c r="C5" s="3" t="s">
        <v>929</v>
      </c>
      <c r="D5" s="3" t="n">
        <f aca="false">COUNTIFS(03_Indicators!$O$4:$O$70,A5)</f>
        <v>19</v>
      </c>
    </row>
    <row r="6" customFormat="false" ht="15" hidden="false" customHeight="false" outlineLevel="0" collapsed="false">
      <c r="A6" s="3" t="s">
        <v>674</v>
      </c>
      <c r="B6" s="3" t="n">
        <v>3</v>
      </c>
      <c r="C6" s="3" t="s">
        <v>929</v>
      </c>
      <c r="D6" s="3" t="n">
        <f aca="false">COUNTIFS(03_Indicators!$O$4:$O$70,A6)</f>
        <v>1</v>
      </c>
    </row>
    <row r="7" customFormat="false" ht="15" hidden="false" customHeight="false" outlineLevel="0" collapsed="false">
      <c r="A7" s="3" t="s">
        <v>438</v>
      </c>
      <c r="B7" s="3" t="n">
        <v>4</v>
      </c>
      <c r="C7" s="3" t="s">
        <v>929</v>
      </c>
      <c r="D7" s="3" t="n">
        <f aca="false">COUNTIFS(03_Indicators!$O$4:$O$70,A7)</f>
        <v>6</v>
      </c>
    </row>
    <row r="8" customFormat="false" ht="15" hidden="false" customHeight="false" outlineLevel="0" collapsed="false">
      <c r="A8" s="3" t="s">
        <v>270</v>
      </c>
      <c r="B8" s="3" t="n">
        <v>5</v>
      </c>
      <c r="C8" s="3" t="s">
        <v>929</v>
      </c>
      <c r="D8" s="3" t="n">
        <f aca="false">COUNTIFS(03_Indicators!$O$4:$O$70,A8)</f>
        <v>20</v>
      </c>
    </row>
    <row r="9" customFormat="false" ht="15" hidden="false" customHeight="false" outlineLevel="0" collapsed="false">
      <c r="A9" s="3" t="s">
        <v>577</v>
      </c>
      <c r="B9" s="3" t="n">
        <v>6</v>
      </c>
      <c r="C9" s="3" t="s">
        <v>929</v>
      </c>
      <c r="D9" s="3" t="n">
        <f aca="false">COUNTIFS(03_Indicators!$O$4:$O$70,A9)</f>
        <v>6</v>
      </c>
    </row>
    <row r="10" customFormat="false" ht="15" hidden="false" customHeight="false" outlineLevel="0" collapsed="false">
      <c r="A10" s="3" t="s">
        <v>384</v>
      </c>
      <c r="B10" s="3" t="n">
        <v>7</v>
      </c>
      <c r="C10" s="3" t="s">
        <v>930</v>
      </c>
      <c r="D10" s="3" t="n">
        <f aca="false">COUNTIFS(03_Indicators!$O$4:$O$70,A10)</f>
        <v>2</v>
      </c>
    </row>
    <row r="11" customFormat="false" ht="15" hidden="false" customHeight="false" outlineLevel="0" collapsed="false">
      <c r="A11" s="3" t="s">
        <v>742</v>
      </c>
      <c r="B11" s="3" t="n">
        <v>8</v>
      </c>
      <c r="C11" s="3" t="s">
        <v>931</v>
      </c>
      <c r="D11" s="3" t="n">
        <f aca="false">COUNTIFS(03_Indicators!$O$4:$O$70,A11)</f>
        <v>1</v>
      </c>
    </row>
    <row r="12" customFormat="false" ht="15" hidden="false" customHeight="false" outlineLevel="0" collapsed="false">
      <c r="A12" s="3" t="s">
        <v>491</v>
      </c>
      <c r="B12" s="3" t="n">
        <v>9</v>
      </c>
      <c r="C12" s="3" t="s">
        <v>932</v>
      </c>
      <c r="D12" s="3" t="n">
        <f aca="false">COUNTIFS(03_Indicators!$O$4:$O$70,A12)</f>
        <v>2</v>
      </c>
    </row>
    <row r="13" customFormat="false" ht="15" hidden="false" customHeight="false" outlineLevel="0" collapsed="false">
      <c r="A13" s="3" t="s">
        <v>481</v>
      </c>
      <c r="B13" s="3" t="n">
        <v>10</v>
      </c>
      <c r="C13" s="3" t="s">
        <v>933</v>
      </c>
      <c r="D13" s="3" t="n">
        <f aca="false">COUNTIFS(03_Indicators!$O$4:$O$70,A13)</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2"/>
    <col collapsed="false" customWidth="true" hidden="false" outlineLevel="0" max="4" min="4" style="0" width="80"/>
    <col collapsed="false" customWidth="true" hidden="false" outlineLevel="0" max="5" min="5" style="0" width="26"/>
    <col collapsed="false" customWidth="true" hidden="false" outlineLevel="0" max="6" min="6" style="0" width="12"/>
    <col collapsed="false" customWidth="true" hidden="false" outlineLevel="0" max="7" min="7" style="0" width="50"/>
  </cols>
  <sheetData>
    <row r="1" customFormat="false" ht="15" hidden="false" customHeight="false" outlineLevel="0" collapsed="false">
      <c r="A1" s="5" t="s">
        <v>934</v>
      </c>
    </row>
    <row r="3" customFormat="false" ht="30" hidden="false" customHeight="true" outlineLevel="0" collapsed="false">
      <c r="A3" s="6" t="s">
        <v>935</v>
      </c>
      <c r="B3" s="6" t="s">
        <v>936</v>
      </c>
      <c r="C3" s="6" t="s">
        <v>937</v>
      </c>
      <c r="D3" s="6" t="s">
        <v>938</v>
      </c>
      <c r="E3" s="6" t="s">
        <v>939</v>
      </c>
      <c r="F3" s="6" t="s">
        <v>940</v>
      </c>
      <c r="G3" s="6" t="s">
        <v>941</v>
      </c>
    </row>
    <row r="4" customFormat="false" ht="35.05" hidden="false" customHeight="false" outlineLevel="0" collapsed="false">
      <c r="A4" s="3" t="s">
        <v>251</v>
      </c>
      <c r="B4" s="3" t="s">
        <v>942</v>
      </c>
      <c r="C4" s="3" t="s">
        <v>282</v>
      </c>
      <c r="D4" s="3" t="s">
        <v>943</v>
      </c>
      <c r="E4" s="3" t="s">
        <v>277</v>
      </c>
      <c r="F4" s="3" t="s">
        <v>944</v>
      </c>
      <c r="G4" s="3"/>
    </row>
    <row r="5" customFormat="false" ht="35.05" hidden="false" customHeight="false" outlineLevel="0" collapsed="false">
      <c r="A5" s="3" t="s">
        <v>251</v>
      </c>
      <c r="B5" s="3" t="s">
        <v>942</v>
      </c>
      <c r="C5" s="3" t="s">
        <v>317</v>
      </c>
      <c r="D5" s="3" t="s">
        <v>945</v>
      </c>
      <c r="E5" s="3" t="s">
        <v>311</v>
      </c>
      <c r="F5" s="3" t="s">
        <v>944</v>
      </c>
      <c r="G5" s="3"/>
    </row>
    <row r="6" customFormat="false" ht="23.85" hidden="false" customHeight="false" outlineLevel="0" collapsed="false">
      <c r="A6" s="3" t="s">
        <v>251</v>
      </c>
      <c r="B6" s="3" t="s">
        <v>942</v>
      </c>
      <c r="C6" s="3" t="s">
        <v>946</v>
      </c>
      <c r="D6" s="3" t="s">
        <v>947</v>
      </c>
      <c r="E6" s="3" t="s">
        <v>297</v>
      </c>
      <c r="F6" s="3" t="s">
        <v>948</v>
      </c>
      <c r="G6" s="3" t="s">
        <v>949</v>
      </c>
    </row>
    <row r="7" customFormat="false" ht="57.45" hidden="false" customHeight="false" outlineLevel="0" collapsed="false">
      <c r="A7" s="3" t="s">
        <v>251</v>
      </c>
      <c r="B7" s="3" t="s">
        <v>942</v>
      </c>
      <c r="C7" s="3" t="s">
        <v>950</v>
      </c>
      <c r="D7" s="3" t="s">
        <v>951</v>
      </c>
      <c r="E7" s="3" t="s">
        <v>297</v>
      </c>
      <c r="F7" s="3" t="s">
        <v>944</v>
      </c>
      <c r="G7" s="3"/>
    </row>
    <row r="8" customFormat="false" ht="23.85" hidden="false" customHeight="false" outlineLevel="0" collapsed="false">
      <c r="A8" s="3" t="s">
        <v>251</v>
      </c>
      <c r="B8" s="3" t="s">
        <v>942</v>
      </c>
      <c r="C8" s="3" t="s">
        <v>952</v>
      </c>
      <c r="D8" s="3" t="s">
        <v>953</v>
      </c>
      <c r="E8" s="3" t="s">
        <v>256</v>
      </c>
      <c r="F8" s="3" t="s">
        <v>954</v>
      </c>
      <c r="G8" s="3" t="s">
        <v>955</v>
      </c>
    </row>
    <row r="9" customFormat="false" ht="23.85" hidden="false" customHeight="false" outlineLevel="0" collapsed="false">
      <c r="A9" s="3" t="s">
        <v>251</v>
      </c>
      <c r="B9" s="3" t="s">
        <v>942</v>
      </c>
      <c r="C9" s="3" t="s">
        <v>956</v>
      </c>
      <c r="D9" s="3" t="s">
        <v>957</v>
      </c>
      <c r="E9" s="3" t="s">
        <v>256</v>
      </c>
      <c r="F9" s="3" t="s">
        <v>954</v>
      </c>
      <c r="G9" s="3" t="s">
        <v>958</v>
      </c>
    </row>
    <row r="10" customFormat="false" ht="23.85" hidden="false" customHeight="false" outlineLevel="0" collapsed="false">
      <c r="A10" s="3" t="s">
        <v>251</v>
      </c>
      <c r="B10" s="3" t="s">
        <v>942</v>
      </c>
      <c r="C10" s="3" t="s">
        <v>959</v>
      </c>
      <c r="D10" s="3" t="s">
        <v>960</v>
      </c>
      <c r="E10" s="3" t="s">
        <v>256</v>
      </c>
      <c r="F10" s="3" t="s">
        <v>954</v>
      </c>
      <c r="G10" s="3" t="s">
        <v>961</v>
      </c>
    </row>
    <row r="11" customFormat="false" ht="35.05" hidden="false" customHeight="false" outlineLevel="0" collapsed="false">
      <c r="A11" s="3" t="s">
        <v>251</v>
      </c>
      <c r="B11" s="3" t="s">
        <v>962</v>
      </c>
      <c r="C11" s="3" t="s">
        <v>513</v>
      </c>
      <c r="D11" s="3" t="s">
        <v>963</v>
      </c>
      <c r="E11" s="3" t="s">
        <v>508</v>
      </c>
      <c r="F11" s="3" t="s">
        <v>944</v>
      </c>
      <c r="G11" s="3"/>
    </row>
    <row r="12" customFormat="false" ht="23.85" hidden="false" customHeight="false" outlineLevel="0" collapsed="false">
      <c r="A12" s="3" t="s">
        <v>251</v>
      </c>
      <c r="B12" s="3" t="s">
        <v>962</v>
      </c>
      <c r="C12" s="3" t="s">
        <v>964</v>
      </c>
      <c r="D12" s="3" t="s">
        <v>965</v>
      </c>
      <c r="E12" s="3" t="s">
        <v>515</v>
      </c>
      <c r="F12" s="3" t="s">
        <v>944</v>
      </c>
      <c r="G12" s="3" t="s">
        <v>966</v>
      </c>
    </row>
    <row r="13" customFormat="false" ht="23.85" hidden="false" customHeight="false" outlineLevel="0" collapsed="false">
      <c r="A13" s="3" t="s">
        <v>251</v>
      </c>
      <c r="B13" s="3" t="s">
        <v>962</v>
      </c>
      <c r="C13" s="3" t="s">
        <v>967</v>
      </c>
      <c r="D13" s="3" t="s">
        <v>968</v>
      </c>
      <c r="E13" s="3" t="s">
        <v>515</v>
      </c>
      <c r="F13" s="3" t="s">
        <v>948</v>
      </c>
      <c r="G13" s="3" t="s">
        <v>969</v>
      </c>
    </row>
    <row r="14" customFormat="false" ht="15" hidden="false" customHeight="false" outlineLevel="0" collapsed="false">
      <c r="A14" s="3" t="s">
        <v>251</v>
      </c>
      <c r="B14" s="3" t="s">
        <v>962</v>
      </c>
      <c r="C14" s="3" t="s">
        <v>534</v>
      </c>
      <c r="D14" s="3" t="s">
        <v>970</v>
      </c>
      <c r="E14" s="3" t="s">
        <v>530</v>
      </c>
      <c r="F14" s="3" t="s">
        <v>944</v>
      </c>
      <c r="G14" s="3"/>
    </row>
    <row r="15" customFormat="false" ht="15" hidden="false" customHeight="false" outlineLevel="0" collapsed="false">
      <c r="A15" s="3" t="s">
        <v>251</v>
      </c>
      <c r="B15" s="3" t="s">
        <v>962</v>
      </c>
      <c r="C15" s="3" t="s">
        <v>541</v>
      </c>
      <c r="D15" s="3" t="s">
        <v>971</v>
      </c>
      <c r="E15" s="3" t="s">
        <v>536</v>
      </c>
      <c r="F15" s="3" t="s">
        <v>944</v>
      </c>
      <c r="G15" s="3"/>
    </row>
    <row r="16" customFormat="false" ht="15" hidden="false" customHeight="false" outlineLevel="0" collapsed="false">
      <c r="A16" s="3" t="s">
        <v>251</v>
      </c>
      <c r="B16" s="3" t="s">
        <v>962</v>
      </c>
      <c r="C16" s="3" t="s">
        <v>972</v>
      </c>
      <c r="D16" s="3" t="s">
        <v>973</v>
      </c>
      <c r="E16" s="3" t="s">
        <v>572</v>
      </c>
      <c r="F16" s="3" t="s">
        <v>948</v>
      </c>
      <c r="G16" s="3" t="s">
        <v>974</v>
      </c>
    </row>
    <row r="17" customFormat="false" ht="23.85" hidden="false" customHeight="false" outlineLevel="0" collapsed="false">
      <c r="A17" s="3" t="s">
        <v>251</v>
      </c>
      <c r="B17" s="3" t="s">
        <v>962</v>
      </c>
      <c r="C17" s="3" t="s">
        <v>975</v>
      </c>
      <c r="D17" s="3" t="s">
        <v>976</v>
      </c>
      <c r="E17" s="3" t="s">
        <v>977</v>
      </c>
      <c r="F17" s="3" t="s">
        <v>944</v>
      </c>
      <c r="G17" s="3" t="s">
        <v>978</v>
      </c>
    </row>
    <row r="18" customFormat="false" ht="23.85" hidden="false" customHeight="false" outlineLevel="0" collapsed="false">
      <c r="A18" s="3" t="s">
        <v>251</v>
      </c>
      <c r="B18" s="3" t="s">
        <v>962</v>
      </c>
      <c r="C18" s="3" t="s">
        <v>549</v>
      </c>
      <c r="D18" s="3" t="s">
        <v>979</v>
      </c>
      <c r="E18" s="3" t="s">
        <v>543</v>
      </c>
      <c r="F18" s="3" t="s">
        <v>944</v>
      </c>
      <c r="G18" s="3"/>
    </row>
    <row r="19" customFormat="false" ht="23.85" hidden="false" customHeight="false" outlineLevel="0" collapsed="false">
      <c r="A19" s="3" t="s">
        <v>251</v>
      </c>
      <c r="B19" s="3" t="s">
        <v>962</v>
      </c>
      <c r="C19" s="3" t="s">
        <v>980</v>
      </c>
      <c r="D19" s="3" t="s">
        <v>981</v>
      </c>
      <c r="E19" s="3" t="s">
        <v>551</v>
      </c>
      <c r="F19" s="3" t="s">
        <v>944</v>
      </c>
      <c r="G19" s="3"/>
    </row>
    <row r="20" customFormat="false" ht="15" hidden="false" customHeight="false" outlineLevel="0" collapsed="false">
      <c r="A20" s="3" t="s">
        <v>251</v>
      </c>
      <c r="B20" s="3" t="s">
        <v>982</v>
      </c>
      <c r="C20" s="3" t="s">
        <v>274</v>
      </c>
      <c r="D20" s="3" t="s">
        <v>983</v>
      </c>
      <c r="E20" s="3" t="s">
        <v>265</v>
      </c>
      <c r="F20" s="3" t="s">
        <v>944</v>
      </c>
      <c r="G20" s="3" t="s">
        <v>984</v>
      </c>
    </row>
    <row r="21" customFormat="false" ht="15" hidden="false" customHeight="false" outlineLevel="0" collapsed="false">
      <c r="A21" s="3" t="s">
        <v>251</v>
      </c>
      <c r="B21" s="3" t="s">
        <v>982</v>
      </c>
      <c r="C21" s="3" t="s">
        <v>563</v>
      </c>
      <c r="D21" s="3" t="s">
        <v>985</v>
      </c>
      <c r="E21" s="3" t="s">
        <v>558</v>
      </c>
      <c r="F21" s="3" t="s">
        <v>944</v>
      </c>
      <c r="G21" s="3"/>
    </row>
    <row r="22" customFormat="false" ht="23.85" hidden="false" customHeight="false" outlineLevel="0" collapsed="false">
      <c r="A22" s="3" t="s">
        <v>251</v>
      </c>
      <c r="B22" s="3" t="s">
        <v>982</v>
      </c>
      <c r="C22" s="3" t="s">
        <v>528</v>
      </c>
      <c r="D22" s="3" t="s">
        <v>986</v>
      </c>
      <c r="E22" s="3" t="s">
        <v>523</v>
      </c>
      <c r="F22" s="3" t="s">
        <v>944</v>
      </c>
      <c r="G22" s="3"/>
    </row>
    <row r="23" customFormat="false" ht="15" hidden="false" customHeight="false" outlineLevel="0" collapsed="false">
      <c r="A23" s="3" t="s">
        <v>251</v>
      </c>
      <c r="B23" s="3" t="s">
        <v>982</v>
      </c>
      <c r="C23" s="3" t="s">
        <v>570</v>
      </c>
      <c r="D23" s="3" t="s">
        <v>987</v>
      </c>
      <c r="E23" s="3" t="s">
        <v>565</v>
      </c>
      <c r="F23" s="3" t="s">
        <v>944</v>
      </c>
      <c r="G23" s="3"/>
    </row>
    <row r="24" customFormat="false" ht="23.85" hidden="false" customHeight="false" outlineLevel="0" collapsed="false">
      <c r="A24" s="3" t="s">
        <v>251</v>
      </c>
      <c r="B24" s="3" t="s">
        <v>982</v>
      </c>
      <c r="C24" s="3" t="s">
        <v>988</v>
      </c>
      <c r="D24" s="3" t="s">
        <v>989</v>
      </c>
      <c r="E24" s="3" t="s">
        <v>990</v>
      </c>
      <c r="F24" s="3" t="s">
        <v>944</v>
      </c>
      <c r="G24" s="3" t="s">
        <v>991</v>
      </c>
    </row>
    <row r="25" customFormat="false" ht="23.85" hidden="false" customHeight="false" outlineLevel="0" collapsed="false">
      <c r="A25" s="3" t="s">
        <v>251</v>
      </c>
      <c r="B25" s="3" t="s">
        <v>992</v>
      </c>
      <c r="C25" s="3" t="s">
        <v>640</v>
      </c>
      <c r="D25" s="3" t="s">
        <v>993</v>
      </c>
      <c r="E25" s="3" t="s">
        <v>636</v>
      </c>
      <c r="F25" s="3" t="s">
        <v>944</v>
      </c>
      <c r="G25" s="3"/>
    </row>
    <row r="26" customFormat="false" ht="23.85" hidden="false" customHeight="false" outlineLevel="0" collapsed="false">
      <c r="A26" s="3" t="s">
        <v>251</v>
      </c>
      <c r="B26" s="3" t="s">
        <v>992</v>
      </c>
      <c r="C26" s="3" t="s">
        <v>588</v>
      </c>
      <c r="D26" s="3" t="s">
        <v>994</v>
      </c>
      <c r="E26" s="3" t="s">
        <v>581</v>
      </c>
      <c r="F26" s="3" t="s">
        <v>944</v>
      </c>
      <c r="G26" s="3"/>
    </row>
    <row r="27" customFormat="false" ht="23.85" hidden="false" customHeight="false" outlineLevel="0" collapsed="false">
      <c r="A27" s="3" t="s">
        <v>251</v>
      </c>
      <c r="B27" s="3" t="s">
        <v>992</v>
      </c>
      <c r="C27" s="3" t="s">
        <v>995</v>
      </c>
      <c r="D27" s="3" t="s">
        <v>996</v>
      </c>
      <c r="E27" s="3" t="s">
        <v>997</v>
      </c>
      <c r="F27" s="3" t="s">
        <v>944</v>
      </c>
      <c r="G27" s="3" t="s">
        <v>998</v>
      </c>
    </row>
    <row r="28" customFormat="false" ht="15" hidden="false" customHeight="false" outlineLevel="0" collapsed="false">
      <c r="A28" s="3" t="s">
        <v>251</v>
      </c>
      <c r="B28" s="3" t="s">
        <v>999</v>
      </c>
      <c r="C28" s="3" t="s">
        <v>1000</v>
      </c>
      <c r="D28" s="3" t="s">
        <v>1001</v>
      </c>
      <c r="E28" s="3" t="s">
        <v>325</v>
      </c>
      <c r="F28" s="3" t="s">
        <v>944</v>
      </c>
      <c r="G28" s="3" t="s">
        <v>1002</v>
      </c>
    </row>
    <row r="29" customFormat="false" ht="15" hidden="false" customHeight="false" outlineLevel="0" collapsed="false">
      <c r="A29" s="3" t="s">
        <v>251</v>
      </c>
      <c r="B29" s="3" t="s">
        <v>999</v>
      </c>
      <c r="C29" s="3" t="s">
        <v>1003</v>
      </c>
      <c r="D29" s="3" t="s">
        <v>1004</v>
      </c>
      <c r="E29" s="3" t="s">
        <v>336</v>
      </c>
      <c r="F29" s="3" t="s">
        <v>944</v>
      </c>
      <c r="G29" s="3" t="s">
        <v>1005</v>
      </c>
    </row>
    <row r="30" customFormat="false" ht="46.25" hidden="false" customHeight="false" outlineLevel="0" collapsed="false">
      <c r="A30" s="3" t="s">
        <v>251</v>
      </c>
      <c r="B30" s="3" t="s">
        <v>999</v>
      </c>
      <c r="C30" s="3" t="s">
        <v>1006</v>
      </c>
      <c r="D30" s="3" t="s">
        <v>1007</v>
      </c>
      <c r="E30" s="3" t="s">
        <v>1008</v>
      </c>
      <c r="F30" s="3" t="s">
        <v>944</v>
      </c>
      <c r="G30" s="3" t="s">
        <v>1009</v>
      </c>
    </row>
    <row r="31" customFormat="false" ht="15" hidden="false" customHeight="false" outlineLevel="0" collapsed="false">
      <c r="A31" s="3" t="s">
        <v>251</v>
      </c>
      <c r="B31" s="3" t="s">
        <v>1010</v>
      </c>
      <c r="C31" s="3" t="s">
        <v>377</v>
      </c>
      <c r="D31" s="3" t="s">
        <v>1011</v>
      </c>
      <c r="E31" s="3" t="s">
        <v>371</v>
      </c>
      <c r="F31" s="3" t="s">
        <v>944</v>
      </c>
      <c r="G31" s="3"/>
    </row>
    <row r="32" customFormat="false" ht="23.85" hidden="false" customHeight="false" outlineLevel="0" collapsed="false">
      <c r="A32" s="3" t="s">
        <v>251</v>
      </c>
      <c r="B32" s="3" t="s">
        <v>1010</v>
      </c>
      <c r="C32" s="3" t="s">
        <v>1012</v>
      </c>
      <c r="D32" s="3" t="s">
        <v>1013</v>
      </c>
      <c r="E32" s="3" t="s">
        <v>753</v>
      </c>
      <c r="F32" s="3" t="s">
        <v>948</v>
      </c>
      <c r="G32" s="3" t="s">
        <v>1014</v>
      </c>
    </row>
    <row r="33" customFormat="false" ht="57.45" hidden="false" customHeight="false" outlineLevel="0" collapsed="false">
      <c r="A33" s="3" t="s">
        <v>251</v>
      </c>
      <c r="B33" s="3" t="s">
        <v>1010</v>
      </c>
      <c r="C33" s="3" t="s">
        <v>351</v>
      </c>
      <c r="D33" s="3" t="s">
        <v>1015</v>
      </c>
      <c r="E33" s="3" t="s">
        <v>1016</v>
      </c>
      <c r="F33" s="3" t="s">
        <v>944</v>
      </c>
      <c r="G33" s="3" t="s">
        <v>1017</v>
      </c>
    </row>
    <row r="34" customFormat="false" ht="23.85" hidden="false" customHeight="false" outlineLevel="0" collapsed="false">
      <c r="A34" s="3" t="s">
        <v>251</v>
      </c>
      <c r="B34" s="3" t="s">
        <v>1010</v>
      </c>
      <c r="C34" s="3" t="s">
        <v>1018</v>
      </c>
      <c r="D34" s="3" t="s">
        <v>1019</v>
      </c>
      <c r="E34" s="3" t="s">
        <v>353</v>
      </c>
      <c r="F34" s="3" t="s">
        <v>944</v>
      </c>
      <c r="G34" s="3"/>
    </row>
    <row r="35" customFormat="false" ht="23.85" hidden="false" customHeight="false" outlineLevel="0" collapsed="false">
      <c r="A35" s="3" t="s">
        <v>251</v>
      </c>
      <c r="B35" s="3" t="s">
        <v>1010</v>
      </c>
      <c r="C35" s="3" t="s">
        <v>1020</v>
      </c>
      <c r="D35" s="3" t="s">
        <v>1021</v>
      </c>
      <c r="E35" s="3" t="s">
        <v>572</v>
      </c>
      <c r="F35" s="3" t="s">
        <v>944</v>
      </c>
      <c r="G35" s="3" t="s">
        <v>1022</v>
      </c>
    </row>
    <row r="36" customFormat="false" ht="23.85" hidden="false" customHeight="false" outlineLevel="0" collapsed="false">
      <c r="A36" s="3" t="s">
        <v>251</v>
      </c>
      <c r="B36" s="3" t="s">
        <v>1010</v>
      </c>
      <c r="C36" s="3" t="s">
        <v>1023</v>
      </c>
      <c r="D36" s="3" t="s">
        <v>1024</v>
      </c>
      <c r="E36" s="3" t="s">
        <v>753</v>
      </c>
      <c r="F36" s="3" t="s">
        <v>944</v>
      </c>
      <c r="G36" s="3"/>
    </row>
    <row r="37" customFormat="false" ht="15" hidden="false" customHeight="false" outlineLevel="0" collapsed="false">
      <c r="A37" s="3" t="s">
        <v>251</v>
      </c>
      <c r="B37" s="3" t="s">
        <v>1010</v>
      </c>
      <c r="C37" s="3" t="s">
        <v>369</v>
      </c>
      <c r="D37" s="3" t="s">
        <v>1025</v>
      </c>
      <c r="E37" s="3" t="s">
        <v>360</v>
      </c>
      <c r="F37" s="3" t="s">
        <v>944</v>
      </c>
      <c r="G37" s="3"/>
    </row>
    <row r="38" customFormat="false" ht="35.05" hidden="false" customHeight="false" outlineLevel="0" collapsed="false">
      <c r="A38" s="3" t="s">
        <v>347</v>
      </c>
      <c r="B38" s="3" t="s">
        <v>1026</v>
      </c>
      <c r="C38" s="3" t="s">
        <v>464</v>
      </c>
      <c r="D38" s="3" t="s">
        <v>1027</v>
      </c>
      <c r="E38" s="3" t="s">
        <v>459</v>
      </c>
      <c r="F38" s="3" t="s">
        <v>944</v>
      </c>
      <c r="G38" s="3"/>
    </row>
    <row r="39" customFormat="false" ht="35.05" hidden="false" customHeight="false" outlineLevel="0" collapsed="false">
      <c r="A39" s="3" t="s">
        <v>347</v>
      </c>
      <c r="B39" s="3" t="s">
        <v>1026</v>
      </c>
      <c r="C39" s="3" t="s">
        <v>1028</v>
      </c>
      <c r="D39" s="3" t="s">
        <v>1029</v>
      </c>
      <c r="E39" s="3" t="s">
        <v>256</v>
      </c>
      <c r="F39" s="3" t="s">
        <v>1030</v>
      </c>
      <c r="G39" s="3" t="s">
        <v>1031</v>
      </c>
    </row>
    <row r="40" customFormat="false" ht="23.85" hidden="false" customHeight="false" outlineLevel="0" collapsed="false">
      <c r="A40" s="3" t="s">
        <v>347</v>
      </c>
      <c r="B40" s="3" t="s">
        <v>1026</v>
      </c>
      <c r="C40" s="3" t="s">
        <v>1032</v>
      </c>
      <c r="D40" s="3" t="s">
        <v>1033</v>
      </c>
      <c r="E40" s="3" t="s">
        <v>729</v>
      </c>
      <c r="F40" s="3" t="s">
        <v>948</v>
      </c>
      <c r="G40" s="3" t="s">
        <v>1034</v>
      </c>
    </row>
    <row r="41" customFormat="false" ht="23.85" hidden="false" customHeight="false" outlineLevel="0" collapsed="false">
      <c r="A41" s="3" t="s">
        <v>347</v>
      </c>
      <c r="B41" s="3" t="s">
        <v>1026</v>
      </c>
      <c r="C41" s="3" t="s">
        <v>1035</v>
      </c>
      <c r="D41" s="3" t="s">
        <v>1036</v>
      </c>
      <c r="E41" s="3" t="s">
        <v>711</v>
      </c>
      <c r="F41" s="3" t="s">
        <v>944</v>
      </c>
      <c r="G41" s="3"/>
    </row>
    <row r="42" customFormat="false" ht="23.85" hidden="false" customHeight="false" outlineLevel="0" collapsed="false">
      <c r="A42" s="3" t="s">
        <v>347</v>
      </c>
      <c r="B42" s="3" t="s">
        <v>1037</v>
      </c>
      <c r="C42" s="3" t="s">
        <v>409</v>
      </c>
      <c r="D42" s="3" t="s">
        <v>1038</v>
      </c>
      <c r="E42" s="3" t="s">
        <v>403</v>
      </c>
      <c r="F42" s="3" t="s">
        <v>948</v>
      </c>
      <c r="G42" s="3" t="s">
        <v>1039</v>
      </c>
    </row>
    <row r="43" customFormat="false" ht="23.85" hidden="false" customHeight="false" outlineLevel="0" collapsed="false">
      <c r="A43" s="3" t="s">
        <v>347</v>
      </c>
      <c r="B43" s="3" t="s">
        <v>1037</v>
      </c>
      <c r="C43" s="3" t="s">
        <v>1040</v>
      </c>
      <c r="D43" s="3" t="s">
        <v>1041</v>
      </c>
      <c r="E43" s="3" t="s">
        <v>353</v>
      </c>
      <c r="F43" s="3" t="s">
        <v>948</v>
      </c>
      <c r="G43" s="3" t="s">
        <v>1042</v>
      </c>
    </row>
    <row r="44" customFormat="false" ht="35.05" hidden="false" customHeight="false" outlineLevel="0" collapsed="false">
      <c r="A44" s="3" t="s">
        <v>347</v>
      </c>
      <c r="B44" s="3" t="s">
        <v>1043</v>
      </c>
      <c r="C44" s="3" t="s">
        <v>1044</v>
      </c>
      <c r="D44" s="3" t="s">
        <v>1045</v>
      </c>
      <c r="E44" s="3" t="s">
        <v>551</v>
      </c>
      <c r="F44" s="3" t="s">
        <v>944</v>
      </c>
      <c r="G44" s="3"/>
    </row>
    <row r="45" customFormat="false" ht="35.05" hidden="false" customHeight="false" outlineLevel="0" collapsed="false">
      <c r="A45" s="3" t="s">
        <v>347</v>
      </c>
      <c r="B45" s="3" t="s">
        <v>1043</v>
      </c>
      <c r="C45" s="3" t="s">
        <v>309</v>
      </c>
      <c r="D45" s="3" t="s">
        <v>1046</v>
      </c>
      <c r="E45" s="3" t="s">
        <v>304</v>
      </c>
      <c r="F45" s="3" t="s">
        <v>944</v>
      </c>
      <c r="G45" s="3"/>
    </row>
    <row r="46" customFormat="false" ht="57.45" hidden="false" customHeight="false" outlineLevel="0" collapsed="false">
      <c r="A46" s="3" t="s">
        <v>347</v>
      </c>
      <c r="B46" s="3" t="s">
        <v>1043</v>
      </c>
      <c r="C46" s="3" t="s">
        <v>1047</v>
      </c>
      <c r="D46" s="3" t="s">
        <v>1048</v>
      </c>
      <c r="E46" s="3" t="s">
        <v>256</v>
      </c>
      <c r="F46" s="3" t="s">
        <v>1030</v>
      </c>
      <c r="G46" s="3" t="s">
        <v>1049</v>
      </c>
    </row>
    <row r="47" customFormat="false" ht="23.85" hidden="false" customHeight="false" outlineLevel="0" collapsed="false">
      <c r="A47" s="3" t="s">
        <v>347</v>
      </c>
      <c r="B47" s="3" t="s">
        <v>1043</v>
      </c>
      <c r="C47" s="3" t="s">
        <v>1050</v>
      </c>
      <c r="D47" s="3" t="s">
        <v>1051</v>
      </c>
      <c r="E47" s="3" t="s">
        <v>1052</v>
      </c>
      <c r="F47" s="3" t="s">
        <v>944</v>
      </c>
      <c r="G47" s="3" t="s">
        <v>1053</v>
      </c>
    </row>
    <row r="48" customFormat="false" ht="23.85" hidden="false" customHeight="false" outlineLevel="0" collapsed="false">
      <c r="A48" s="3" t="s">
        <v>347</v>
      </c>
      <c r="B48" s="3" t="s">
        <v>1054</v>
      </c>
      <c r="C48" s="3" t="s">
        <v>610</v>
      </c>
      <c r="D48" s="3" t="s">
        <v>1055</v>
      </c>
      <c r="E48" s="3" t="s">
        <v>604</v>
      </c>
      <c r="F48" s="3" t="s">
        <v>944</v>
      </c>
      <c r="G48" s="3"/>
    </row>
    <row r="49" customFormat="false" ht="15" hidden="false" customHeight="false" outlineLevel="0" collapsed="false">
      <c r="A49" s="3" t="s">
        <v>347</v>
      </c>
      <c r="B49" s="3" t="s">
        <v>1054</v>
      </c>
      <c r="C49" s="3" t="s">
        <v>1056</v>
      </c>
      <c r="D49" s="3" t="s">
        <v>1057</v>
      </c>
      <c r="E49" s="3" t="s">
        <v>256</v>
      </c>
      <c r="F49" s="3" t="s">
        <v>1030</v>
      </c>
      <c r="G49" s="3" t="s">
        <v>1058</v>
      </c>
    </row>
    <row r="50" customFormat="false" ht="23.85" hidden="false" customHeight="false" outlineLevel="0" collapsed="false">
      <c r="A50" s="3" t="s">
        <v>347</v>
      </c>
      <c r="B50" s="3" t="s">
        <v>1054</v>
      </c>
      <c r="C50" s="3" t="s">
        <v>616</v>
      </c>
      <c r="D50" s="3" t="s">
        <v>1059</v>
      </c>
      <c r="E50" s="3" t="s">
        <v>612</v>
      </c>
      <c r="F50" s="3" t="s">
        <v>944</v>
      </c>
      <c r="G50" s="3"/>
    </row>
    <row r="51" customFormat="false" ht="35.05" hidden="false" customHeight="false" outlineLevel="0" collapsed="false">
      <c r="A51" s="3" t="s">
        <v>347</v>
      </c>
      <c r="B51" s="3" t="s">
        <v>1054</v>
      </c>
      <c r="C51" s="3" t="s">
        <v>625</v>
      </c>
      <c r="D51" s="3" t="s">
        <v>1060</v>
      </c>
      <c r="E51" s="3" t="s">
        <v>618</v>
      </c>
      <c r="F51" s="3" t="s">
        <v>944</v>
      </c>
      <c r="G51" s="3"/>
    </row>
    <row r="52" customFormat="false" ht="23.85" hidden="false" customHeight="false" outlineLevel="0" collapsed="false">
      <c r="A52" s="3" t="s">
        <v>347</v>
      </c>
      <c r="B52" s="3" t="s">
        <v>1054</v>
      </c>
      <c r="C52" s="3" t="s">
        <v>1061</v>
      </c>
      <c r="D52" s="3" t="s">
        <v>1062</v>
      </c>
      <c r="E52" s="3" t="s">
        <v>627</v>
      </c>
      <c r="F52" s="3" t="s">
        <v>944</v>
      </c>
      <c r="G52" s="3"/>
    </row>
    <row r="53" customFormat="false" ht="23.85" hidden="false" customHeight="false" outlineLevel="0" collapsed="false">
      <c r="A53" s="3" t="s">
        <v>347</v>
      </c>
      <c r="B53" s="3" t="s">
        <v>1063</v>
      </c>
      <c r="C53" s="3" t="s">
        <v>1064</v>
      </c>
      <c r="D53" s="3" t="s">
        <v>1065</v>
      </c>
      <c r="E53" s="3" t="s">
        <v>1066</v>
      </c>
      <c r="F53" s="3" t="s">
        <v>944</v>
      </c>
      <c r="G53" s="3" t="s">
        <v>1067</v>
      </c>
    </row>
    <row r="54" customFormat="false" ht="23.85" hidden="false" customHeight="false" outlineLevel="0" collapsed="false">
      <c r="A54" s="3" t="s">
        <v>347</v>
      </c>
      <c r="B54" s="3" t="s">
        <v>1068</v>
      </c>
      <c r="C54" s="3" t="s">
        <v>394</v>
      </c>
      <c r="D54" s="3" t="s">
        <v>1069</v>
      </c>
      <c r="E54" s="3" t="s">
        <v>1070</v>
      </c>
      <c r="F54" s="3" t="s">
        <v>944</v>
      </c>
      <c r="G54" s="3"/>
    </row>
    <row r="55" customFormat="false" ht="23.85" hidden="false" customHeight="false" outlineLevel="0" collapsed="false">
      <c r="A55" s="3" t="s">
        <v>672</v>
      </c>
      <c r="B55" s="3" t="s">
        <v>1071</v>
      </c>
      <c r="C55" s="3" t="s">
        <v>1072</v>
      </c>
      <c r="D55" s="3" t="s">
        <v>1073</v>
      </c>
      <c r="E55" s="3" t="s">
        <v>680</v>
      </c>
      <c r="F55" s="3" t="s">
        <v>944</v>
      </c>
      <c r="G55" s="3"/>
    </row>
    <row r="56" customFormat="false" ht="23.85" hidden="false" customHeight="false" outlineLevel="0" collapsed="false">
      <c r="A56" s="3" t="s">
        <v>672</v>
      </c>
      <c r="B56" s="3" t="s">
        <v>1071</v>
      </c>
      <c r="C56" s="3" t="s">
        <v>1074</v>
      </c>
      <c r="D56" s="3" t="s">
        <v>1075</v>
      </c>
      <c r="E56" s="3" t="s">
        <v>1076</v>
      </c>
      <c r="F56" s="3" t="s">
        <v>1077</v>
      </c>
      <c r="G56" s="3" t="s">
        <v>1078</v>
      </c>
    </row>
    <row r="57" customFormat="false" ht="15" hidden="false" customHeight="false" outlineLevel="0" collapsed="false">
      <c r="A57" s="3" t="s">
        <v>672</v>
      </c>
      <c r="B57" s="3" t="s">
        <v>1079</v>
      </c>
      <c r="C57" s="3" t="s">
        <v>1072</v>
      </c>
      <c r="D57" s="3" t="s">
        <v>1080</v>
      </c>
      <c r="E57" s="3" t="s">
        <v>745</v>
      </c>
      <c r="F57" s="3" t="s">
        <v>944</v>
      </c>
      <c r="G57" s="3"/>
    </row>
    <row r="58" customFormat="false" ht="15" hidden="false" customHeight="false" outlineLevel="0" collapsed="false">
      <c r="A58" s="3" t="s">
        <v>672</v>
      </c>
      <c r="B58" s="3" t="s">
        <v>1079</v>
      </c>
      <c r="C58" s="3" t="s">
        <v>1074</v>
      </c>
      <c r="D58" s="3" t="s">
        <v>1081</v>
      </c>
      <c r="E58" s="3" t="s">
        <v>627</v>
      </c>
      <c r="F58" s="3" t="s">
        <v>948</v>
      </c>
      <c r="G58" s="3" t="s">
        <v>1082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40"/>
    <col collapsed="false" customWidth="true" hidden="false" outlineLevel="0" max="3" min="3" style="0" width="11"/>
    <col collapsed="false" customWidth="true" hidden="false" outlineLevel="0" max="4" min="4" style="0" width="28"/>
    <col collapsed="false" customWidth="true" hidden="false" outlineLevel="0" max="5" min="5" style="0" width="15"/>
    <col collapsed="false" customWidth="true" hidden="false" outlineLevel="0" max="6" min="6" style="0" width="44"/>
  </cols>
  <sheetData>
    <row r="1" customFormat="false" ht="15" hidden="false" customHeight="false" outlineLevel="0" collapsed="false">
      <c r="A1" s="5" t="s">
        <v>1083</v>
      </c>
    </row>
    <row r="2" customFormat="false" ht="15" hidden="false" customHeight="false" outlineLevel="0" collapsed="false">
      <c r="A2" s="16" t="s">
        <v>1084</v>
      </c>
    </row>
    <row r="3" customFormat="false" ht="30" hidden="false" customHeight="true" outlineLevel="0" collapsed="false">
      <c r="A3" s="6" t="s">
        <v>1085</v>
      </c>
      <c r="B3" s="6" t="s">
        <v>1086</v>
      </c>
      <c r="C3" s="6" t="s">
        <v>1087</v>
      </c>
      <c r="D3" s="6" t="s">
        <v>939</v>
      </c>
      <c r="E3" s="6" t="s">
        <v>940</v>
      </c>
      <c r="F3" s="6" t="s">
        <v>941</v>
      </c>
    </row>
    <row r="4" customFormat="false" ht="15" hidden="false" customHeight="false" outlineLevel="0" collapsed="false">
      <c r="A4" s="3" t="s">
        <v>1088</v>
      </c>
      <c r="B4" s="3" t="s">
        <v>83</v>
      </c>
      <c r="C4" s="3" t="n">
        <v>281</v>
      </c>
      <c r="D4" s="3" t="s">
        <v>256</v>
      </c>
      <c r="E4" s="3" t="s">
        <v>1089</v>
      </c>
      <c r="F4" s="3" t="s">
        <v>1090</v>
      </c>
    </row>
    <row r="5" customFormat="false" ht="15" hidden="false" customHeight="false" outlineLevel="0" collapsed="false">
      <c r="A5" s="3" t="s">
        <v>1091</v>
      </c>
      <c r="B5" s="3" t="s">
        <v>70</v>
      </c>
      <c r="C5" s="3" t="n">
        <v>134</v>
      </c>
      <c r="D5" s="3" t="s">
        <v>1092</v>
      </c>
      <c r="E5" s="3" t="s">
        <v>948</v>
      </c>
      <c r="F5" s="3" t="s">
        <v>1093</v>
      </c>
    </row>
    <row r="6" customFormat="false" ht="15" hidden="false" customHeight="false" outlineLevel="0" collapsed="false">
      <c r="A6" s="3" t="s">
        <v>1094</v>
      </c>
      <c r="B6" s="3" t="s">
        <v>70</v>
      </c>
      <c r="C6" s="3" t="n">
        <v>132</v>
      </c>
      <c r="D6" s="3" t="s">
        <v>291</v>
      </c>
      <c r="E6" s="3" t="s">
        <v>948</v>
      </c>
      <c r="F6" s="3"/>
    </row>
    <row r="7" customFormat="false" ht="15" hidden="false" customHeight="false" outlineLevel="0" collapsed="false">
      <c r="A7" s="3" t="s">
        <v>1095</v>
      </c>
      <c r="B7" s="3" t="s">
        <v>77</v>
      </c>
      <c r="C7" s="3" t="n">
        <v>109</v>
      </c>
      <c r="D7" s="3" t="s">
        <v>1096</v>
      </c>
      <c r="E7" s="3" t="s">
        <v>948</v>
      </c>
      <c r="F7" s="3" t="s">
        <v>1097</v>
      </c>
    </row>
    <row r="8" customFormat="false" ht="15" hidden="false" customHeight="false" outlineLevel="0" collapsed="false">
      <c r="A8" s="3" t="s">
        <v>1098</v>
      </c>
      <c r="B8" s="3" t="s">
        <v>1099</v>
      </c>
      <c r="C8" s="3" t="n">
        <v>101</v>
      </c>
      <c r="D8" s="3" t="s">
        <v>256</v>
      </c>
      <c r="E8" s="3" t="s">
        <v>1100</v>
      </c>
      <c r="F8" s="3" t="s">
        <v>1101</v>
      </c>
    </row>
    <row r="9" customFormat="false" ht="15" hidden="false" customHeight="false" outlineLevel="0" collapsed="false">
      <c r="A9" s="3" t="s">
        <v>1102</v>
      </c>
      <c r="B9" s="3" t="s">
        <v>94</v>
      </c>
      <c r="C9" s="3" t="n">
        <v>95</v>
      </c>
      <c r="D9" s="3" t="s">
        <v>1103</v>
      </c>
      <c r="E9" s="3" t="s">
        <v>948</v>
      </c>
      <c r="F9" s="3" t="s">
        <v>1104</v>
      </c>
    </row>
    <row r="10" customFormat="false" ht="15" hidden="false" customHeight="false" outlineLevel="0" collapsed="false">
      <c r="A10" s="3" t="s">
        <v>1105</v>
      </c>
      <c r="B10" s="3" t="s">
        <v>100</v>
      </c>
      <c r="C10" s="3" t="n">
        <v>84</v>
      </c>
      <c r="D10" s="3" t="s">
        <v>642</v>
      </c>
      <c r="E10" s="3" t="s">
        <v>944</v>
      </c>
      <c r="F10" s="3"/>
    </row>
    <row r="11" customFormat="false" ht="15" hidden="false" customHeight="false" outlineLevel="0" collapsed="false">
      <c r="A11" s="3" t="s">
        <v>1106</v>
      </c>
      <c r="B11" s="3" t="s">
        <v>89</v>
      </c>
      <c r="C11" s="3" t="n">
        <v>64</v>
      </c>
      <c r="D11" s="3" t="s">
        <v>508</v>
      </c>
      <c r="E11" s="3" t="s">
        <v>944</v>
      </c>
      <c r="F11" s="3"/>
    </row>
    <row r="12" customFormat="false" ht="15" hidden="false" customHeight="false" outlineLevel="0" collapsed="false">
      <c r="A12" s="3" t="s">
        <v>1107</v>
      </c>
      <c r="B12" s="3" t="s">
        <v>77</v>
      </c>
      <c r="C12" s="3" t="n">
        <v>62</v>
      </c>
      <c r="D12" s="3" t="s">
        <v>1108</v>
      </c>
      <c r="E12" s="3" t="s">
        <v>948</v>
      </c>
      <c r="F12" s="3" t="s">
        <v>1109</v>
      </c>
    </row>
    <row r="13" customFormat="false" ht="15" hidden="false" customHeight="false" outlineLevel="0" collapsed="false">
      <c r="A13" s="3" t="s">
        <v>1110</v>
      </c>
      <c r="B13" s="3" t="s">
        <v>70</v>
      </c>
      <c r="C13" s="3" t="n">
        <v>56</v>
      </c>
      <c r="D13" s="3" t="s">
        <v>291</v>
      </c>
      <c r="E13" s="3" t="s">
        <v>948</v>
      </c>
      <c r="F13" s="3"/>
    </row>
    <row r="14" customFormat="false" ht="15" hidden="false" customHeight="false" outlineLevel="0" collapsed="false">
      <c r="A14" s="3" t="s">
        <v>1111</v>
      </c>
      <c r="B14" s="3" t="s">
        <v>70</v>
      </c>
      <c r="C14" s="3" t="n">
        <v>35</v>
      </c>
      <c r="D14" s="3" t="s">
        <v>319</v>
      </c>
      <c r="E14" s="3" t="s">
        <v>944</v>
      </c>
      <c r="F14" s="3"/>
    </row>
    <row r="15" customFormat="false" ht="15" hidden="false" customHeight="false" outlineLevel="0" collapsed="false">
      <c r="A15" s="3" t="s">
        <v>1112</v>
      </c>
      <c r="B15" s="3" t="s">
        <v>106</v>
      </c>
      <c r="C15" s="3" t="n">
        <v>35</v>
      </c>
      <c r="D15" s="3" t="s">
        <v>689</v>
      </c>
      <c r="E15" s="3" t="s">
        <v>948</v>
      </c>
      <c r="F15" s="3"/>
    </row>
    <row r="16" customFormat="false" ht="15" hidden="false" customHeight="false" outlineLevel="0" collapsed="false">
      <c r="A16" s="3" t="s">
        <v>1113</v>
      </c>
      <c r="B16" s="3" t="s">
        <v>83</v>
      </c>
      <c r="C16" s="3" t="n">
        <v>35</v>
      </c>
      <c r="D16" s="3" t="s">
        <v>256</v>
      </c>
      <c r="E16" s="3" t="s">
        <v>1089</v>
      </c>
      <c r="F16" s="3"/>
    </row>
    <row r="17" customFormat="false" ht="15" hidden="false" customHeight="false" outlineLevel="0" collapsed="false">
      <c r="A17" s="3" t="s">
        <v>1114</v>
      </c>
      <c r="B17" s="3" t="s">
        <v>106</v>
      </c>
      <c r="C17" s="3" t="n">
        <v>33</v>
      </c>
      <c r="D17" s="3" t="s">
        <v>1115</v>
      </c>
      <c r="E17" s="3" t="s">
        <v>948</v>
      </c>
      <c r="F17" s="3"/>
    </row>
    <row r="18" customFormat="false" ht="15" hidden="false" customHeight="false" outlineLevel="0" collapsed="false">
      <c r="A18" s="3" t="s">
        <v>1116</v>
      </c>
      <c r="B18" s="3" t="s">
        <v>77</v>
      </c>
      <c r="C18" s="3" t="n">
        <v>33</v>
      </c>
      <c r="D18" s="3" t="s">
        <v>256</v>
      </c>
      <c r="E18" s="3" t="s">
        <v>1089</v>
      </c>
      <c r="F18" s="3"/>
    </row>
    <row r="19" customFormat="false" ht="15" hidden="false" customHeight="false" outlineLevel="0" collapsed="false">
      <c r="A19" s="3" t="s">
        <v>1117</v>
      </c>
      <c r="B19" s="3" t="s">
        <v>89</v>
      </c>
      <c r="C19" s="3" t="n">
        <v>26</v>
      </c>
      <c r="D19" s="3" t="s">
        <v>1118</v>
      </c>
      <c r="E19" s="3" t="s">
        <v>948</v>
      </c>
      <c r="F19" s="3" t="s">
        <v>1109</v>
      </c>
    </row>
    <row r="20" customFormat="false" ht="15" hidden="false" customHeight="false" outlineLevel="0" collapsed="false">
      <c r="A20" s="3" t="s">
        <v>1119</v>
      </c>
      <c r="B20" s="3" t="s">
        <v>77</v>
      </c>
      <c r="C20" s="3" t="n">
        <v>26</v>
      </c>
      <c r="D20" s="3" t="s">
        <v>1120</v>
      </c>
      <c r="E20" s="3" t="s">
        <v>948</v>
      </c>
      <c r="F20" s="3"/>
    </row>
    <row r="21" customFormat="false" ht="15" hidden="false" customHeight="false" outlineLevel="0" collapsed="false">
      <c r="A21" s="3" t="s">
        <v>1121</v>
      </c>
      <c r="B21" s="3" t="s">
        <v>83</v>
      </c>
      <c r="C21" s="3" t="n">
        <v>25</v>
      </c>
      <c r="D21" s="3" t="s">
        <v>1122</v>
      </c>
      <c r="E21" s="3" t="s">
        <v>948</v>
      </c>
      <c r="F21" s="3" t="s">
        <v>1097</v>
      </c>
    </row>
    <row r="22" customFormat="false" ht="15" hidden="false" customHeight="false" outlineLevel="0" collapsed="false">
      <c r="A22" s="3" t="s">
        <v>1123</v>
      </c>
      <c r="B22" s="3" t="s">
        <v>70</v>
      </c>
      <c r="C22" s="3" t="n">
        <v>23</v>
      </c>
      <c r="D22" s="3" t="s">
        <v>256</v>
      </c>
      <c r="E22" s="3" t="s">
        <v>1089</v>
      </c>
      <c r="F22" s="3"/>
    </row>
    <row r="23" customFormat="false" ht="15" hidden="false" customHeight="false" outlineLevel="0" collapsed="false">
      <c r="A23" s="3" t="s">
        <v>1124</v>
      </c>
      <c r="B23" s="3" t="s">
        <v>77</v>
      </c>
      <c r="C23" s="3" t="n">
        <v>15</v>
      </c>
      <c r="D23" s="3" t="s">
        <v>1125</v>
      </c>
      <c r="E23" s="3" t="s">
        <v>948</v>
      </c>
      <c r="F23" s="3"/>
    </row>
    <row r="24" customFormat="false" ht="15" hidden="false" customHeight="false" outlineLevel="0" collapsed="false">
      <c r="A24" s="3" t="s">
        <v>1126</v>
      </c>
      <c r="B24" s="3" t="s">
        <v>89</v>
      </c>
      <c r="C24" s="3" t="n">
        <v>14</v>
      </c>
      <c r="D24" s="3" t="s">
        <v>1127</v>
      </c>
      <c r="E24" s="3" t="s">
        <v>948</v>
      </c>
      <c r="F24" s="3"/>
    </row>
    <row r="25" customFormat="false" ht="15" hidden="false" customHeight="false" outlineLevel="0" collapsed="false">
      <c r="A25" s="3" t="s">
        <v>1128</v>
      </c>
      <c r="B25" s="3" t="s">
        <v>77</v>
      </c>
      <c r="C25" s="3" t="n">
        <v>11</v>
      </c>
      <c r="D25" s="3" t="s">
        <v>1129</v>
      </c>
      <c r="E25" s="3" t="s">
        <v>944</v>
      </c>
      <c r="F25" s="3"/>
    </row>
    <row r="26" customFormat="false" ht="15" hidden="false" customHeight="false" outlineLevel="0" collapsed="false">
      <c r="A26" s="3" t="s">
        <v>1130</v>
      </c>
      <c r="B26" s="3" t="s">
        <v>111</v>
      </c>
      <c r="C26" s="3" t="n">
        <v>10</v>
      </c>
      <c r="D26" s="3" t="s">
        <v>1131</v>
      </c>
      <c r="E26" s="3" t="s">
        <v>948</v>
      </c>
      <c r="F26" s="3"/>
    </row>
    <row r="27" customFormat="false" ht="15" hidden="false" customHeight="false" outlineLevel="0" collapsed="false">
      <c r="A27" s="3" t="s">
        <v>1132</v>
      </c>
      <c r="B27" s="3" t="s">
        <v>77</v>
      </c>
      <c r="C27" s="3" t="n">
        <v>10</v>
      </c>
      <c r="D27" s="3" t="s">
        <v>428</v>
      </c>
      <c r="E27" s="3" t="s">
        <v>948</v>
      </c>
      <c r="F27" s="3"/>
    </row>
    <row r="28" customFormat="false" ht="15" hidden="false" customHeight="false" outlineLevel="0" collapsed="false">
      <c r="A28" s="3" t="s">
        <v>1133</v>
      </c>
      <c r="B28" s="3" t="s">
        <v>70</v>
      </c>
      <c r="C28" s="3" t="n">
        <v>6</v>
      </c>
      <c r="D28" s="3" t="s">
        <v>1134</v>
      </c>
      <c r="E28" s="3" t="s">
        <v>948</v>
      </c>
      <c r="F28" s="3" t="s">
        <v>1135</v>
      </c>
    </row>
    <row r="29" customFormat="false" ht="15" hidden="false" customHeight="false" outlineLevel="0" collapsed="false">
      <c r="A29" s="3" t="s">
        <v>1136</v>
      </c>
      <c r="B29" s="3" t="s">
        <v>83</v>
      </c>
      <c r="C29" s="3" t="n">
        <v>5</v>
      </c>
      <c r="D29" s="3" t="s">
        <v>256</v>
      </c>
      <c r="E29" s="3" t="s">
        <v>1089</v>
      </c>
      <c r="F29" s="3"/>
    </row>
    <row r="30" customFormat="false" ht="15" hidden="false" customHeight="false" outlineLevel="0" collapsed="false">
      <c r="A30" s="3" t="s">
        <v>1137</v>
      </c>
      <c r="B30" s="3" t="s">
        <v>70</v>
      </c>
      <c r="C30" s="3" t="n">
        <v>5</v>
      </c>
      <c r="D30" s="3" t="s">
        <v>1138</v>
      </c>
      <c r="E30" s="3" t="s">
        <v>948</v>
      </c>
      <c r="F30" s="3"/>
    </row>
    <row r="31" customFormat="false" ht="15" hidden="false" customHeight="false" outlineLevel="0" collapsed="false">
      <c r="A31" s="3" t="s">
        <v>1139</v>
      </c>
      <c r="B31" s="3" t="s">
        <v>83</v>
      </c>
      <c r="C31" s="3" t="n">
        <v>4</v>
      </c>
      <c r="D31" s="3" t="s">
        <v>256</v>
      </c>
      <c r="E31" s="3" t="s">
        <v>1089</v>
      </c>
      <c r="F31" s="3"/>
    </row>
    <row r="32" customFormat="false" ht="15" hidden="false" customHeight="false" outlineLevel="0" collapsed="false">
      <c r="A32" s="3" t="s">
        <v>1140</v>
      </c>
      <c r="B32" s="3" t="s">
        <v>77</v>
      </c>
      <c r="C32" s="3" t="n">
        <v>3</v>
      </c>
      <c r="D32" s="3" t="s">
        <v>689</v>
      </c>
      <c r="E32" s="3" t="s">
        <v>948</v>
      </c>
      <c r="F32" s="3"/>
    </row>
    <row r="33" customFormat="false" ht="15" hidden="false" customHeight="false" outlineLevel="0" collapsed="false">
      <c r="A33" s="3" t="s">
        <v>1141</v>
      </c>
      <c r="B33" s="3" t="s">
        <v>100</v>
      </c>
      <c r="C33" s="3" t="n">
        <v>3</v>
      </c>
      <c r="D33" s="3" t="s">
        <v>256</v>
      </c>
      <c r="E33" s="3" t="s">
        <v>1089</v>
      </c>
      <c r="F33" s="3"/>
    </row>
    <row r="34" customFormat="false" ht="15" hidden="false" customHeight="false" outlineLevel="0" collapsed="false">
      <c r="A34" s="3" t="s">
        <v>1142</v>
      </c>
      <c r="B34" s="3" t="s">
        <v>94</v>
      </c>
      <c r="C34" s="3" t="n">
        <v>2</v>
      </c>
      <c r="D34" s="3" t="s">
        <v>1143</v>
      </c>
      <c r="E34" s="3" t="s">
        <v>948</v>
      </c>
      <c r="F34" s="3" t="s">
        <v>1144</v>
      </c>
    </row>
    <row r="35" customFormat="false" ht="15" hidden="false" customHeight="false" outlineLevel="0" collapsed="false">
      <c r="A35" s="3" t="s">
        <v>1145</v>
      </c>
      <c r="B35" s="3" t="s">
        <v>89</v>
      </c>
      <c r="C35" s="3" t="n">
        <v>2</v>
      </c>
      <c r="D35" s="3" t="s">
        <v>711</v>
      </c>
      <c r="E35" s="3" t="s">
        <v>944</v>
      </c>
      <c r="F35" s="3" t="s">
        <v>991</v>
      </c>
    </row>
    <row r="36" customFormat="false" ht="15" hidden="false" customHeight="false" outlineLevel="0" collapsed="false">
      <c r="A36" s="3" t="s">
        <v>1146</v>
      </c>
      <c r="B36" s="3" t="s">
        <v>100</v>
      </c>
      <c r="C36" s="3" t="n">
        <v>2</v>
      </c>
      <c r="D36" s="3" t="s">
        <v>668</v>
      </c>
      <c r="E36" s="3" t="s">
        <v>944</v>
      </c>
      <c r="F36" s="3"/>
    </row>
    <row r="37" customFormat="false" ht="15" hidden="false" customHeight="false" outlineLevel="0" collapsed="false">
      <c r="A37" s="3" t="s">
        <v>1147</v>
      </c>
      <c r="B37" s="3" t="s">
        <v>94</v>
      </c>
      <c r="C37" s="3" t="n">
        <v>1</v>
      </c>
      <c r="D37" s="3" t="s">
        <v>581</v>
      </c>
      <c r="E37" s="3" t="s">
        <v>948</v>
      </c>
      <c r="F37" s="3"/>
    </row>
    <row r="38" customFormat="false" ht="15" hidden="false" customHeight="false" outlineLevel="0" collapsed="false">
      <c r="A38" s="3" t="s">
        <v>1148</v>
      </c>
      <c r="B38" s="3" t="s">
        <v>94</v>
      </c>
      <c r="C38" s="3" t="n">
        <v>1</v>
      </c>
      <c r="D38" s="3" t="s">
        <v>597</v>
      </c>
      <c r="E38" s="3" t="s">
        <v>944</v>
      </c>
      <c r="F38" s="3"/>
    </row>
    <row r="39" customFormat="false" ht="15" hidden="false" customHeight="false" outlineLevel="0" collapsed="false">
      <c r="A39" s="3" t="s">
        <v>1149</v>
      </c>
      <c r="B39" s="3" t="s">
        <v>94</v>
      </c>
      <c r="C39" s="3" t="n">
        <v>1</v>
      </c>
      <c r="D39" s="3" t="s">
        <v>336</v>
      </c>
      <c r="E39" s="3" t="s">
        <v>948</v>
      </c>
      <c r="F39" s="3"/>
    </row>
    <row r="40" customFormat="false" ht="15" hidden="false" customHeight="false" outlineLevel="0" collapsed="false">
      <c r="A40" s="3" t="s">
        <v>1150</v>
      </c>
      <c r="B40" s="3" t="s">
        <v>94</v>
      </c>
      <c r="C40" s="3" t="n">
        <v>1</v>
      </c>
      <c r="D40" s="3" t="s">
        <v>486</v>
      </c>
      <c r="E40" s="3" t="s">
        <v>948</v>
      </c>
      <c r="F40" s="3"/>
    </row>
    <row r="41" customFormat="false" ht="15" hidden="false" customHeight="false" outlineLevel="0" collapsed="false">
      <c r="A41" s="3" t="s">
        <v>1151</v>
      </c>
      <c r="B41" s="3" t="s">
        <v>89</v>
      </c>
      <c r="C41" s="3" t="n">
        <v>1</v>
      </c>
      <c r="D41" s="3" t="s">
        <v>508</v>
      </c>
      <c r="E41" s="3" t="s">
        <v>948</v>
      </c>
      <c r="F41" s="3"/>
    </row>
    <row r="42" customFormat="false" ht="15" hidden="false" customHeight="false" outlineLevel="0" collapsed="false">
      <c r="A42" s="3" t="s">
        <v>1152</v>
      </c>
      <c r="B42" s="3" t="s">
        <v>89</v>
      </c>
      <c r="C42" s="3" t="n">
        <v>1</v>
      </c>
      <c r="D42" s="3" t="s">
        <v>265</v>
      </c>
      <c r="E42" s="3" t="s">
        <v>948</v>
      </c>
      <c r="F42" s="3"/>
    </row>
    <row r="43" customFormat="false" ht="15" hidden="false" customHeight="false" outlineLevel="0" collapsed="false">
      <c r="A43" s="3" t="s">
        <v>1153</v>
      </c>
      <c r="B43" s="3" t="s">
        <v>89</v>
      </c>
      <c r="C43" s="3" t="n">
        <v>1</v>
      </c>
      <c r="D43" s="3" t="s">
        <v>256</v>
      </c>
      <c r="E43" s="3" t="s">
        <v>1089</v>
      </c>
      <c r="F43" s="3"/>
    </row>
    <row r="44" customFormat="false" ht="15" hidden="false" customHeight="false" outlineLevel="0" collapsed="false">
      <c r="A44" s="3" t="s">
        <v>1154</v>
      </c>
      <c r="B44" s="3" t="s">
        <v>100</v>
      </c>
      <c r="C44" s="3" t="n">
        <v>1</v>
      </c>
      <c r="D44" s="3" t="s">
        <v>265</v>
      </c>
      <c r="E44" s="3" t="s">
        <v>948</v>
      </c>
      <c r="F44" s="3"/>
    </row>
    <row r="45" customFormat="false" ht="15" hidden="false" customHeight="false" outlineLevel="0" collapsed="false">
      <c r="A45" s="3" t="s">
        <v>1155</v>
      </c>
      <c r="B45" s="3" t="s">
        <v>100</v>
      </c>
      <c r="C45" s="3" t="n">
        <v>1</v>
      </c>
      <c r="D45" s="3" t="s">
        <v>642</v>
      </c>
      <c r="E45" s="3" t="s">
        <v>944</v>
      </c>
      <c r="F45" s="3"/>
    </row>
    <row r="46" customFormat="false" ht="15" hidden="false" customHeight="false" outlineLevel="0" collapsed="false">
      <c r="A46" s="3" t="s">
        <v>1156</v>
      </c>
      <c r="B46" s="3" t="s">
        <v>100</v>
      </c>
      <c r="C46" s="3" t="n">
        <v>1</v>
      </c>
      <c r="D46" s="3" t="s">
        <v>642</v>
      </c>
      <c r="E46" s="3" t="s">
        <v>948</v>
      </c>
      <c r="F46" s="3" t="s">
        <v>1157</v>
      </c>
    </row>
    <row r="47" customFormat="false" ht="15" hidden="false" customHeight="false" outlineLevel="0" collapsed="false">
      <c r="A47" s="3" t="s">
        <v>1158</v>
      </c>
      <c r="B47" s="3" t="s">
        <v>100</v>
      </c>
      <c r="C47" s="3" t="n">
        <v>1</v>
      </c>
      <c r="D47" s="3" t="s">
        <v>472</v>
      </c>
      <c r="E47" s="3" t="s">
        <v>948</v>
      </c>
      <c r="F47" s="3"/>
    </row>
    <row r="48" customFormat="false" ht="15" hidden="false" customHeight="false" outlineLevel="0" collapsed="false">
      <c r="A48" s="3" t="s">
        <v>1159</v>
      </c>
      <c r="B48" s="3" t="s">
        <v>100</v>
      </c>
      <c r="C48" s="3" t="n">
        <v>1</v>
      </c>
      <c r="D48" s="3" t="s">
        <v>256</v>
      </c>
      <c r="E48" s="3" t="s">
        <v>1089</v>
      </c>
      <c r="F48" s="3"/>
    </row>
    <row r="49" customFormat="false" ht="15" hidden="false" customHeight="false" outlineLevel="0" collapsed="false">
      <c r="A49" s="3" t="s">
        <v>1160</v>
      </c>
      <c r="B49" s="3" t="s">
        <v>77</v>
      </c>
      <c r="C49" s="3" t="n">
        <v>1</v>
      </c>
      <c r="D49" s="3" t="s">
        <v>265</v>
      </c>
      <c r="E49" s="3" t="s">
        <v>948</v>
      </c>
      <c r="F49" s="3"/>
    </row>
    <row r="50" customFormat="false" ht="15" hidden="false" customHeight="false" outlineLevel="0" collapsed="false">
      <c r="A50" s="3" t="s">
        <v>1161</v>
      </c>
      <c r="B50" s="3" t="s">
        <v>70</v>
      </c>
      <c r="C50" s="3" t="n">
        <v>1</v>
      </c>
      <c r="D50" s="3" t="s">
        <v>265</v>
      </c>
      <c r="E50" s="3" t="s">
        <v>948</v>
      </c>
      <c r="F50" s="3"/>
    </row>
    <row r="51" customFormat="false" ht="15" hidden="false" customHeight="false" outlineLevel="0" collapsed="false">
      <c r="A51" s="3" t="s">
        <v>1162</v>
      </c>
      <c r="B51" s="3" t="s">
        <v>89</v>
      </c>
      <c r="C51" s="3" t="n">
        <v>1</v>
      </c>
      <c r="D51" s="3" t="s">
        <v>1163</v>
      </c>
      <c r="E51" s="3" t="s">
        <v>948</v>
      </c>
      <c r="F51" s="3"/>
    </row>
    <row r="52" customFormat="false" ht="15" hidden="false" customHeight="false" outlineLevel="0" collapsed="false">
      <c r="A52" s="3" t="s">
        <v>1164</v>
      </c>
      <c r="B52" s="3" t="s">
        <v>70</v>
      </c>
      <c r="C52" s="3" t="n">
        <v>1</v>
      </c>
      <c r="D52" s="3" t="s">
        <v>247</v>
      </c>
      <c r="E52" s="3" t="s">
        <v>948</v>
      </c>
      <c r="F52" s="3" t="s">
        <v>1165</v>
      </c>
    </row>
    <row r="53" customFormat="false" ht="15" hidden="false" customHeight="false" outlineLevel="0" collapsed="false">
      <c r="A53" s="3" t="s">
        <v>1166</v>
      </c>
      <c r="B53" s="3" t="s">
        <v>89</v>
      </c>
      <c r="C53" s="3" t="n">
        <v>1</v>
      </c>
      <c r="D53" s="3" t="s">
        <v>277</v>
      </c>
      <c r="E53" s="3" t="s">
        <v>948</v>
      </c>
      <c r="F53" s="3"/>
    </row>
    <row r="54" customFormat="false" ht="15" hidden="false" customHeight="false" outlineLevel="0" collapsed="false">
      <c r="A54" s="3" t="s">
        <v>1167</v>
      </c>
      <c r="B54" s="3" t="s">
        <v>94</v>
      </c>
      <c r="C54" s="3" t="n">
        <v>1</v>
      </c>
      <c r="D54" s="3" t="s">
        <v>265</v>
      </c>
      <c r="E54" s="3" t="s">
        <v>948</v>
      </c>
      <c r="F54" s="3"/>
    </row>
    <row r="55" customFormat="false" ht="15" hidden="false" customHeight="false" outlineLevel="0" collapsed="false">
      <c r="A55" s="3" t="s">
        <v>1168</v>
      </c>
      <c r="B55" s="3" t="s">
        <v>94</v>
      </c>
      <c r="C55" s="3" t="n">
        <v>1</v>
      </c>
      <c r="D55" s="3" t="s">
        <v>472</v>
      </c>
      <c r="E55" s="3" t="s">
        <v>948</v>
      </c>
      <c r="F55" s="3"/>
    </row>
    <row r="56" customFormat="false" ht="15" hidden="false" customHeight="false" outlineLevel="0" collapsed="false">
      <c r="A56" s="3" t="s">
        <v>1169</v>
      </c>
      <c r="B56" s="3" t="s">
        <v>70</v>
      </c>
      <c r="C56" s="3" t="n">
        <v>1</v>
      </c>
      <c r="D56" s="3" t="s">
        <v>699</v>
      </c>
      <c r="E56" s="3" t="s">
        <v>948</v>
      </c>
      <c r="F56" s="3"/>
    </row>
    <row r="57" customFormat="false" ht="15" hidden="false" customHeight="false" outlineLevel="0" collapsed="false">
      <c r="A57" s="3" t="s">
        <v>1170</v>
      </c>
      <c r="B57" s="3" t="s">
        <v>106</v>
      </c>
      <c r="C57" s="3" t="n">
        <v>1</v>
      </c>
      <c r="D57" s="3" t="s">
        <v>256</v>
      </c>
      <c r="E57" s="3" t="s">
        <v>1089</v>
      </c>
      <c r="F57" s="3"/>
    </row>
    <row r="58" customFormat="false" ht="15" hidden="false" customHeight="false" outlineLevel="0" collapsed="false">
      <c r="A58" s="3" t="s">
        <v>1171</v>
      </c>
      <c r="B58" s="3" t="s">
        <v>106</v>
      </c>
      <c r="C58" s="3" t="n">
        <v>1</v>
      </c>
      <c r="D58" s="3" t="s">
        <v>256</v>
      </c>
      <c r="E58" s="3" t="s">
        <v>1089</v>
      </c>
      <c r="F58" s="3"/>
    </row>
    <row r="59" customFormat="false" ht="15" hidden="false" customHeight="false" outlineLevel="0" collapsed="false">
      <c r="A59" s="3" t="s">
        <v>1172</v>
      </c>
      <c r="B59" s="3" t="s">
        <v>106</v>
      </c>
      <c r="C59" s="3" t="n">
        <v>1</v>
      </c>
      <c r="D59" s="3" t="s">
        <v>689</v>
      </c>
      <c r="E59" s="3" t="s">
        <v>948</v>
      </c>
      <c r="F59" s="3"/>
    </row>
    <row r="60" customFormat="false" ht="15" hidden="false" customHeight="false" outlineLevel="0" collapsed="false">
      <c r="A60" s="3" t="s">
        <v>1173</v>
      </c>
      <c r="B60" s="3" t="s">
        <v>106</v>
      </c>
      <c r="C60" s="3" t="n">
        <v>1</v>
      </c>
      <c r="D60" s="3" t="s">
        <v>689</v>
      </c>
      <c r="E60" s="3" t="s">
        <v>948</v>
      </c>
      <c r="F60" s="3"/>
    </row>
    <row r="61" customFormat="false" ht="15" hidden="false" customHeight="false" outlineLevel="0" collapsed="false">
      <c r="A61" s="3" t="s">
        <v>1174</v>
      </c>
      <c r="B61" s="3" t="s">
        <v>106</v>
      </c>
      <c r="C61" s="3" t="n">
        <v>1</v>
      </c>
      <c r="D61" s="3" t="s">
        <v>689</v>
      </c>
      <c r="E61" s="3" t="s">
        <v>948</v>
      </c>
      <c r="F61" s="3"/>
    </row>
    <row r="62" customFormat="false" ht="15" hidden="false" customHeight="false" outlineLevel="0" collapsed="false">
      <c r="A62" s="3" t="s">
        <v>1175</v>
      </c>
      <c r="B62" s="3" t="s">
        <v>70</v>
      </c>
      <c r="C62" s="3" t="n">
        <v>1</v>
      </c>
      <c r="D62" s="3" t="s">
        <v>256</v>
      </c>
      <c r="E62" s="3" t="s">
        <v>1089</v>
      </c>
      <c r="F62" s="3"/>
    </row>
    <row r="63" customFormat="false" ht="15" hidden="false" customHeight="false" outlineLevel="0" collapsed="false">
      <c r="A63" s="3" t="s">
        <v>1176</v>
      </c>
      <c r="B63" s="3" t="s">
        <v>106</v>
      </c>
      <c r="C63" s="3" t="n">
        <v>1</v>
      </c>
      <c r="D63" s="3" t="s">
        <v>265</v>
      </c>
      <c r="E63" s="3" t="s">
        <v>944</v>
      </c>
      <c r="F63" s="3"/>
    </row>
    <row r="64" customFormat="false" ht="15" hidden="false" customHeight="false" outlineLevel="0" collapsed="false">
      <c r="A64" s="3" t="s">
        <v>1177</v>
      </c>
      <c r="B64" s="3" t="s">
        <v>106</v>
      </c>
      <c r="C64" s="3" t="n">
        <v>1</v>
      </c>
      <c r="D64" s="3" t="s">
        <v>256</v>
      </c>
      <c r="E64" s="3" t="s">
        <v>1089</v>
      </c>
      <c r="F64" s="3"/>
    </row>
    <row r="65" customFormat="false" ht="15" hidden="false" customHeight="false" outlineLevel="0" collapsed="false">
      <c r="A65" s="3" t="s">
        <v>1178</v>
      </c>
      <c r="B65" s="3" t="s">
        <v>106</v>
      </c>
      <c r="C65" s="3" t="n">
        <v>1</v>
      </c>
      <c r="D65" s="3" t="s">
        <v>689</v>
      </c>
      <c r="E65" s="3" t="s">
        <v>944</v>
      </c>
      <c r="F65" s="3"/>
    </row>
    <row r="66" customFormat="false" ht="15" hidden="false" customHeight="false" outlineLevel="0" collapsed="false">
      <c r="A66" s="3" t="s">
        <v>1179</v>
      </c>
      <c r="B66" s="3" t="s">
        <v>89</v>
      </c>
      <c r="C66" s="3" t="n">
        <v>1</v>
      </c>
      <c r="D66" s="3" t="s">
        <v>256</v>
      </c>
      <c r="E66" s="3" t="s">
        <v>1089</v>
      </c>
      <c r="F66" s="3" t="s">
        <v>1180</v>
      </c>
    </row>
    <row r="67" customFormat="false" ht="15" hidden="false" customHeight="false" outlineLevel="0" collapsed="false">
      <c r="A67" s="3" t="s">
        <v>1181</v>
      </c>
      <c r="B67" s="3" t="s">
        <v>94</v>
      </c>
      <c r="C67" s="3" t="n">
        <v>1</v>
      </c>
      <c r="D67" s="3" t="s">
        <v>256</v>
      </c>
      <c r="E67" s="3" t="s">
        <v>1089</v>
      </c>
      <c r="F67" s="3"/>
    </row>
    <row r="68" customFormat="false" ht="15" hidden="false" customHeight="false" outlineLevel="0" collapsed="false">
      <c r="A68" s="3" t="s">
        <v>1182</v>
      </c>
      <c r="B68" s="3" t="s">
        <v>106</v>
      </c>
      <c r="C68" s="3" t="n">
        <v>1</v>
      </c>
      <c r="D68" s="3" t="s">
        <v>256</v>
      </c>
      <c r="E68" s="3" t="s">
        <v>1089</v>
      </c>
      <c r="F68" s="3"/>
    </row>
    <row r="69" customFormat="false" ht="15" hidden="false" customHeight="false" outlineLevel="0" collapsed="false">
      <c r="A69" s="3" t="s">
        <v>1183</v>
      </c>
      <c r="B69" s="3" t="s">
        <v>70</v>
      </c>
      <c r="C69" s="3" t="n">
        <v>1</v>
      </c>
      <c r="D69" s="3" t="s">
        <v>265</v>
      </c>
      <c r="E69" s="3" t="s">
        <v>948</v>
      </c>
      <c r="F69" s="3"/>
    </row>
    <row r="70" customFormat="false" ht="15" hidden="false" customHeight="false" outlineLevel="0" collapsed="false">
      <c r="A70" s="3" t="s">
        <v>1184</v>
      </c>
      <c r="B70" s="3" t="s">
        <v>70</v>
      </c>
      <c r="C70" s="3" t="n">
        <v>1</v>
      </c>
      <c r="D70" s="3" t="s">
        <v>256</v>
      </c>
      <c r="E70" s="3" t="s">
        <v>1089</v>
      </c>
      <c r="F70" s="3"/>
    </row>
    <row r="71" customFormat="false" ht="15" hidden="false" customHeight="false" outlineLevel="0" collapsed="false">
      <c r="A71" s="3" t="s">
        <v>1185</v>
      </c>
      <c r="B71" s="3" t="s">
        <v>70</v>
      </c>
      <c r="C71" s="3" t="n">
        <v>1</v>
      </c>
      <c r="D71" s="3" t="s">
        <v>256</v>
      </c>
      <c r="E71" s="3" t="s">
        <v>1089</v>
      </c>
      <c r="F71" s="3"/>
    </row>
    <row r="72" customFormat="false" ht="15" hidden="false" customHeight="false" outlineLevel="0" collapsed="false">
      <c r="A72" s="3" t="s">
        <v>1186</v>
      </c>
      <c r="B72" s="3" t="s">
        <v>70</v>
      </c>
      <c r="C72" s="3" t="n">
        <v>1</v>
      </c>
      <c r="D72" s="3" t="s">
        <v>256</v>
      </c>
      <c r="E72" s="3" t="s">
        <v>1089</v>
      </c>
      <c r="F72" s="3"/>
    </row>
    <row r="73" customFormat="false" ht="15" hidden="false" customHeight="false" outlineLevel="0" collapsed="false">
      <c r="B73" s="4" t="s">
        <v>1187</v>
      </c>
      <c r="C73" s="4" t="n">
        <f aca="false">SUM(C4:C72)</f>
        <v>1517</v>
      </c>
    </row>
    <row r="74" customFormat="false" ht="15" hidden="false" customHeight="false" outlineLevel="0" collapsed="false">
      <c r="B74" s="2" t="s">
        <v>1188</v>
      </c>
      <c r="C74" s="2" t="n">
        <f aca="false">SUMIFS(C4:C72,E4:E72,"Direct")</f>
        <v>202</v>
      </c>
    </row>
    <row r="75" customFormat="false" ht="15" hidden="false" customHeight="false" outlineLevel="0" collapsed="false">
      <c r="B75" s="2" t="s">
        <v>1189</v>
      </c>
      <c r="C75" s="2" t="n">
        <f aca="false">SUMIFS(C4:C72,E4:E72,"Partial")</f>
        <v>818</v>
      </c>
    </row>
    <row r="76" customFormat="false" ht="15" hidden="false" customHeight="false" outlineLevel="0" collapsed="false">
      <c r="B76" s="2" t="s">
        <v>1190</v>
      </c>
      <c r="C76" s="2" t="n">
        <f aca="false">C73-C74-C75</f>
        <v>497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90"/>
    <col collapsed="false" customWidth="true" hidden="false" outlineLevel="0" max="4" min="3" style="0" width="24"/>
  </cols>
  <sheetData>
    <row r="1" customFormat="false" ht="15" hidden="false" customHeight="false" outlineLevel="0" collapsed="false">
      <c r="A1" s="5" t="s">
        <v>1191</v>
      </c>
    </row>
    <row r="3" customFormat="false" ht="30" hidden="false" customHeight="true" outlineLevel="0" collapsed="false">
      <c r="A3" s="6" t="s">
        <v>245</v>
      </c>
      <c r="B3" s="6" t="s">
        <v>1192</v>
      </c>
      <c r="C3" s="6" t="s">
        <v>1193</v>
      </c>
      <c r="D3" s="6" t="s">
        <v>939</v>
      </c>
    </row>
    <row r="4" customFormat="false" ht="15" hidden="false" customHeight="false" outlineLevel="0" collapsed="false">
      <c r="A4" s="3" t="n">
        <v>1</v>
      </c>
      <c r="B4" s="3" t="s">
        <v>1194</v>
      </c>
      <c r="C4" s="3" t="s">
        <v>1195</v>
      </c>
      <c r="D4" s="3" t="s">
        <v>668</v>
      </c>
    </row>
    <row r="5" customFormat="false" ht="15" hidden="false" customHeight="false" outlineLevel="0" collapsed="false">
      <c r="A5" s="3" t="n">
        <v>2</v>
      </c>
      <c r="B5" s="3" t="s">
        <v>1196</v>
      </c>
      <c r="C5" s="3" t="s">
        <v>1197</v>
      </c>
      <c r="D5" s="3" t="s">
        <v>680</v>
      </c>
    </row>
    <row r="6" customFormat="false" ht="15" hidden="false" customHeight="false" outlineLevel="0" collapsed="false">
      <c r="A6" s="3" t="n">
        <v>3</v>
      </c>
      <c r="B6" s="3" t="s">
        <v>1198</v>
      </c>
      <c r="C6" s="3" t="s">
        <v>1195</v>
      </c>
      <c r="D6" s="3" t="s">
        <v>711</v>
      </c>
    </row>
    <row r="7" customFormat="false" ht="15" hidden="false" customHeight="false" outlineLevel="0" collapsed="false">
      <c r="A7" s="3" t="n">
        <v>4</v>
      </c>
      <c r="B7" s="3" t="s">
        <v>1199</v>
      </c>
      <c r="C7" s="3" t="s">
        <v>1197</v>
      </c>
      <c r="D7" s="3" t="s">
        <v>721</v>
      </c>
    </row>
    <row r="8" customFormat="false" ht="15" hidden="false" customHeight="false" outlineLevel="0" collapsed="false">
      <c r="A8" s="3" t="n">
        <v>5</v>
      </c>
      <c r="B8" s="3" t="s">
        <v>1200</v>
      </c>
      <c r="C8" s="3" t="s">
        <v>1195</v>
      </c>
      <c r="D8" s="3" t="s">
        <v>247</v>
      </c>
    </row>
    <row r="9" customFormat="false" ht="15" hidden="false" customHeight="false" outlineLevel="0" collapsed="false">
      <c r="A9" s="3" t="n">
        <v>6</v>
      </c>
      <c r="B9" s="3" t="s">
        <v>1201</v>
      </c>
      <c r="C9" s="3" t="s">
        <v>1197</v>
      </c>
      <c r="D9" s="3" t="s">
        <v>433</v>
      </c>
    </row>
    <row r="10" customFormat="false" ht="15" hidden="false" customHeight="false" outlineLevel="0" collapsed="false">
      <c r="A10" s="3" t="n">
        <v>7</v>
      </c>
      <c r="B10" s="3" t="s">
        <v>1202</v>
      </c>
      <c r="C10" s="3" t="s">
        <v>1197</v>
      </c>
      <c r="D10" s="3" t="s">
        <v>443</v>
      </c>
    </row>
    <row r="11" customFormat="false" ht="15" hidden="false" customHeight="false" outlineLevel="0" collapsed="false">
      <c r="A11" s="3" t="n">
        <v>8</v>
      </c>
      <c r="B11" s="3" t="s">
        <v>1203</v>
      </c>
      <c r="C11" s="3" t="s">
        <v>1197</v>
      </c>
      <c r="D11" s="3" t="s">
        <v>265</v>
      </c>
    </row>
    <row r="12" customFormat="false" ht="15" hidden="false" customHeight="false" outlineLevel="0" collapsed="false">
      <c r="A12" s="3" t="n">
        <v>9</v>
      </c>
      <c r="B12" s="3" t="s">
        <v>1204</v>
      </c>
      <c r="C12" s="3" t="s">
        <v>1195</v>
      </c>
      <c r="D12" s="3" t="s">
        <v>508</v>
      </c>
    </row>
    <row r="13" customFormat="false" ht="15" hidden="false" customHeight="false" outlineLevel="0" collapsed="false">
      <c r="A13" s="3" t="n">
        <v>10</v>
      </c>
      <c r="B13" s="3" t="s">
        <v>1205</v>
      </c>
      <c r="C13" s="3" t="s">
        <v>1195</v>
      </c>
      <c r="D13" s="3" t="s">
        <v>515</v>
      </c>
    </row>
    <row r="14" customFormat="false" ht="15" hidden="false" customHeight="false" outlineLevel="0" collapsed="false">
      <c r="A14" s="3" t="n">
        <v>11</v>
      </c>
      <c r="B14" s="3" t="s">
        <v>1206</v>
      </c>
      <c r="C14" s="3" t="s">
        <v>1195</v>
      </c>
      <c r="D14" s="3" t="s">
        <v>523</v>
      </c>
    </row>
    <row r="15" customFormat="false" ht="15" hidden="false" customHeight="false" outlineLevel="0" collapsed="false">
      <c r="A15" s="3" t="n">
        <v>12</v>
      </c>
      <c r="B15" s="3" t="s">
        <v>1207</v>
      </c>
      <c r="C15" s="3" t="s">
        <v>1208</v>
      </c>
      <c r="D15" s="3" t="s">
        <v>277</v>
      </c>
    </row>
    <row r="16" customFormat="false" ht="15" hidden="false" customHeight="false" outlineLevel="0" collapsed="false">
      <c r="A16" s="3" t="n">
        <v>13</v>
      </c>
      <c r="B16" s="3" t="s">
        <v>1209</v>
      </c>
      <c r="C16" s="3" t="s">
        <v>1208</v>
      </c>
      <c r="D16" s="3" t="s">
        <v>729</v>
      </c>
    </row>
    <row r="17" customFormat="false" ht="15" hidden="false" customHeight="false" outlineLevel="0" collapsed="false">
      <c r="A17" s="3" t="n">
        <v>14</v>
      </c>
      <c r="B17" s="3" t="s">
        <v>1210</v>
      </c>
      <c r="C17" s="3" t="s">
        <v>1208</v>
      </c>
      <c r="D17" s="3" t="s">
        <v>737</v>
      </c>
    </row>
    <row r="18" customFormat="false" ht="15" hidden="false" customHeight="false" outlineLevel="0" collapsed="false">
      <c r="A18" s="3" t="n">
        <v>15</v>
      </c>
      <c r="B18" s="3" t="s">
        <v>1211</v>
      </c>
      <c r="C18" s="3" t="s">
        <v>1195</v>
      </c>
      <c r="D18" s="3" t="s">
        <v>581</v>
      </c>
    </row>
    <row r="19" customFormat="false" ht="15" hidden="false" customHeight="false" outlineLevel="0" collapsed="false">
      <c r="A19" s="3" t="n">
        <v>16</v>
      </c>
      <c r="B19" s="3" t="s">
        <v>1212</v>
      </c>
      <c r="C19" s="3" t="s">
        <v>1195</v>
      </c>
      <c r="D19" s="3" t="s">
        <v>590</v>
      </c>
    </row>
    <row r="20" customFormat="false" ht="15" hidden="false" customHeight="false" outlineLevel="0" collapsed="false">
      <c r="A20" s="3" t="n">
        <v>17</v>
      </c>
      <c r="B20" s="3" t="s">
        <v>1213</v>
      </c>
      <c r="C20" s="3" t="s">
        <v>1208</v>
      </c>
      <c r="D20" s="3" t="s">
        <v>325</v>
      </c>
    </row>
    <row r="21" customFormat="false" ht="15" hidden="false" customHeight="false" outlineLevel="0" collapsed="false">
      <c r="A21" s="3" t="n">
        <v>18</v>
      </c>
      <c r="B21" s="3" t="s">
        <v>1214</v>
      </c>
      <c r="C21" s="3" t="s">
        <v>1195</v>
      </c>
      <c r="D21" s="3" t="s">
        <v>597</v>
      </c>
    </row>
    <row r="22" customFormat="false" ht="15" hidden="false" customHeight="false" outlineLevel="0" collapsed="false">
      <c r="A22" s="3" t="n">
        <v>19</v>
      </c>
      <c r="B22" s="3" t="s">
        <v>1215</v>
      </c>
      <c r="C22" s="3" t="s">
        <v>1208</v>
      </c>
      <c r="D22" s="3" t="s">
        <v>336</v>
      </c>
    </row>
    <row r="23" customFormat="false" ht="15" hidden="false" customHeight="false" outlineLevel="0" collapsed="false">
      <c r="A23" s="3" t="n">
        <v>20</v>
      </c>
      <c r="B23" s="3" t="s">
        <v>1216</v>
      </c>
      <c r="C23" s="3" t="s">
        <v>1195</v>
      </c>
      <c r="D23" s="3" t="s">
        <v>343</v>
      </c>
    </row>
    <row r="24" customFormat="false" ht="15" hidden="false" customHeight="false" outlineLevel="0" collapsed="false">
      <c r="A24" s="3" t="n">
        <v>21</v>
      </c>
      <c r="B24" s="3" t="s">
        <v>1217</v>
      </c>
      <c r="C24" s="3" t="s">
        <v>1195</v>
      </c>
      <c r="D24" s="3" t="s">
        <v>353</v>
      </c>
    </row>
    <row r="25" customFormat="false" ht="15" hidden="false" customHeight="false" outlineLevel="0" collapsed="false">
      <c r="A25" s="3" t="n">
        <v>22</v>
      </c>
      <c r="B25" s="3" t="s">
        <v>1218</v>
      </c>
      <c r="C25" s="3" t="s">
        <v>1195</v>
      </c>
      <c r="D25" s="3" t="s">
        <v>360</v>
      </c>
    </row>
    <row r="26" customFormat="false" ht="15" hidden="false" customHeight="false" outlineLevel="0" collapsed="false">
      <c r="A26" s="3" t="n">
        <v>23</v>
      </c>
      <c r="B26" s="3" t="s">
        <v>1219</v>
      </c>
      <c r="C26" s="3" t="s">
        <v>1195</v>
      </c>
      <c r="D26" s="3" t="s">
        <v>642</v>
      </c>
    </row>
    <row r="27" customFormat="false" ht="15" hidden="false" customHeight="false" outlineLevel="0" collapsed="false">
      <c r="A27" s="3" t="n">
        <v>24</v>
      </c>
      <c r="B27" s="3" t="s">
        <v>1220</v>
      </c>
      <c r="C27" s="3" t="s">
        <v>1197</v>
      </c>
      <c r="D27" s="3" t="s">
        <v>451</v>
      </c>
    </row>
    <row r="28" customFormat="false" ht="15" hidden="false" customHeight="false" outlineLevel="0" collapsed="false">
      <c r="A28" s="3" t="n">
        <v>25</v>
      </c>
      <c r="B28" s="3" t="s">
        <v>1221</v>
      </c>
      <c r="C28" s="3" t="s">
        <v>1222</v>
      </c>
      <c r="D28" s="3" t="s">
        <v>711</v>
      </c>
    </row>
    <row r="29" customFormat="false" ht="35.05" hidden="false" customHeight="false" outlineLevel="0" collapsed="false">
      <c r="A29" s="3" t="n">
        <v>26</v>
      </c>
      <c r="B29" s="3" t="s">
        <v>1223</v>
      </c>
      <c r="C29" s="3" t="s">
        <v>1224</v>
      </c>
      <c r="D29" s="3" t="s">
        <v>1225</v>
      </c>
    </row>
    <row r="30" customFormat="false" ht="15" hidden="false" customHeight="false" outlineLevel="0" collapsed="false">
      <c r="A30" s="3" t="n">
        <v>27</v>
      </c>
      <c r="B30" s="3" t="s">
        <v>1226</v>
      </c>
      <c r="C30" s="3" t="s">
        <v>1208</v>
      </c>
      <c r="D30" s="3" t="s">
        <v>459</v>
      </c>
    </row>
    <row r="31" customFormat="false" ht="15" hidden="false" customHeight="false" outlineLevel="0" collapsed="false">
      <c r="A31" s="3" t="n">
        <v>28</v>
      </c>
      <c r="B31" s="3" t="s">
        <v>1227</v>
      </c>
      <c r="C31" s="3" t="s">
        <v>1195</v>
      </c>
      <c r="D31" s="3" t="s">
        <v>753</v>
      </c>
    </row>
    <row r="32" customFormat="false" ht="15" hidden="false" customHeight="false" outlineLevel="0" collapsed="false">
      <c r="A32" s="3" t="n">
        <v>29</v>
      </c>
      <c r="B32" s="3" t="s">
        <v>1228</v>
      </c>
      <c r="C32" s="3" t="s">
        <v>1197</v>
      </c>
      <c r="D32" s="3" t="s">
        <v>745</v>
      </c>
    </row>
    <row r="33" customFormat="false" ht="15" hidden="false" customHeight="false" outlineLevel="0" collapsed="false">
      <c r="A33" s="3" t="n">
        <v>30</v>
      </c>
      <c r="B33" s="3" t="s">
        <v>1229</v>
      </c>
      <c r="C33" s="3" t="s">
        <v>1222</v>
      </c>
      <c r="D33" s="3" t="s">
        <v>627</v>
      </c>
    </row>
    <row r="34" customFormat="false" ht="15" hidden="false" customHeight="false" outlineLevel="0" collapsed="false">
      <c r="A34" s="3" t="n">
        <v>31</v>
      </c>
      <c r="B34" s="3" t="s">
        <v>1230</v>
      </c>
      <c r="C34" s="3" t="s">
        <v>1231</v>
      </c>
      <c r="D34" s="3" t="s">
        <v>1232</v>
      </c>
    </row>
    <row r="35" customFormat="false" ht="15" hidden="false" customHeight="false" outlineLevel="0" collapsed="false">
      <c r="A35" s="3" t="n">
        <v>32</v>
      </c>
      <c r="B35" s="3" t="s">
        <v>1233</v>
      </c>
      <c r="C35" s="3" t="s">
        <v>1231</v>
      </c>
      <c r="D35" s="3" t="s">
        <v>1232</v>
      </c>
    </row>
    <row r="36" customFormat="false" ht="15" hidden="false" customHeight="false" outlineLevel="0" collapsed="false">
      <c r="A36" s="3" t="n">
        <v>33</v>
      </c>
      <c r="B36" s="3" t="s">
        <v>1234</v>
      </c>
      <c r="C36" s="3" t="s">
        <v>1222</v>
      </c>
      <c r="D36" s="3" t="s">
        <v>265</v>
      </c>
    </row>
    <row r="37" customFormat="false" ht="15" hidden="false" customHeight="false" outlineLevel="0" collapsed="false">
      <c r="A37" s="3" t="n">
        <v>34</v>
      </c>
      <c r="B37" s="3" t="s">
        <v>1235</v>
      </c>
      <c r="C37" s="3" t="s">
        <v>1222</v>
      </c>
      <c r="D37" s="3" t="s">
        <v>265</v>
      </c>
    </row>
    <row r="38" customFormat="false" ht="15" hidden="false" customHeight="false" outlineLevel="0" collapsed="false">
      <c r="A38" s="3" t="n">
        <v>35</v>
      </c>
      <c r="B38" s="3" t="s">
        <v>1236</v>
      </c>
      <c r="C38" s="3" t="s">
        <v>1195</v>
      </c>
      <c r="D38" s="3" t="s">
        <v>285</v>
      </c>
    </row>
    <row r="39" customFormat="false" ht="15" hidden="false" customHeight="false" outlineLevel="0" collapsed="false">
      <c r="A39" s="3" t="n">
        <v>36</v>
      </c>
      <c r="B39" s="3" t="s">
        <v>1237</v>
      </c>
      <c r="C39" s="3" t="s">
        <v>1197</v>
      </c>
      <c r="D39" s="3" t="s">
        <v>291</v>
      </c>
    </row>
    <row r="40" customFormat="false" ht="15" hidden="false" customHeight="false" outlineLevel="0" collapsed="false">
      <c r="A40" s="3" t="n">
        <v>37</v>
      </c>
      <c r="B40" s="3" t="s">
        <v>1238</v>
      </c>
      <c r="C40" s="3" t="s">
        <v>1197</v>
      </c>
      <c r="D40" s="3" t="s">
        <v>699</v>
      </c>
    </row>
    <row r="41" customFormat="false" ht="23.85" hidden="false" customHeight="false" outlineLevel="0" collapsed="false">
      <c r="A41" s="3" t="n">
        <v>38</v>
      </c>
      <c r="B41" s="3" t="s">
        <v>1239</v>
      </c>
      <c r="C41" s="3" t="s">
        <v>1197</v>
      </c>
      <c r="D41" s="3" t="s">
        <v>297</v>
      </c>
    </row>
    <row r="42" customFormat="false" ht="15" hidden="false" customHeight="false" outlineLevel="0" collapsed="false">
      <c r="A42" s="3" t="n">
        <v>39</v>
      </c>
      <c r="B42" s="3" t="s">
        <v>1240</v>
      </c>
      <c r="C42" s="3" t="s">
        <v>1195</v>
      </c>
      <c r="D42" s="3" t="s">
        <v>650</v>
      </c>
    </row>
    <row r="43" customFormat="false" ht="15" hidden="false" customHeight="false" outlineLevel="0" collapsed="false">
      <c r="A43" s="3" t="n">
        <v>40</v>
      </c>
      <c r="B43" s="3" t="s">
        <v>1241</v>
      </c>
      <c r="C43" s="3" t="s">
        <v>1195</v>
      </c>
      <c r="D43" s="3" t="s">
        <v>658</v>
      </c>
    </row>
    <row r="44" customFormat="false" ht="15" hidden="false" customHeight="false" outlineLevel="0" collapsed="false">
      <c r="A44" s="3" t="n">
        <v>41</v>
      </c>
      <c r="B44" s="3" t="s">
        <v>1242</v>
      </c>
      <c r="C44" s="3" t="s">
        <v>1197</v>
      </c>
      <c r="D44" s="3" t="s">
        <v>663</v>
      </c>
    </row>
    <row r="45" customFormat="false" ht="15" hidden="false" customHeight="false" outlineLevel="0" collapsed="false">
      <c r="A45" s="3" t="n">
        <v>42</v>
      </c>
      <c r="B45" s="3" t="s">
        <v>1243</v>
      </c>
      <c r="C45" s="3" t="s">
        <v>1222</v>
      </c>
      <c r="D45" s="3" t="s">
        <v>371</v>
      </c>
    </row>
    <row r="46" customFormat="false" ht="15" hidden="false" customHeight="false" outlineLevel="0" collapsed="false">
      <c r="A46" s="3" t="n">
        <v>43</v>
      </c>
      <c r="B46" s="3" t="s">
        <v>1244</v>
      </c>
      <c r="C46" s="3" t="s">
        <v>1197</v>
      </c>
      <c r="D46" s="3" t="s">
        <v>379</v>
      </c>
    </row>
    <row r="47" customFormat="false" ht="15" hidden="false" customHeight="false" outlineLevel="0" collapsed="false">
      <c r="A47" s="3" t="n">
        <v>44</v>
      </c>
      <c r="B47" s="3" t="s">
        <v>1245</v>
      </c>
      <c r="C47" s="3" t="s">
        <v>1208</v>
      </c>
      <c r="D47" s="3" t="s">
        <v>494</v>
      </c>
    </row>
    <row r="48" customFormat="false" ht="15" hidden="false" customHeight="false" outlineLevel="0" collapsed="false">
      <c r="A48" s="3" t="n">
        <v>45</v>
      </c>
      <c r="B48" s="3" t="s">
        <v>1246</v>
      </c>
      <c r="C48" s="3" t="s">
        <v>1197</v>
      </c>
      <c r="D48" s="3" t="s">
        <v>693</v>
      </c>
    </row>
    <row r="49" customFormat="false" ht="15" hidden="false" customHeight="false" outlineLevel="0" collapsed="false">
      <c r="A49" s="3" t="n">
        <v>46</v>
      </c>
      <c r="B49" s="3" t="s">
        <v>1247</v>
      </c>
      <c r="C49" s="3" t="s">
        <v>1222</v>
      </c>
      <c r="D49" s="3" t="s">
        <v>551</v>
      </c>
    </row>
    <row r="50" customFormat="false" ht="23.85" hidden="false" customHeight="false" outlineLevel="0" collapsed="false">
      <c r="A50" s="3" t="n">
        <v>47</v>
      </c>
      <c r="B50" s="3" t="s">
        <v>1248</v>
      </c>
      <c r="C50" s="3" t="s">
        <v>1195</v>
      </c>
      <c r="D50" s="3" t="s">
        <v>304</v>
      </c>
    </row>
    <row r="51" customFormat="false" ht="15" hidden="false" customHeight="false" outlineLevel="0" collapsed="false">
      <c r="A51" s="3" t="n">
        <v>48</v>
      </c>
      <c r="B51" s="3" t="s">
        <v>1249</v>
      </c>
      <c r="C51" s="3" t="s">
        <v>1197</v>
      </c>
      <c r="D51" s="3" t="s">
        <v>604</v>
      </c>
    </row>
    <row r="52" customFormat="false" ht="23.85" hidden="false" customHeight="false" outlineLevel="0" collapsed="false">
      <c r="A52" s="3" t="n">
        <v>49</v>
      </c>
      <c r="B52" s="3" t="s">
        <v>1250</v>
      </c>
      <c r="C52" s="3" t="s">
        <v>1197</v>
      </c>
      <c r="D52" s="3" t="s">
        <v>612</v>
      </c>
    </row>
    <row r="53" customFormat="false" ht="15" hidden="false" customHeight="false" outlineLevel="0" collapsed="false">
      <c r="A53" s="3" t="n">
        <v>50</v>
      </c>
      <c r="B53" s="3" t="s">
        <v>1251</v>
      </c>
      <c r="C53" s="3" t="s">
        <v>1197</v>
      </c>
      <c r="D53" s="3" t="s">
        <v>618</v>
      </c>
    </row>
    <row r="54" customFormat="false" ht="15" hidden="false" customHeight="false" outlineLevel="0" collapsed="false">
      <c r="A54" s="3" t="n">
        <v>51</v>
      </c>
      <c r="B54" s="3" t="s">
        <v>1252</v>
      </c>
      <c r="C54" s="3" t="s">
        <v>1197</v>
      </c>
      <c r="D54" s="3" t="s">
        <v>627</v>
      </c>
    </row>
    <row r="55" customFormat="false" ht="23.85" hidden="false" customHeight="false" outlineLevel="0" collapsed="false">
      <c r="A55" s="3" t="n">
        <v>52</v>
      </c>
      <c r="B55" s="3" t="s">
        <v>1253</v>
      </c>
      <c r="C55" s="3" t="s">
        <v>1222</v>
      </c>
      <c r="D55" s="3" t="s">
        <v>1254</v>
      </c>
    </row>
    <row r="56" customFormat="false" ht="15" hidden="false" customHeight="false" outlineLevel="0" collapsed="false">
      <c r="A56" s="3" t="n">
        <v>53</v>
      </c>
      <c r="B56" s="3" t="s">
        <v>1255</v>
      </c>
      <c r="C56" s="3" t="s">
        <v>1197</v>
      </c>
      <c r="D56" s="3" t="s">
        <v>387</v>
      </c>
    </row>
    <row r="57" customFormat="false" ht="15" hidden="false" customHeight="false" outlineLevel="0" collapsed="false">
      <c r="A57" s="3" t="n">
        <v>54</v>
      </c>
      <c r="B57" s="3" t="s">
        <v>1256</v>
      </c>
      <c r="C57" s="3" t="s">
        <v>1197</v>
      </c>
      <c r="D57" s="3" t="s">
        <v>396</v>
      </c>
    </row>
    <row r="58" customFormat="false" ht="23.85" hidden="false" customHeight="false" outlineLevel="0" collapsed="false">
      <c r="A58" s="3" t="n">
        <v>55</v>
      </c>
      <c r="B58" s="3" t="s">
        <v>1257</v>
      </c>
      <c r="C58" s="3" t="s">
        <v>1195</v>
      </c>
      <c r="D58" s="3" t="s">
        <v>311</v>
      </c>
    </row>
    <row r="59" customFormat="false" ht="35.05" hidden="false" customHeight="false" outlineLevel="0" collapsed="false">
      <c r="A59" s="3" t="n">
        <v>56</v>
      </c>
      <c r="B59" s="3" t="s">
        <v>1258</v>
      </c>
      <c r="C59" s="3" t="s">
        <v>1222</v>
      </c>
      <c r="D59" s="3" t="s">
        <v>297</v>
      </c>
    </row>
    <row r="60" customFormat="false" ht="15" hidden="false" customHeight="false" outlineLevel="0" collapsed="false">
      <c r="A60" s="3" t="n">
        <v>57</v>
      </c>
      <c r="B60" s="3" t="s">
        <v>1259</v>
      </c>
      <c r="C60" s="3" t="s">
        <v>1195</v>
      </c>
      <c r="D60" s="3" t="s">
        <v>530</v>
      </c>
    </row>
    <row r="61" customFormat="false" ht="15" hidden="false" customHeight="false" outlineLevel="0" collapsed="false">
      <c r="A61" s="3" t="n">
        <v>58</v>
      </c>
      <c r="B61" s="3" t="s">
        <v>1260</v>
      </c>
      <c r="C61" s="3" t="s">
        <v>1195</v>
      </c>
      <c r="D61" s="3" t="s">
        <v>536</v>
      </c>
    </row>
    <row r="62" customFormat="false" ht="23.85" hidden="false" customHeight="false" outlineLevel="0" collapsed="false">
      <c r="A62" s="3" t="n">
        <v>59</v>
      </c>
      <c r="B62" s="3" t="s">
        <v>1261</v>
      </c>
      <c r="C62" s="3" t="s">
        <v>1195</v>
      </c>
      <c r="D62" s="3" t="s">
        <v>543</v>
      </c>
    </row>
    <row r="63" customFormat="false" ht="15" hidden="false" customHeight="false" outlineLevel="0" collapsed="false">
      <c r="A63" s="3" t="n">
        <v>60</v>
      </c>
      <c r="B63" s="3" t="s">
        <v>1262</v>
      </c>
      <c r="C63" s="3" t="s">
        <v>1195</v>
      </c>
      <c r="D63" s="3" t="s">
        <v>551</v>
      </c>
    </row>
    <row r="64" customFormat="false" ht="15" hidden="false" customHeight="false" outlineLevel="0" collapsed="false">
      <c r="A64" s="3" t="n">
        <v>61</v>
      </c>
      <c r="B64" s="3" t="s">
        <v>1263</v>
      </c>
      <c r="C64" s="3" t="s">
        <v>1222</v>
      </c>
      <c r="D64" s="3" t="s">
        <v>265</v>
      </c>
    </row>
    <row r="65" customFormat="false" ht="15" hidden="false" customHeight="false" outlineLevel="0" collapsed="false">
      <c r="A65" s="3" t="n">
        <v>62</v>
      </c>
      <c r="B65" s="3" t="s">
        <v>1264</v>
      </c>
      <c r="C65" s="3" t="s">
        <v>1195</v>
      </c>
      <c r="D65" s="3" t="s">
        <v>558</v>
      </c>
    </row>
    <row r="66" customFormat="false" ht="15" hidden="false" customHeight="false" outlineLevel="0" collapsed="false">
      <c r="A66" s="3" t="n">
        <v>63</v>
      </c>
      <c r="B66" s="3" t="s">
        <v>1265</v>
      </c>
      <c r="C66" s="3" t="s">
        <v>1195</v>
      </c>
      <c r="D66" s="3" t="s">
        <v>565</v>
      </c>
    </row>
    <row r="67" customFormat="false" ht="23.85" hidden="false" customHeight="false" outlineLevel="0" collapsed="false">
      <c r="A67" s="3" t="n">
        <v>64</v>
      </c>
      <c r="B67" s="3" t="s">
        <v>1266</v>
      </c>
      <c r="C67" s="3" t="s">
        <v>1222</v>
      </c>
      <c r="D67" s="3" t="s">
        <v>711</v>
      </c>
    </row>
    <row r="68" customFormat="false" ht="15" hidden="false" customHeight="false" outlineLevel="0" collapsed="false">
      <c r="A68" s="3" t="n">
        <v>65</v>
      </c>
      <c r="B68" s="3" t="s">
        <v>1267</v>
      </c>
      <c r="C68" s="3" t="s">
        <v>1195</v>
      </c>
      <c r="D68" s="3" t="s">
        <v>636</v>
      </c>
    </row>
    <row r="69" customFormat="false" ht="23.85" hidden="false" customHeight="false" outlineLevel="0" collapsed="false">
      <c r="A69" s="3" t="n">
        <v>66</v>
      </c>
      <c r="B69" s="3" t="s">
        <v>1268</v>
      </c>
      <c r="C69" s="3" t="s">
        <v>1222</v>
      </c>
      <c r="D69" s="3" t="s">
        <v>711</v>
      </c>
    </row>
    <row r="70" customFormat="false" ht="15" hidden="false" customHeight="false" outlineLevel="0" collapsed="false">
      <c r="A70" s="3" t="n">
        <v>67</v>
      </c>
      <c r="B70" s="3" t="s">
        <v>1269</v>
      </c>
      <c r="C70" s="3" t="s">
        <v>1222</v>
      </c>
      <c r="D70" s="3" t="s">
        <v>1270</v>
      </c>
    </row>
    <row r="71" customFormat="false" ht="15" hidden="false" customHeight="false" outlineLevel="0" collapsed="false">
      <c r="A71" s="3" t="n">
        <v>68</v>
      </c>
      <c r="B71" s="3" t="s">
        <v>1271</v>
      </c>
      <c r="C71" s="3" t="s">
        <v>1222</v>
      </c>
      <c r="D71" s="3" t="s">
        <v>247</v>
      </c>
    </row>
    <row r="72" customFormat="false" ht="23.85" hidden="false" customHeight="false" outlineLevel="0" collapsed="false">
      <c r="A72" s="3" t="n">
        <v>69</v>
      </c>
      <c r="B72" s="3" t="s">
        <v>1272</v>
      </c>
      <c r="C72" s="3" t="s">
        <v>1195</v>
      </c>
      <c r="D72" s="3" t="s">
        <v>371</v>
      </c>
    </row>
    <row r="73" customFormat="false" ht="15" hidden="false" customHeight="false" outlineLevel="0" collapsed="false">
      <c r="A73" s="3" t="n">
        <v>70</v>
      </c>
      <c r="B73" s="3" t="s">
        <v>1273</v>
      </c>
      <c r="C73" s="3" t="s">
        <v>1195</v>
      </c>
      <c r="D73" s="3" t="s">
        <v>403</v>
      </c>
    </row>
    <row r="74" customFormat="false" ht="15" hidden="false" customHeight="false" outlineLevel="0" collapsed="false">
      <c r="A74" s="3" t="n">
        <v>71</v>
      </c>
      <c r="B74" s="3" t="s">
        <v>1274</v>
      </c>
      <c r="C74" s="3" t="s">
        <v>1222</v>
      </c>
      <c r="D74" s="3" t="s">
        <v>343</v>
      </c>
    </row>
    <row r="75" customFormat="false" ht="15" hidden="false" customHeight="false" outlineLevel="0" collapsed="false">
      <c r="A75" s="3" t="n">
        <v>72</v>
      </c>
      <c r="B75" s="3" t="s">
        <v>1275</v>
      </c>
      <c r="C75" s="3" t="s">
        <v>1195</v>
      </c>
      <c r="D75" s="3" t="s">
        <v>411</v>
      </c>
    </row>
    <row r="76" customFormat="false" ht="15" hidden="false" customHeight="false" outlineLevel="0" collapsed="false">
      <c r="A76" s="3" t="n">
        <v>73</v>
      </c>
      <c r="B76" s="3" t="s">
        <v>1276</v>
      </c>
      <c r="C76" s="3" t="s">
        <v>1222</v>
      </c>
      <c r="D76" s="3" t="s">
        <v>247</v>
      </c>
    </row>
    <row r="77" customFormat="false" ht="15" hidden="false" customHeight="false" outlineLevel="0" collapsed="false">
      <c r="A77" s="3" t="n">
        <v>74</v>
      </c>
      <c r="B77" s="3" t="s">
        <v>1277</v>
      </c>
      <c r="C77" s="3" t="s">
        <v>1197</v>
      </c>
      <c r="D77" s="3" t="s">
        <v>572</v>
      </c>
    </row>
    <row r="78" customFormat="false" ht="15" hidden="false" customHeight="false" outlineLevel="0" collapsed="false">
      <c r="A78" s="3" t="n">
        <v>75</v>
      </c>
      <c r="B78" s="3" t="s">
        <v>1278</v>
      </c>
      <c r="C78" s="3" t="s">
        <v>1222</v>
      </c>
      <c r="D78" s="3" t="s">
        <v>753</v>
      </c>
    </row>
    <row r="79" customFormat="false" ht="15" hidden="false" customHeight="false" outlineLevel="0" collapsed="false">
      <c r="A79" s="3" t="n">
        <v>76</v>
      </c>
      <c r="B79" s="3" t="s">
        <v>1279</v>
      </c>
      <c r="C79" s="3" t="s">
        <v>1195</v>
      </c>
      <c r="D79" s="3" t="s">
        <v>417</v>
      </c>
    </row>
    <row r="80" customFormat="false" ht="15" hidden="false" customHeight="false" outlineLevel="0" collapsed="false">
      <c r="A80" s="3" t="n">
        <v>77</v>
      </c>
      <c r="B80" s="3" t="s">
        <v>1280</v>
      </c>
      <c r="C80" s="3" t="s">
        <v>1195</v>
      </c>
      <c r="D80" s="3" t="s">
        <v>422</v>
      </c>
    </row>
    <row r="81" customFormat="false" ht="15" hidden="false" customHeight="false" outlineLevel="0" collapsed="false">
      <c r="A81" s="3" t="n">
        <v>78</v>
      </c>
      <c r="B81" s="3" t="s">
        <v>1281</v>
      </c>
      <c r="C81" s="3" t="s">
        <v>1195</v>
      </c>
      <c r="D81" s="3" t="s">
        <v>428</v>
      </c>
    </row>
    <row r="82" customFormat="false" ht="15" hidden="false" customHeight="false" outlineLevel="0" collapsed="false">
      <c r="A82" s="3" t="n">
        <v>79</v>
      </c>
      <c r="B82" s="3" t="s">
        <v>1282</v>
      </c>
      <c r="C82" s="3" t="s">
        <v>1224</v>
      </c>
      <c r="D82" s="3" t="s">
        <v>336</v>
      </c>
    </row>
    <row r="83" customFormat="false" ht="15" hidden="false" customHeight="false" outlineLevel="0" collapsed="false">
      <c r="A83" s="3" t="n">
        <v>80</v>
      </c>
      <c r="B83" s="3" t="s">
        <v>1283</v>
      </c>
      <c r="C83" s="3" t="s">
        <v>1224</v>
      </c>
      <c r="D83" s="3" t="s">
        <v>597</v>
      </c>
    </row>
    <row r="84" customFormat="false" ht="15" hidden="false" customHeight="false" outlineLevel="0" collapsed="false">
      <c r="A84" s="3" t="n">
        <v>81</v>
      </c>
      <c r="B84" s="3" t="s">
        <v>1284</v>
      </c>
      <c r="C84" s="3" t="s">
        <v>1224</v>
      </c>
      <c r="D84" s="3" t="s">
        <v>590</v>
      </c>
    </row>
    <row r="85" customFormat="false" ht="15" hidden="false" customHeight="false" outlineLevel="0" collapsed="false">
      <c r="A85" s="3" t="n">
        <v>82</v>
      </c>
      <c r="B85" s="3" t="s">
        <v>1285</v>
      </c>
      <c r="C85" s="3" t="s">
        <v>1224</v>
      </c>
      <c r="D85" s="3" t="s">
        <v>325</v>
      </c>
    </row>
    <row r="86" customFormat="false" ht="15" hidden="false" customHeight="false" outlineLevel="0" collapsed="false">
      <c r="A86" s="3" t="n">
        <v>83</v>
      </c>
      <c r="B86" s="3" t="s">
        <v>1286</v>
      </c>
      <c r="C86" s="3" t="s">
        <v>1224</v>
      </c>
      <c r="D86" s="3" t="s">
        <v>325</v>
      </c>
    </row>
    <row r="87" customFormat="false" ht="15" hidden="false" customHeight="false" outlineLevel="0" collapsed="false">
      <c r="A87" s="3" t="n">
        <v>84</v>
      </c>
      <c r="B87" s="3" t="s">
        <v>1287</v>
      </c>
      <c r="C87" s="3" t="s">
        <v>1224</v>
      </c>
      <c r="D87" s="3" t="s">
        <v>343</v>
      </c>
    </row>
    <row r="88" customFormat="false" ht="15" hidden="false" customHeight="false" outlineLevel="0" collapsed="false">
      <c r="A88" s="3" t="n">
        <v>85</v>
      </c>
      <c r="B88" s="3" t="s">
        <v>1288</v>
      </c>
      <c r="C88" s="3" t="s">
        <v>1224</v>
      </c>
      <c r="D88" s="3" t="s">
        <v>360</v>
      </c>
    </row>
    <row r="89" customFormat="false" ht="15" hidden="false" customHeight="false" outlineLevel="0" collapsed="false">
      <c r="A89" s="3" t="n">
        <v>86</v>
      </c>
      <c r="B89" s="3" t="s">
        <v>1289</v>
      </c>
      <c r="C89" s="3" t="s">
        <v>1224</v>
      </c>
      <c r="D89" s="3" t="s">
        <v>353</v>
      </c>
    </row>
    <row r="90" customFormat="false" ht="23.85" hidden="false" customHeight="false" outlineLevel="0" collapsed="false">
      <c r="A90" s="3" t="n">
        <v>87</v>
      </c>
      <c r="B90" s="3" t="s">
        <v>1290</v>
      </c>
      <c r="C90" s="3" t="s">
        <v>1224</v>
      </c>
      <c r="D90" s="3" t="s">
        <v>459</v>
      </c>
    </row>
    <row r="91" customFormat="false" ht="23.85" hidden="false" customHeight="false" outlineLevel="0" collapsed="false">
      <c r="A91" s="3" t="n">
        <v>88</v>
      </c>
      <c r="B91" s="3" t="s">
        <v>1291</v>
      </c>
      <c r="C91" s="3" t="s">
        <v>1224</v>
      </c>
      <c r="D91" s="3" t="s">
        <v>459</v>
      </c>
    </row>
    <row r="92" customFormat="false" ht="23.85" hidden="false" customHeight="false" outlineLevel="0" collapsed="false">
      <c r="A92" s="3" t="n">
        <v>89</v>
      </c>
      <c r="B92" s="3" t="s">
        <v>1292</v>
      </c>
      <c r="C92" s="3" t="s">
        <v>1224</v>
      </c>
      <c r="D92" s="3" t="s">
        <v>459</v>
      </c>
    </row>
    <row r="93" customFormat="false" ht="23.85" hidden="false" customHeight="false" outlineLevel="0" collapsed="false">
      <c r="A93" s="3" t="n">
        <v>90</v>
      </c>
      <c r="B93" s="3" t="s">
        <v>1293</v>
      </c>
      <c r="C93" s="3" t="s">
        <v>1224</v>
      </c>
      <c r="D93" s="3" t="s">
        <v>459</v>
      </c>
    </row>
    <row r="94" customFormat="false" ht="23.85" hidden="false" customHeight="false" outlineLevel="0" collapsed="false">
      <c r="A94" s="3" t="n">
        <v>91</v>
      </c>
      <c r="B94" s="3" t="s">
        <v>1294</v>
      </c>
      <c r="C94" s="3" t="s">
        <v>1224</v>
      </c>
      <c r="D94" s="3" t="s">
        <v>459</v>
      </c>
    </row>
    <row r="95" customFormat="false" ht="35.05" hidden="false" customHeight="false" outlineLevel="0" collapsed="false">
      <c r="A95" s="3" t="n">
        <v>92</v>
      </c>
      <c r="B95" s="3" t="s">
        <v>1295</v>
      </c>
      <c r="C95" s="3" t="s">
        <v>1224</v>
      </c>
      <c r="D95" s="3" t="s">
        <v>459</v>
      </c>
    </row>
    <row r="96" customFormat="false" ht="35.05" hidden="false" customHeight="false" outlineLevel="0" collapsed="false">
      <c r="A96" s="3" t="n">
        <v>93</v>
      </c>
      <c r="B96" s="3" t="s">
        <v>1296</v>
      </c>
      <c r="C96" s="3" t="s">
        <v>1224</v>
      </c>
      <c r="D96" s="3" t="s">
        <v>459</v>
      </c>
    </row>
    <row r="97" customFormat="false" ht="15" hidden="false" customHeight="false" outlineLevel="0" collapsed="false">
      <c r="A97" s="3" t="n">
        <v>94</v>
      </c>
      <c r="B97" s="3" t="s">
        <v>1297</v>
      </c>
      <c r="C97" s="3" t="s">
        <v>1224</v>
      </c>
      <c r="D97" s="3" t="s">
        <v>459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4"/>
    <col collapsed="false" customWidth="true" hidden="false" outlineLevel="0" max="3" min="3" style="0" width="60"/>
    <col collapsed="false" customWidth="true" hidden="false" outlineLevel="0" max="4" min="4" style="0" width="13"/>
  </cols>
  <sheetData>
    <row r="1" customFormat="false" ht="15" hidden="false" customHeight="false" outlineLevel="0" collapsed="false">
      <c r="A1" s="5" t="s">
        <v>1298</v>
      </c>
    </row>
    <row r="3" customFormat="false" ht="31.5" hidden="false" customHeight="true" outlineLevel="0" collapsed="false">
      <c r="A3" s="6" t="s">
        <v>1299</v>
      </c>
      <c r="B3" s="6" t="s">
        <v>1300</v>
      </c>
      <c r="C3" s="6" t="s">
        <v>1301</v>
      </c>
      <c r="D3" s="6" t="s">
        <v>1302</v>
      </c>
    </row>
    <row r="4" customFormat="false" ht="15" hidden="false" customHeight="false" outlineLevel="0" collapsed="false">
      <c r="A4" s="3" t="s">
        <v>1303</v>
      </c>
      <c r="B4" s="3" t="s">
        <v>1304</v>
      </c>
      <c r="C4" s="3" t="s">
        <v>1305</v>
      </c>
      <c r="D4" s="3" t="n">
        <f aca="false">COUNTIF(13_Projects!$N$4:$N$85,"*"&amp;B4&amp;"*")</f>
        <v>31</v>
      </c>
    </row>
    <row r="5" customFormat="false" ht="15" hidden="false" customHeight="false" outlineLevel="0" collapsed="false">
      <c r="A5" s="3" t="s">
        <v>1306</v>
      </c>
      <c r="B5" s="3" t="s">
        <v>1307</v>
      </c>
      <c r="C5" s="3" t="s">
        <v>1308</v>
      </c>
      <c r="D5" s="3" t="n">
        <f aca="false">COUNTIF(13_Projects!$N$4:$N$85,"*"&amp;B5&amp;"*")</f>
        <v>6</v>
      </c>
    </row>
    <row r="6" customFormat="false" ht="15" hidden="false" customHeight="false" outlineLevel="0" collapsed="false">
      <c r="A6" s="3" t="s">
        <v>1309</v>
      </c>
      <c r="B6" s="3" t="s">
        <v>136</v>
      </c>
      <c r="C6" s="3" t="s">
        <v>1310</v>
      </c>
      <c r="D6" s="3" t="n">
        <f aca="false">COUNTIF(13_Projects!$N$4:$N$85,"*"&amp;B6&amp;"*")</f>
        <v>53</v>
      </c>
    </row>
    <row r="7" customFormat="false" ht="15" hidden="false" customHeight="false" outlineLevel="0" collapsed="false">
      <c r="A7" s="3" t="s">
        <v>1311</v>
      </c>
      <c r="B7" s="3" t="s">
        <v>1312</v>
      </c>
      <c r="C7" s="3" t="s">
        <v>1313</v>
      </c>
      <c r="D7" s="3" t="n">
        <f aca="false">COUNTIF(13_Projects!$N$4:$N$85,"*"&amp;B7&amp;"*")</f>
        <v>18</v>
      </c>
    </row>
    <row r="8" customFormat="false" ht="15" hidden="false" customHeight="false" outlineLevel="0" collapsed="false">
      <c r="A8" s="3" t="s">
        <v>1314</v>
      </c>
      <c r="B8" s="3" t="s">
        <v>1315</v>
      </c>
      <c r="C8" s="3" t="s">
        <v>1316</v>
      </c>
      <c r="D8" s="3" t="n">
        <f aca="false">COUNTIF(13_Projects!$N$4:$N$85,"*"&amp;B8&amp;"*")</f>
        <v>2</v>
      </c>
    </row>
    <row r="9" customFormat="false" ht="15" hidden="false" customHeight="false" outlineLevel="0" collapsed="false">
      <c r="A9" s="3" t="s">
        <v>1317</v>
      </c>
      <c r="B9" s="3" t="s">
        <v>172</v>
      </c>
      <c r="C9" s="3" t="s">
        <v>1318</v>
      </c>
      <c r="D9" s="3" t="n">
        <f aca="false">COUNTIF(13_Projects!$N$4:$N$85,"*"&amp;B9&amp;"*")</f>
        <v>19</v>
      </c>
    </row>
    <row r="10" customFormat="false" ht="15" hidden="false" customHeight="false" outlineLevel="0" collapsed="false">
      <c r="A10" s="3" t="s">
        <v>810</v>
      </c>
      <c r="B10" s="3" t="s">
        <v>1319</v>
      </c>
      <c r="C10" s="3" t="s">
        <v>1320</v>
      </c>
      <c r="D10" s="3" t="n">
        <f aca="false">COUNTIF(13_Projects!$N$4:$N$85,"*"&amp;B10&amp;"*")</f>
        <v>16</v>
      </c>
    </row>
    <row r="11" customFormat="false" ht="15" hidden="false" customHeight="false" outlineLevel="0" collapsed="false">
      <c r="A11" s="3" t="s">
        <v>1321</v>
      </c>
      <c r="B11" s="3" t="s">
        <v>220</v>
      </c>
      <c r="C11" s="3" t="s">
        <v>1322</v>
      </c>
      <c r="D11" s="3" t="n">
        <f aca="false">COUNTIF(13_Projects!$N$4:$N$85,"*"&amp;B11&amp;"*")</f>
        <v>12</v>
      </c>
    </row>
    <row r="12" customFormat="false" ht="15" hidden="false" customHeight="false" outlineLevel="0" collapsed="false">
      <c r="A12" s="3" t="s">
        <v>1323</v>
      </c>
      <c r="B12" s="3" t="s">
        <v>1324</v>
      </c>
      <c r="C12" s="3" t="s">
        <v>1325</v>
      </c>
      <c r="D12" s="3" t="n">
        <f aca="false">COUNTIF(13_Projects!$N$4:$N$85,"*"&amp;B12&amp;"*")</f>
        <v>21</v>
      </c>
    </row>
    <row r="13" customFormat="false" ht="15" hidden="false" customHeight="false" outlineLevel="0" collapsed="false">
      <c r="A13" s="3" t="s">
        <v>1326</v>
      </c>
      <c r="B13" s="3" t="s">
        <v>184</v>
      </c>
      <c r="C13" s="3" t="s">
        <v>1327</v>
      </c>
      <c r="D13" s="3" t="n">
        <f aca="false">COUNTIF(13_Projects!$N$4:$N$85,"*"&amp;B13&amp;"*")</f>
        <v>18</v>
      </c>
    </row>
    <row r="14" customFormat="false" ht="15" hidden="false" customHeight="false" outlineLevel="0" collapsed="false">
      <c r="A14" s="3" t="s">
        <v>1328</v>
      </c>
      <c r="B14" s="3" t="s">
        <v>187</v>
      </c>
      <c r="C14" s="3" t="s">
        <v>1329</v>
      </c>
      <c r="D14" s="3" t="n">
        <f aca="false">COUNTIF(13_Projects!$N$4:$N$85,"*"&amp;B14&amp;"*")</f>
        <v>21</v>
      </c>
    </row>
    <row r="15" customFormat="false" ht="15" hidden="false" customHeight="false" outlineLevel="0" collapsed="false">
      <c r="A15" s="3" t="s">
        <v>1330</v>
      </c>
      <c r="B15" s="3" t="s">
        <v>1331</v>
      </c>
      <c r="C15" s="3" t="s">
        <v>1332</v>
      </c>
      <c r="D15" s="3" t="n">
        <f aca="false">COUNTIF(13_Projects!$N$4:$N$85,"*"&amp;B15&amp;"*")</f>
        <v>17</v>
      </c>
    </row>
    <row r="16" customFormat="false" ht="15" hidden="false" customHeight="false" outlineLevel="0" collapsed="false">
      <c r="A16" s="3" t="s">
        <v>1333</v>
      </c>
      <c r="B16" s="3" t="s">
        <v>1334</v>
      </c>
      <c r="C16" s="3" t="s">
        <v>1335</v>
      </c>
      <c r="D16" s="3" t="n">
        <f aca="false">COUNTIF(13_Projects!$N$4:$N$85,"*"&amp;B16&amp;"*")</f>
        <v>14</v>
      </c>
    </row>
    <row r="17" customFormat="false" ht="15" hidden="false" customHeight="false" outlineLevel="0" collapsed="false">
      <c r="A17" s="3" t="s">
        <v>1336</v>
      </c>
      <c r="B17" s="3" t="s">
        <v>1337</v>
      </c>
      <c r="C17" s="3" t="s">
        <v>1338</v>
      </c>
      <c r="D17" s="3" t="n">
        <f aca="false">COUNTIF(13_Projects!$N$4:$N$85,"*"&amp;B17&amp;"*")</f>
        <v>20</v>
      </c>
    </row>
    <row r="18" customFormat="false" ht="15" hidden="false" customHeight="false" outlineLevel="0" collapsed="false">
      <c r="A18" s="3" t="s">
        <v>1339</v>
      </c>
      <c r="B18" s="3" t="s">
        <v>1340</v>
      </c>
      <c r="C18" s="3" t="s">
        <v>1341</v>
      </c>
      <c r="D18" s="3" t="n">
        <f aca="false">COUNTIF(13_Projects!$N$4:$N$85,"*"&amp;B18&amp;"*")</f>
        <v>1</v>
      </c>
    </row>
    <row r="19" customFormat="false" ht="15" hidden="false" customHeight="false" outlineLevel="0" collapsed="false">
      <c r="A19" s="3" t="s">
        <v>1342</v>
      </c>
      <c r="B19" s="3" t="s">
        <v>1343</v>
      </c>
      <c r="C19" s="3" t="s">
        <v>379</v>
      </c>
      <c r="D19" s="3" t="n">
        <f aca="false">COUNTIF(13_Projects!$N$4:$N$85,"*"&amp;B19&amp;"*")</f>
        <v>4</v>
      </c>
    </row>
    <row r="20" customFormat="false" ht="15" hidden="false" customHeight="false" outlineLevel="0" collapsed="false">
      <c r="A20" s="3" t="s">
        <v>1344</v>
      </c>
      <c r="B20" s="3" t="s">
        <v>1345</v>
      </c>
      <c r="C20" s="3" t="s">
        <v>1346</v>
      </c>
      <c r="D20" s="3" t="n">
        <f aca="false">COUNTIF(13_Projects!$N$4:$N$85,"*"&amp;B20&amp;"*")</f>
        <v>9</v>
      </c>
    </row>
    <row r="21" customFormat="false" ht="15" hidden="false" customHeight="false" outlineLevel="0" collapsed="false">
      <c r="A21" s="3" t="s">
        <v>1347</v>
      </c>
      <c r="B21" s="3" t="s">
        <v>196</v>
      </c>
      <c r="C21" s="3" t="s">
        <v>1348</v>
      </c>
      <c r="D21" s="3" t="n">
        <f aca="false">COUNTIF(13_Projects!$N$4:$N$85,"*"&amp;B21&amp;"*")</f>
        <v>3</v>
      </c>
    </row>
    <row r="22" customFormat="false" ht="15" hidden="false" customHeight="false" outlineLevel="0" collapsed="false">
      <c r="A22" s="3" t="s">
        <v>909</v>
      </c>
      <c r="B22" s="3" t="s">
        <v>1349</v>
      </c>
      <c r="C22" s="3" t="s">
        <v>1350</v>
      </c>
      <c r="D22" s="3" t="n">
        <f aca="false">COUNTIF(13_Projects!$N$4:$N$85,"*"&amp;B22&amp;"*")</f>
        <v>15</v>
      </c>
    </row>
    <row r="23" customFormat="false" ht="15" hidden="false" customHeight="false" outlineLevel="0" collapsed="false">
      <c r="A23" s="3" t="s">
        <v>1351</v>
      </c>
      <c r="B23" s="3" t="s">
        <v>160</v>
      </c>
      <c r="C23" s="3" t="s">
        <v>1352</v>
      </c>
      <c r="D23" s="3" t="n">
        <f aca="false">COUNTIF(13_Projects!$N$4:$N$85,"*"&amp;B23&amp;"*")</f>
        <v>12</v>
      </c>
    </row>
    <row r="24" customFormat="false" ht="15" hidden="false" customHeight="false" outlineLevel="0" collapsed="false">
      <c r="A24" s="3" t="s">
        <v>1353</v>
      </c>
      <c r="B24" s="3" t="s">
        <v>1354</v>
      </c>
      <c r="C24" s="3" t="s">
        <v>1355</v>
      </c>
      <c r="D24" s="3" t="n">
        <f aca="false">COUNTIF(13_Projects!$N$4:$N$85,"*"&amp;B24&amp;"*")</f>
        <v>8</v>
      </c>
    </row>
    <row r="25" customFormat="false" ht="15" hidden="false" customHeight="false" outlineLevel="0" collapsed="false">
      <c r="A25" s="3" t="s">
        <v>1356</v>
      </c>
      <c r="B25" s="3" t="s">
        <v>1357</v>
      </c>
      <c r="C25" s="3" t="s">
        <v>1358</v>
      </c>
      <c r="D25" s="3" t="n">
        <f aca="false">COUNTIF(13_Projects!$N$4:$N$85,"*"&amp;B25&amp;"*")</f>
        <v>1</v>
      </c>
    </row>
    <row r="26" customFormat="false" ht="15" hidden="false" customHeight="false" outlineLevel="0" collapsed="false">
      <c r="A26" s="3" t="s">
        <v>1359</v>
      </c>
      <c r="B26" s="3" t="s">
        <v>1360</v>
      </c>
      <c r="C26" s="3" t="s">
        <v>1361</v>
      </c>
      <c r="D26" s="3" t="n">
        <f aca="false">COUNTIF(13_Projects!$N$4:$N$85,"*"&amp;B26&amp;"*")</f>
        <v>3</v>
      </c>
    </row>
    <row r="27" customFormat="false" ht="15" hidden="false" customHeight="false" outlineLevel="0" collapsed="false">
      <c r="A27" s="3" t="s">
        <v>1362</v>
      </c>
      <c r="B27" s="3" t="s">
        <v>1363</v>
      </c>
      <c r="C27" s="3" t="s">
        <v>699</v>
      </c>
      <c r="D27" s="3" t="n">
        <f aca="false">COUNTIF(13_Projects!$N$4:$N$85,"*"&amp;B27&amp;"*")</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0"/>
    <col collapsed="false" customWidth="true" hidden="false" outlineLevel="0" max="4" min="4" style="0" width="14"/>
    <col collapsed="false" customWidth="true" hidden="false" outlineLevel="0" max="5" min="5" style="0" width="34"/>
    <col collapsed="false" customWidth="true" hidden="false" outlineLevel="0" max="6" min="6" style="0" width="50"/>
    <col collapsed="false" customWidth="true" hidden="false" outlineLevel="0" max="7" min="7" style="0" width="22"/>
    <col collapsed="false" customWidth="true" hidden="false" outlineLevel="0" max="8" min="8" style="0" width="9"/>
    <col collapsed="false" customWidth="true" hidden="false" outlineLevel="0" max="9" min="9" style="0" width="14"/>
    <col collapsed="false" customWidth="true" hidden="false" outlineLevel="0" max="11" min="10" style="0" width="11"/>
    <col collapsed="false" customWidth="true" hidden="false" outlineLevel="0" max="12" min="12" style="0" width="26"/>
    <col collapsed="false" customWidth="true" hidden="false" outlineLevel="0" max="13" min="13" style="0" width="9"/>
    <col collapsed="false" customWidth="true" hidden="false" outlineLevel="0" max="14" min="14" style="0" width="50"/>
    <col collapsed="false" customWidth="true" hidden="false" outlineLevel="0" max="16" min="15" style="0" width="10"/>
    <col collapsed="false" customWidth="true" hidden="false" outlineLevel="0" max="20" min="17" style="0" width="9"/>
    <col collapsed="false" customWidth="true" hidden="false" outlineLevel="0" max="21" min="21" style="0" width="12"/>
    <col collapsed="false" customWidth="true" hidden="false" outlineLevel="0" max="22" min="22" style="0" width="46"/>
    <col collapsed="false" customWidth="true" hidden="false" outlineLevel="0" max="23" min="23" style="0" width="34"/>
  </cols>
  <sheetData>
    <row r="1" customFormat="false" ht="15" hidden="false" customHeight="false" outlineLevel="0" collapsed="false">
      <c r="A1" s="5" t="s">
        <v>1364</v>
      </c>
    </row>
    <row r="2" customFormat="false" ht="15" hidden="false" customHeight="false" outlineLevel="0" collapsed="false">
      <c r="A2" s="16" t="s">
        <v>1365</v>
      </c>
    </row>
    <row r="3" customFormat="false" ht="31.5" hidden="false" customHeight="true" outlineLevel="0" collapsed="false">
      <c r="A3" s="6" t="s">
        <v>1366</v>
      </c>
      <c r="B3" s="6" t="s">
        <v>1367</v>
      </c>
      <c r="C3" s="6" t="s">
        <v>1368</v>
      </c>
      <c r="D3" s="6" t="s">
        <v>1369</v>
      </c>
      <c r="E3" s="6" t="s">
        <v>1370</v>
      </c>
      <c r="F3" s="6" t="s">
        <v>1371</v>
      </c>
      <c r="G3" s="6" t="s">
        <v>1372</v>
      </c>
      <c r="H3" s="6" t="s">
        <v>64</v>
      </c>
      <c r="I3" s="6" t="s">
        <v>1373</v>
      </c>
      <c r="J3" s="6" t="s">
        <v>1374</v>
      </c>
      <c r="K3" s="6" t="s">
        <v>1375</v>
      </c>
      <c r="L3" s="6" t="s">
        <v>1376</v>
      </c>
      <c r="M3" s="6" t="s">
        <v>1377</v>
      </c>
      <c r="N3" s="6" t="s">
        <v>1378</v>
      </c>
      <c r="O3" s="6" t="s">
        <v>1379</v>
      </c>
      <c r="P3" s="6" t="s">
        <v>1380</v>
      </c>
      <c r="Q3" s="6" t="s">
        <v>1381</v>
      </c>
      <c r="R3" s="6" t="s">
        <v>1382</v>
      </c>
      <c r="S3" s="6" t="s">
        <v>1383</v>
      </c>
      <c r="T3" s="6" t="s">
        <v>1384</v>
      </c>
      <c r="U3" s="6" t="s">
        <v>1385</v>
      </c>
      <c r="V3" s="6" t="s">
        <v>941</v>
      </c>
      <c r="W3" s="6" t="s">
        <v>1386</v>
      </c>
    </row>
    <row r="4" customFormat="false" ht="15" hidden="false" customHeight="false" outlineLevel="0" collapsed="false">
      <c r="A4" s="3" t="n">
        <v>102121</v>
      </c>
      <c r="B4" s="3" t="s">
        <v>1387</v>
      </c>
      <c r="C4" s="3" t="s">
        <v>1388</v>
      </c>
      <c r="D4" s="3" t="s">
        <v>1389</v>
      </c>
      <c r="E4" s="3" t="s">
        <v>1390</v>
      </c>
      <c r="F4" s="3" t="s">
        <v>1391</v>
      </c>
      <c r="G4" s="3" t="s">
        <v>1392</v>
      </c>
      <c r="H4" s="3" t="s">
        <v>1393</v>
      </c>
      <c r="I4" s="26" t="n">
        <v>1000000</v>
      </c>
      <c r="J4" s="27" t="n">
        <v>42635</v>
      </c>
      <c r="K4" s="27" t="n">
        <v>44012</v>
      </c>
      <c r="L4" s="3" t="s">
        <v>1394</v>
      </c>
      <c r="M4" s="3" t="s">
        <v>1395</v>
      </c>
      <c r="N4" s="3" t="s">
        <v>1304</v>
      </c>
      <c r="O4" s="3" t="n">
        <f aca="false">COUNTIFS(14_ProjectIndicators!$A$4:$A$1275,A4,14_ProjectIndicators!$H$4:$H$1275,"Mandatory")</f>
        <v>0</v>
      </c>
      <c r="P4" s="3" t="n">
        <f aca="false">COUNTIFS(14_ProjectIndicators!$A$4:$A$1275,A4,14_ProjectIndicators!$H$4:$H$1275,"Required (activity)")</f>
        <v>1</v>
      </c>
      <c r="Q4" s="3" t="n">
        <f aca="false">COUNTIFS(14_ProjectIndicators!$A$4:$A$1275,A4,14_ProjectIndicators!$H$4:$H$1275,"Optional")</f>
        <v>1</v>
      </c>
      <c r="R4" s="3" t="n">
        <f aca="false">COUNTIFS(14_ProjectIndicators!$A$4:$A$1275,A4,14_ProjectIndicators!$L$4:$L$1275,"Reported in Hub")</f>
        <v>0</v>
      </c>
      <c r="S4" s="3" t="n">
        <f aca="false">COUNTIFS(14_ProjectIndicators!$A$4:$A$1275,A4,14_ProjectIndicators!$L$4:$L$1275,"Possibly reported – check")</f>
        <v>0</v>
      </c>
      <c r="T4" s="3" t="n">
        <f aca="false">COUNTIFS(14_ProjectIndicators!$A$4:$A$1275,A4,14_ProjectIndicators!$L$4:$L$1275,"Not yet reported")</f>
        <v>0</v>
      </c>
      <c r="U4" s="3" t="s">
        <v>1396</v>
      </c>
      <c r="V4" s="3" t="s">
        <v>1397</v>
      </c>
      <c r="W4" s="28" t="s">
        <v>1398</v>
      </c>
    </row>
    <row r="5" customFormat="false" ht="15" hidden="false" customHeight="false" outlineLevel="0" collapsed="false">
      <c r="A5" s="3" t="n">
        <v>127867</v>
      </c>
      <c r="B5" s="3" t="s">
        <v>1399</v>
      </c>
      <c r="C5" s="3" t="s">
        <v>1388</v>
      </c>
      <c r="D5" s="3" t="s">
        <v>1389</v>
      </c>
      <c r="E5" s="3" t="s">
        <v>1400</v>
      </c>
      <c r="F5" s="3" t="s">
        <v>1401</v>
      </c>
      <c r="G5" s="3" t="s">
        <v>1402</v>
      </c>
      <c r="H5" s="3" t="s">
        <v>1393</v>
      </c>
      <c r="I5" s="26" t="n">
        <v>700000</v>
      </c>
      <c r="J5" s="27" t="n">
        <v>44390</v>
      </c>
      <c r="K5" s="27" t="n">
        <v>44754</v>
      </c>
      <c r="L5" s="3" t="s">
        <v>1394</v>
      </c>
      <c r="M5" s="3" t="s">
        <v>1395</v>
      </c>
      <c r="N5" s="3" t="s">
        <v>1304</v>
      </c>
      <c r="O5" s="3" t="n">
        <f aca="false">COUNTIFS(14_ProjectIndicators!$A$4:$A$1275,A5,14_ProjectIndicators!$H$4:$H$1275,"Mandatory")</f>
        <v>0</v>
      </c>
      <c r="P5" s="3" t="n">
        <f aca="false">COUNTIFS(14_ProjectIndicators!$A$4:$A$1275,A5,14_ProjectIndicators!$H$4:$H$1275,"Required (activity)")</f>
        <v>1</v>
      </c>
      <c r="Q5" s="3" t="n">
        <f aca="false">COUNTIFS(14_ProjectIndicators!$A$4:$A$1275,A5,14_ProjectIndicators!$H$4:$H$1275,"Optional")</f>
        <v>1</v>
      </c>
      <c r="R5" s="3" t="n">
        <f aca="false">COUNTIFS(14_ProjectIndicators!$A$4:$A$1275,A5,14_ProjectIndicators!$L$4:$L$1275,"Reported in Hub")</f>
        <v>0</v>
      </c>
      <c r="S5" s="3" t="n">
        <f aca="false">COUNTIFS(14_ProjectIndicators!$A$4:$A$1275,A5,14_ProjectIndicators!$L$4:$L$1275,"Possibly reported – check")</f>
        <v>0</v>
      </c>
      <c r="T5" s="3" t="n">
        <f aca="false">COUNTIFS(14_ProjectIndicators!$A$4:$A$1275,A5,14_ProjectIndicators!$L$4:$L$1275,"Not yet reported")</f>
        <v>0</v>
      </c>
      <c r="U5" s="3" t="s">
        <v>1396</v>
      </c>
      <c r="V5" s="3" t="s">
        <v>1403</v>
      </c>
      <c r="W5" s="28" t="s">
        <v>1404</v>
      </c>
    </row>
    <row r="6" customFormat="false" ht="15" hidden="false" customHeight="false" outlineLevel="0" collapsed="false">
      <c r="A6" s="3" t="n">
        <v>140619</v>
      </c>
      <c r="B6" s="3" t="s">
        <v>1405</v>
      </c>
      <c r="C6" s="3" t="s">
        <v>1388</v>
      </c>
      <c r="D6" s="3" t="s">
        <v>1389</v>
      </c>
      <c r="E6" s="3" t="s">
        <v>1406</v>
      </c>
      <c r="F6" s="3" t="s">
        <v>1407</v>
      </c>
      <c r="G6" s="3" t="s">
        <v>1408</v>
      </c>
      <c r="H6" s="3" t="s">
        <v>1393</v>
      </c>
      <c r="I6" s="26" t="n">
        <v>600000</v>
      </c>
      <c r="J6" s="27" t="n">
        <v>45349</v>
      </c>
      <c r="K6" s="27" t="n">
        <v>45688</v>
      </c>
      <c r="L6" s="3" t="s">
        <v>1394</v>
      </c>
      <c r="M6" s="3" t="s">
        <v>1395</v>
      </c>
      <c r="N6" s="3" t="s">
        <v>1304</v>
      </c>
      <c r="O6" s="3" t="n">
        <f aca="false">COUNTIFS(14_ProjectIndicators!$A$4:$A$1275,A6,14_ProjectIndicators!$H$4:$H$1275,"Mandatory")</f>
        <v>0</v>
      </c>
      <c r="P6" s="3" t="n">
        <f aca="false">COUNTIFS(14_ProjectIndicators!$A$4:$A$1275,A6,14_ProjectIndicators!$H$4:$H$1275,"Required (activity)")</f>
        <v>1</v>
      </c>
      <c r="Q6" s="3" t="n">
        <f aca="false">COUNTIFS(14_ProjectIndicators!$A$4:$A$1275,A6,14_ProjectIndicators!$H$4:$H$1275,"Optional")</f>
        <v>1</v>
      </c>
      <c r="R6" s="3" t="n">
        <f aca="false">COUNTIFS(14_ProjectIndicators!$A$4:$A$1275,A6,14_ProjectIndicators!$L$4:$L$1275,"Reported in Hub")</f>
        <v>0</v>
      </c>
      <c r="S6" s="3" t="n">
        <f aca="false">COUNTIFS(14_ProjectIndicators!$A$4:$A$1275,A6,14_ProjectIndicators!$L$4:$L$1275,"Possibly reported – check")</f>
        <v>0</v>
      </c>
      <c r="T6" s="3" t="n">
        <f aca="false">COUNTIFS(14_ProjectIndicators!$A$4:$A$1275,A6,14_ProjectIndicators!$L$4:$L$1275,"Not yet reported")</f>
        <v>0</v>
      </c>
      <c r="U6" s="3" t="s">
        <v>1396</v>
      </c>
      <c r="V6" s="3" t="s">
        <v>1409</v>
      </c>
      <c r="W6" s="28" t="s">
        <v>1410</v>
      </c>
    </row>
    <row r="7" customFormat="false" ht="15" hidden="false" customHeight="false" outlineLevel="0" collapsed="false">
      <c r="A7" s="3" t="n">
        <v>141105</v>
      </c>
      <c r="B7" s="3" t="s">
        <v>1411</v>
      </c>
      <c r="C7" s="3" t="s">
        <v>1388</v>
      </c>
      <c r="D7" s="3" t="s">
        <v>1389</v>
      </c>
      <c r="E7" s="3" t="s">
        <v>1412</v>
      </c>
      <c r="F7" s="3" t="s">
        <v>1412</v>
      </c>
      <c r="G7" s="3" t="s">
        <v>1408</v>
      </c>
      <c r="H7" s="3" t="s">
        <v>1393</v>
      </c>
      <c r="I7" s="26" t="n">
        <v>300000</v>
      </c>
      <c r="J7" s="27" t="n">
        <v>45755</v>
      </c>
      <c r="K7" s="27" t="n">
        <v>45908</v>
      </c>
      <c r="L7" s="3" t="s">
        <v>1394</v>
      </c>
      <c r="M7" s="3" t="s">
        <v>1395</v>
      </c>
      <c r="N7" s="3" t="s">
        <v>1413</v>
      </c>
      <c r="O7" s="3" t="n">
        <f aca="false">COUNTIFS(14_ProjectIndicators!$A$4:$A$1275,A7,14_ProjectIndicators!$H$4:$H$1275,"Mandatory")</f>
        <v>0</v>
      </c>
      <c r="P7" s="3" t="n">
        <f aca="false">COUNTIFS(14_ProjectIndicators!$A$4:$A$1275,A7,14_ProjectIndicators!$H$4:$H$1275,"Required (activity)")</f>
        <v>3</v>
      </c>
      <c r="Q7" s="3" t="n">
        <f aca="false">COUNTIFS(14_ProjectIndicators!$A$4:$A$1275,A7,14_ProjectIndicators!$H$4:$H$1275,"Optional")</f>
        <v>6</v>
      </c>
      <c r="R7" s="3" t="n">
        <f aca="false">COUNTIFS(14_ProjectIndicators!$A$4:$A$1275,A7,14_ProjectIndicators!$L$4:$L$1275,"Reported in Hub")</f>
        <v>0</v>
      </c>
      <c r="S7" s="3" t="n">
        <f aca="false">COUNTIFS(14_ProjectIndicators!$A$4:$A$1275,A7,14_ProjectIndicators!$L$4:$L$1275,"Possibly reported – check")</f>
        <v>0</v>
      </c>
      <c r="T7" s="3" t="n">
        <f aca="false">COUNTIFS(14_ProjectIndicators!$A$4:$A$1275,A7,14_ProjectIndicators!$L$4:$L$1275,"Not yet reported")</f>
        <v>0</v>
      </c>
      <c r="U7" s="3" t="s">
        <v>1396</v>
      </c>
      <c r="V7" s="3" t="s">
        <v>1414</v>
      </c>
      <c r="W7" s="28" t="s">
        <v>1415</v>
      </c>
    </row>
    <row r="8" customFormat="false" ht="57.45" hidden="false" customHeight="false" outlineLevel="0" collapsed="false">
      <c r="A8" s="3" t="n">
        <v>141300</v>
      </c>
      <c r="B8" s="3" t="s">
        <v>1416</v>
      </c>
      <c r="C8" s="3" t="s">
        <v>1388</v>
      </c>
      <c r="D8" s="3" t="s">
        <v>1417</v>
      </c>
      <c r="E8" s="3" t="s">
        <v>1418</v>
      </c>
      <c r="F8" s="3" t="s">
        <v>1419</v>
      </c>
      <c r="G8" s="3" t="s">
        <v>1420</v>
      </c>
      <c r="H8" s="3" t="s">
        <v>1421</v>
      </c>
      <c r="I8" s="26" t="n">
        <v>20000000</v>
      </c>
      <c r="J8" s="27" t="n">
        <v>45942</v>
      </c>
      <c r="K8" s="27" t="n">
        <v>47403</v>
      </c>
      <c r="L8" s="3" t="s">
        <v>1422</v>
      </c>
      <c r="M8" s="3" t="s">
        <v>1423</v>
      </c>
      <c r="N8" s="3" t="s">
        <v>1424</v>
      </c>
      <c r="O8" s="3" t="n">
        <f aca="false">COUNTIFS(14_ProjectIndicators!$A$4:$A$1275,A8,14_ProjectIndicators!$H$4:$H$1275,"Mandatory")</f>
        <v>11</v>
      </c>
      <c r="P8" s="3" t="n">
        <f aca="false">COUNTIFS(14_ProjectIndicators!$A$4:$A$1275,A8,14_ProjectIndicators!$H$4:$H$1275,"Required (activity)")</f>
        <v>9</v>
      </c>
      <c r="Q8" s="3" t="n">
        <f aca="false">COUNTIFS(14_ProjectIndicators!$A$4:$A$1275,A8,14_ProjectIndicators!$H$4:$H$1275,"Optional")</f>
        <v>20</v>
      </c>
      <c r="R8" s="3" t="n">
        <f aca="false">COUNTIFS(14_ProjectIndicators!$A$4:$A$1275,A8,14_ProjectIndicators!$L$4:$L$1275,"Reported in Hub")</f>
        <v>0</v>
      </c>
      <c r="S8" s="3" t="n">
        <f aca="false">COUNTIFS(14_ProjectIndicators!$A$4:$A$1275,A8,14_ProjectIndicators!$L$4:$L$1275,"Possibly reported – check")</f>
        <v>0</v>
      </c>
      <c r="T8" s="3" t="n">
        <f aca="false">COUNTIFS(14_ProjectIndicators!$A$4:$A$1275,A8,14_ProjectIndicators!$L$4:$L$1275,"Not yet reported")</f>
        <v>40</v>
      </c>
      <c r="U8" s="3" t="s">
        <v>1425</v>
      </c>
      <c r="V8" s="3" t="s">
        <v>1426</v>
      </c>
      <c r="W8" s="28" t="s">
        <v>1427</v>
      </c>
    </row>
    <row r="9" customFormat="false" ht="35.05" hidden="false" customHeight="false" outlineLevel="0" collapsed="false">
      <c r="A9" s="3" t="n">
        <v>140915</v>
      </c>
      <c r="B9" s="3" t="s">
        <v>1428</v>
      </c>
      <c r="C9" s="3" t="s">
        <v>1388</v>
      </c>
      <c r="D9" s="3" t="s">
        <v>1417</v>
      </c>
      <c r="E9" s="3" t="s">
        <v>1429</v>
      </c>
      <c r="F9" s="3" t="s">
        <v>1430</v>
      </c>
      <c r="G9" s="3" t="s">
        <v>1431</v>
      </c>
      <c r="H9" s="3" t="s">
        <v>1421</v>
      </c>
      <c r="I9" s="26" t="n">
        <v>20512743</v>
      </c>
      <c r="J9" s="27" t="n">
        <v>45614</v>
      </c>
      <c r="K9" s="27" t="n">
        <v>46708</v>
      </c>
      <c r="L9" s="3" t="s">
        <v>1432</v>
      </c>
      <c r="M9" s="3" t="s">
        <v>1395</v>
      </c>
      <c r="N9" s="3" t="s">
        <v>1433</v>
      </c>
      <c r="O9" s="3" t="n">
        <f aca="false">COUNTIFS(14_ProjectIndicators!$A$4:$A$1275,A9,14_ProjectIndicators!$H$4:$H$1275,"Mandatory")</f>
        <v>8</v>
      </c>
      <c r="P9" s="3" t="n">
        <f aca="false">COUNTIFS(14_ProjectIndicators!$A$4:$A$1275,A9,14_ProjectIndicators!$H$4:$H$1275,"Required (activity)")</f>
        <v>5</v>
      </c>
      <c r="Q9" s="3" t="n">
        <f aca="false">COUNTIFS(14_ProjectIndicators!$A$4:$A$1275,A9,14_ProjectIndicators!$H$4:$H$1275,"Optional")</f>
        <v>6</v>
      </c>
      <c r="R9" s="3" t="n">
        <f aca="false">COUNTIFS(14_ProjectIndicators!$A$4:$A$1275,A9,14_ProjectIndicators!$L$4:$L$1275,"Reported in Hub")</f>
        <v>0</v>
      </c>
      <c r="S9" s="3" t="n">
        <f aca="false">COUNTIFS(14_ProjectIndicators!$A$4:$A$1275,A9,14_ProjectIndicators!$L$4:$L$1275,"Possibly reported – check")</f>
        <v>0</v>
      </c>
      <c r="T9" s="3" t="n">
        <f aca="false">COUNTIFS(14_ProjectIndicators!$A$4:$A$1275,A9,14_ProjectIndicators!$L$4:$L$1275,"Not yet reported")</f>
        <v>19</v>
      </c>
      <c r="U9" s="3" t="s">
        <v>1396</v>
      </c>
      <c r="V9" s="3" t="s">
        <v>1434</v>
      </c>
      <c r="W9" s="28" t="s">
        <v>1435</v>
      </c>
    </row>
    <row r="10" customFormat="false" ht="35.05" hidden="false" customHeight="false" outlineLevel="0" collapsed="false">
      <c r="A10" s="3" t="n">
        <v>141297</v>
      </c>
      <c r="B10" s="3" t="s">
        <v>1436</v>
      </c>
      <c r="C10" s="3" t="s">
        <v>1388</v>
      </c>
      <c r="D10" s="3" t="s">
        <v>1417</v>
      </c>
      <c r="E10" s="3" t="s">
        <v>1437</v>
      </c>
      <c r="F10" s="3" t="s">
        <v>1438</v>
      </c>
      <c r="G10" s="3" t="s">
        <v>1439</v>
      </c>
      <c r="H10" s="3" t="s">
        <v>1421</v>
      </c>
      <c r="I10" s="26" t="n">
        <v>11100000</v>
      </c>
      <c r="J10" s="27" t="n">
        <v>45962</v>
      </c>
      <c r="K10" s="27" t="n">
        <v>47057</v>
      </c>
      <c r="L10" s="3" t="s">
        <v>1440</v>
      </c>
      <c r="M10" s="3" t="s">
        <v>1395</v>
      </c>
      <c r="N10" s="3" t="s">
        <v>1441</v>
      </c>
      <c r="O10" s="3" t="n">
        <f aca="false">COUNTIFS(14_ProjectIndicators!$A$4:$A$1275,A10,14_ProjectIndicators!$H$4:$H$1275,"Mandatory")</f>
        <v>5</v>
      </c>
      <c r="P10" s="3" t="n">
        <f aca="false">COUNTIFS(14_ProjectIndicators!$A$4:$A$1275,A10,14_ProjectIndicators!$H$4:$H$1275,"Required (activity)")</f>
        <v>1</v>
      </c>
      <c r="Q10" s="3" t="n">
        <f aca="false">COUNTIFS(14_ProjectIndicators!$A$4:$A$1275,A10,14_ProjectIndicators!$H$4:$H$1275,"Optional")</f>
        <v>3</v>
      </c>
      <c r="R10" s="3" t="n">
        <f aca="false">COUNTIFS(14_ProjectIndicators!$A$4:$A$1275,A10,14_ProjectIndicators!$L$4:$L$1275,"Reported in Hub")</f>
        <v>0</v>
      </c>
      <c r="S10" s="3" t="n">
        <f aca="false">COUNTIFS(14_ProjectIndicators!$A$4:$A$1275,A10,14_ProjectIndicators!$L$4:$L$1275,"Possibly reported – check")</f>
        <v>0</v>
      </c>
      <c r="T10" s="3" t="n">
        <f aca="false">COUNTIFS(14_ProjectIndicators!$A$4:$A$1275,A10,14_ProjectIndicators!$L$4:$L$1275,"Not yet reported")</f>
        <v>9</v>
      </c>
      <c r="U10" s="3" t="s">
        <v>1396</v>
      </c>
      <c r="V10" s="3" t="s">
        <v>1442</v>
      </c>
      <c r="W10" s="28" t="s">
        <v>1443</v>
      </c>
    </row>
    <row r="11" customFormat="false" ht="23.85" hidden="false" customHeight="false" outlineLevel="0" collapsed="false">
      <c r="A11" s="3" t="n">
        <v>141343</v>
      </c>
      <c r="B11" s="3" t="s">
        <v>1444</v>
      </c>
      <c r="C11" s="3" t="s">
        <v>1388</v>
      </c>
      <c r="D11" s="3" t="s">
        <v>1417</v>
      </c>
      <c r="E11" s="3" t="s">
        <v>1445</v>
      </c>
      <c r="F11" s="3" t="s">
        <v>1446</v>
      </c>
      <c r="G11" s="3" t="s">
        <v>1439</v>
      </c>
      <c r="H11" s="3" t="s">
        <v>1421</v>
      </c>
      <c r="I11" s="26" t="n">
        <v>7300000</v>
      </c>
      <c r="J11" s="27" t="n">
        <v>45992</v>
      </c>
      <c r="K11" s="27" t="n">
        <v>47087</v>
      </c>
      <c r="L11" s="3" t="s">
        <v>1440</v>
      </c>
      <c r="M11" s="3" t="s">
        <v>1395</v>
      </c>
      <c r="N11" s="3" t="s">
        <v>1447</v>
      </c>
      <c r="O11" s="3" t="n">
        <f aca="false">COUNTIFS(14_ProjectIndicators!$A$4:$A$1275,A11,14_ProjectIndicators!$H$4:$H$1275,"Mandatory")</f>
        <v>5</v>
      </c>
      <c r="P11" s="3" t="n">
        <f aca="false">COUNTIFS(14_ProjectIndicators!$A$4:$A$1275,A11,14_ProjectIndicators!$H$4:$H$1275,"Required (activity)")</f>
        <v>3</v>
      </c>
      <c r="Q11" s="3" t="n">
        <f aca="false">COUNTIFS(14_ProjectIndicators!$A$4:$A$1275,A11,14_ProjectIndicators!$H$4:$H$1275,"Optional")</f>
        <v>7</v>
      </c>
      <c r="R11" s="3" t="n">
        <f aca="false">COUNTIFS(14_ProjectIndicators!$A$4:$A$1275,A11,14_ProjectIndicators!$L$4:$L$1275,"Reported in Hub")</f>
        <v>0</v>
      </c>
      <c r="S11" s="3" t="n">
        <f aca="false">COUNTIFS(14_ProjectIndicators!$A$4:$A$1275,A11,14_ProjectIndicators!$L$4:$L$1275,"Possibly reported – check")</f>
        <v>0</v>
      </c>
      <c r="T11" s="3" t="n">
        <f aca="false">COUNTIFS(14_ProjectIndicators!$A$4:$A$1275,A11,14_ProjectIndicators!$L$4:$L$1275,"Not yet reported")</f>
        <v>15</v>
      </c>
      <c r="U11" s="3" t="s">
        <v>1396</v>
      </c>
      <c r="V11" s="3" t="s">
        <v>1448</v>
      </c>
      <c r="W11" s="28" t="s">
        <v>1449</v>
      </c>
    </row>
    <row r="12" customFormat="false" ht="23.85" hidden="false" customHeight="false" outlineLevel="0" collapsed="false">
      <c r="A12" s="3" t="n">
        <v>102312</v>
      </c>
      <c r="B12" s="3" t="s">
        <v>1450</v>
      </c>
      <c r="C12" s="3" t="s">
        <v>1388</v>
      </c>
      <c r="D12" s="3" t="s">
        <v>1417</v>
      </c>
      <c r="E12" s="3" t="s">
        <v>1451</v>
      </c>
      <c r="F12" s="3" t="s">
        <v>1452</v>
      </c>
      <c r="G12" s="3" t="s">
        <v>1453</v>
      </c>
      <c r="H12" s="3" t="s">
        <v>1393</v>
      </c>
      <c r="I12" s="26" t="n">
        <v>1016010</v>
      </c>
      <c r="J12" s="27" t="n">
        <v>42641</v>
      </c>
      <c r="K12" s="27" t="n">
        <v>43830</v>
      </c>
      <c r="L12" s="3" t="s">
        <v>1394</v>
      </c>
      <c r="M12" s="3" t="s">
        <v>1395</v>
      </c>
      <c r="N12" s="3" t="s">
        <v>1304</v>
      </c>
      <c r="O12" s="3" t="n">
        <f aca="false">COUNTIFS(14_ProjectIndicators!$A$4:$A$1275,A12,14_ProjectIndicators!$H$4:$H$1275,"Mandatory")</f>
        <v>0</v>
      </c>
      <c r="P12" s="3" t="n">
        <f aca="false">COUNTIFS(14_ProjectIndicators!$A$4:$A$1275,A12,14_ProjectIndicators!$H$4:$H$1275,"Required (activity)")</f>
        <v>1</v>
      </c>
      <c r="Q12" s="3" t="n">
        <f aca="false">COUNTIFS(14_ProjectIndicators!$A$4:$A$1275,A12,14_ProjectIndicators!$H$4:$H$1275,"Optional")</f>
        <v>1</v>
      </c>
      <c r="R12" s="3" t="n">
        <f aca="false">COUNTIFS(14_ProjectIndicators!$A$4:$A$1275,A12,14_ProjectIndicators!$L$4:$L$1275,"Reported in Hub")</f>
        <v>0</v>
      </c>
      <c r="S12" s="3" t="n">
        <f aca="false">COUNTIFS(14_ProjectIndicators!$A$4:$A$1275,A12,14_ProjectIndicators!$L$4:$L$1275,"Possibly reported – check")</f>
        <v>0</v>
      </c>
      <c r="T12" s="3" t="n">
        <f aca="false">COUNTIFS(14_ProjectIndicators!$A$4:$A$1275,A12,14_ProjectIndicators!$L$4:$L$1275,"Not yet reported")</f>
        <v>0</v>
      </c>
      <c r="U12" s="3" t="s">
        <v>1396</v>
      </c>
      <c r="V12" s="3" t="s">
        <v>1454</v>
      </c>
      <c r="W12" s="28" t="s">
        <v>1455</v>
      </c>
    </row>
    <row r="13" customFormat="false" ht="23.85" hidden="false" customHeight="false" outlineLevel="0" collapsed="false">
      <c r="A13" s="3" t="n">
        <v>140410</v>
      </c>
      <c r="B13" s="3" t="s">
        <v>1456</v>
      </c>
      <c r="C13" s="3" t="s">
        <v>1388</v>
      </c>
      <c r="D13" s="3" t="s">
        <v>1417</v>
      </c>
      <c r="E13" s="3" t="s">
        <v>1457</v>
      </c>
      <c r="F13" s="3" t="s">
        <v>1458</v>
      </c>
      <c r="G13" s="3" t="s">
        <v>1408</v>
      </c>
      <c r="H13" s="3" t="s">
        <v>1421</v>
      </c>
      <c r="I13" s="26" t="n">
        <v>4010290</v>
      </c>
      <c r="J13" s="27" t="n">
        <v>45238</v>
      </c>
      <c r="K13" s="27" t="n">
        <v>46387</v>
      </c>
      <c r="L13" s="3" t="s">
        <v>1394</v>
      </c>
      <c r="M13" s="3" t="s">
        <v>1395</v>
      </c>
      <c r="N13" s="3" t="s">
        <v>1441</v>
      </c>
      <c r="O13" s="3" t="n">
        <f aca="false">COUNTIFS(14_ProjectIndicators!$A$4:$A$1275,A13,14_ProjectIndicators!$H$4:$H$1275,"Mandatory")</f>
        <v>0</v>
      </c>
      <c r="P13" s="3" t="n">
        <f aca="false">COUNTIFS(14_ProjectIndicators!$A$4:$A$1275,A13,14_ProjectIndicators!$H$4:$H$1275,"Required (activity)")</f>
        <v>2</v>
      </c>
      <c r="Q13" s="3" t="n">
        <f aca="false">COUNTIFS(14_ProjectIndicators!$A$4:$A$1275,A13,14_ProjectIndicators!$H$4:$H$1275,"Optional")</f>
        <v>3</v>
      </c>
      <c r="R13" s="3" t="n">
        <f aca="false">COUNTIFS(14_ProjectIndicators!$A$4:$A$1275,A13,14_ProjectIndicators!$L$4:$L$1275,"Reported in Hub")</f>
        <v>1</v>
      </c>
      <c r="S13" s="3" t="n">
        <f aca="false">COUNTIFS(14_ProjectIndicators!$A$4:$A$1275,A13,14_ProjectIndicators!$L$4:$L$1275,"Possibly reported – check")</f>
        <v>1</v>
      </c>
      <c r="T13" s="3" t="n">
        <f aca="false">COUNTIFS(14_ProjectIndicators!$A$4:$A$1275,A13,14_ProjectIndicators!$L$4:$L$1275,"Not yet reported")</f>
        <v>3</v>
      </c>
      <c r="U13" s="3" t="s">
        <v>1396</v>
      </c>
      <c r="V13" s="3" t="s">
        <v>1459</v>
      </c>
      <c r="W13" s="28" t="s">
        <v>1460</v>
      </c>
    </row>
    <row r="14" customFormat="false" ht="23.85" hidden="false" customHeight="false" outlineLevel="0" collapsed="false">
      <c r="A14" s="3" t="n">
        <v>140520</v>
      </c>
      <c r="B14" s="3" t="s">
        <v>1461</v>
      </c>
      <c r="C14" s="3" t="s">
        <v>1388</v>
      </c>
      <c r="D14" s="3" t="s">
        <v>1417</v>
      </c>
      <c r="E14" s="3" t="s">
        <v>1462</v>
      </c>
      <c r="F14" s="3" t="s">
        <v>1463</v>
      </c>
      <c r="G14" s="3" t="s">
        <v>1431</v>
      </c>
      <c r="H14" s="3" t="s">
        <v>1393</v>
      </c>
      <c r="I14" s="26" t="n">
        <v>499315.5</v>
      </c>
      <c r="J14" s="27" t="n">
        <v>45279</v>
      </c>
      <c r="K14" s="27" t="n">
        <v>45992</v>
      </c>
      <c r="L14" s="3" t="s">
        <v>1394</v>
      </c>
      <c r="M14" s="3" t="s">
        <v>1395</v>
      </c>
      <c r="N14" s="3" t="s">
        <v>1464</v>
      </c>
      <c r="O14" s="3" t="n">
        <f aca="false">COUNTIFS(14_ProjectIndicators!$A$4:$A$1275,A14,14_ProjectIndicators!$H$4:$H$1275,"Mandatory")</f>
        <v>0</v>
      </c>
      <c r="P14" s="3" t="n">
        <f aca="false">COUNTIFS(14_ProjectIndicators!$A$4:$A$1275,A14,14_ProjectIndicators!$H$4:$H$1275,"Required (activity)")</f>
        <v>4</v>
      </c>
      <c r="Q14" s="3" t="n">
        <f aca="false">COUNTIFS(14_ProjectIndicators!$A$4:$A$1275,A14,14_ProjectIndicators!$H$4:$H$1275,"Optional")</f>
        <v>1</v>
      </c>
      <c r="R14" s="3" t="n">
        <f aca="false">COUNTIFS(14_ProjectIndicators!$A$4:$A$1275,A14,14_ProjectIndicators!$L$4:$L$1275,"Reported in Hub")</f>
        <v>0</v>
      </c>
      <c r="S14" s="3" t="n">
        <f aca="false">COUNTIFS(14_ProjectIndicators!$A$4:$A$1275,A14,14_ProjectIndicators!$L$4:$L$1275,"Possibly reported – check")</f>
        <v>0</v>
      </c>
      <c r="T14" s="3" t="n">
        <f aca="false">COUNTIFS(14_ProjectIndicators!$A$4:$A$1275,A14,14_ProjectIndicators!$L$4:$L$1275,"Not yet reported")</f>
        <v>0</v>
      </c>
      <c r="U14" s="3" t="s">
        <v>1396</v>
      </c>
      <c r="V14" s="3" t="s">
        <v>1465</v>
      </c>
      <c r="W14" s="28" t="s">
        <v>1466</v>
      </c>
    </row>
    <row r="15" customFormat="false" ht="35.05" hidden="false" customHeight="false" outlineLevel="0" collapsed="false">
      <c r="A15" s="3" t="n">
        <v>141291</v>
      </c>
      <c r="B15" s="3" t="s">
        <v>1467</v>
      </c>
      <c r="C15" s="3" t="s">
        <v>1388</v>
      </c>
      <c r="D15" s="3" t="s">
        <v>1417</v>
      </c>
      <c r="E15" s="3" t="s">
        <v>1468</v>
      </c>
      <c r="F15" s="3" t="s">
        <v>1468</v>
      </c>
      <c r="G15" s="3" t="s">
        <v>1420</v>
      </c>
      <c r="H15" s="3" t="s">
        <v>1421</v>
      </c>
      <c r="I15" s="26" t="n">
        <v>400000</v>
      </c>
      <c r="J15" s="27" t="n">
        <v>45935</v>
      </c>
      <c r="K15" s="27" t="n">
        <v>46239</v>
      </c>
      <c r="L15" s="3" t="s">
        <v>1394</v>
      </c>
      <c r="M15" s="3" t="s">
        <v>1423</v>
      </c>
      <c r="N15" s="3" t="s">
        <v>1469</v>
      </c>
      <c r="O15" s="3" t="n">
        <f aca="false">COUNTIFS(14_ProjectIndicators!$A$4:$A$1275,A15,14_ProjectIndicators!$H$4:$H$1275,"Mandatory")</f>
        <v>0</v>
      </c>
      <c r="P15" s="3" t="n">
        <f aca="false">COUNTIFS(14_ProjectIndicators!$A$4:$A$1275,A15,14_ProjectIndicators!$H$4:$H$1275,"Required (activity)")</f>
        <v>6</v>
      </c>
      <c r="Q15" s="3" t="n">
        <f aca="false">COUNTIFS(14_ProjectIndicators!$A$4:$A$1275,A15,14_ProjectIndicators!$H$4:$H$1275,"Optional")</f>
        <v>4</v>
      </c>
      <c r="R15" s="3" t="n">
        <f aca="false">COUNTIFS(14_ProjectIndicators!$A$4:$A$1275,A15,14_ProjectIndicators!$L$4:$L$1275,"Reported in Hub")</f>
        <v>0</v>
      </c>
      <c r="S15" s="3" t="n">
        <f aca="false">COUNTIFS(14_ProjectIndicators!$A$4:$A$1275,A15,14_ProjectIndicators!$L$4:$L$1275,"Possibly reported – check")</f>
        <v>0</v>
      </c>
      <c r="T15" s="3" t="n">
        <f aca="false">COUNTIFS(14_ProjectIndicators!$A$4:$A$1275,A15,14_ProjectIndicators!$L$4:$L$1275,"Not yet reported")</f>
        <v>10</v>
      </c>
      <c r="U15" s="3" t="s">
        <v>1425</v>
      </c>
      <c r="V15" s="3" t="s">
        <v>1470</v>
      </c>
      <c r="W15" s="28" t="s">
        <v>1471</v>
      </c>
    </row>
    <row r="16" customFormat="false" ht="23.85" hidden="false" customHeight="false" outlineLevel="0" collapsed="false">
      <c r="A16" s="3" t="n">
        <v>103594</v>
      </c>
      <c r="B16" s="3" t="s">
        <v>1472</v>
      </c>
      <c r="C16" s="3" t="s">
        <v>1388</v>
      </c>
      <c r="D16" s="3" t="s">
        <v>1473</v>
      </c>
      <c r="E16" s="3" t="s">
        <v>1474</v>
      </c>
      <c r="F16" s="3" t="s">
        <v>1475</v>
      </c>
      <c r="G16" s="3" t="s">
        <v>1476</v>
      </c>
      <c r="H16" s="3" t="s">
        <v>1393</v>
      </c>
      <c r="I16" s="26" t="n">
        <v>1087500</v>
      </c>
      <c r="J16" s="27" t="n">
        <v>42711</v>
      </c>
      <c r="K16" s="27" t="n">
        <v>43921</v>
      </c>
      <c r="L16" s="3" t="s">
        <v>1394</v>
      </c>
      <c r="M16" s="3" t="s">
        <v>1395</v>
      </c>
      <c r="N16" s="3" t="s">
        <v>1304</v>
      </c>
      <c r="O16" s="3" t="n">
        <f aca="false">COUNTIFS(14_ProjectIndicators!$A$4:$A$1275,A16,14_ProjectIndicators!$H$4:$H$1275,"Mandatory")</f>
        <v>0</v>
      </c>
      <c r="P16" s="3" t="n">
        <f aca="false">COUNTIFS(14_ProjectIndicators!$A$4:$A$1275,A16,14_ProjectIndicators!$H$4:$H$1275,"Required (activity)")</f>
        <v>1</v>
      </c>
      <c r="Q16" s="3" t="n">
        <f aca="false">COUNTIFS(14_ProjectIndicators!$A$4:$A$1275,A16,14_ProjectIndicators!$H$4:$H$1275,"Optional")</f>
        <v>1</v>
      </c>
      <c r="R16" s="3" t="n">
        <f aca="false">COUNTIFS(14_ProjectIndicators!$A$4:$A$1275,A16,14_ProjectIndicators!$L$4:$L$1275,"Reported in Hub")</f>
        <v>0</v>
      </c>
      <c r="S16" s="3" t="n">
        <f aca="false">COUNTIFS(14_ProjectIndicators!$A$4:$A$1275,A16,14_ProjectIndicators!$L$4:$L$1275,"Possibly reported – check")</f>
        <v>0</v>
      </c>
      <c r="T16" s="3" t="n">
        <f aca="false">COUNTIFS(14_ProjectIndicators!$A$4:$A$1275,A16,14_ProjectIndicators!$L$4:$L$1275,"Not yet reported")</f>
        <v>0</v>
      </c>
      <c r="U16" s="3" t="s">
        <v>1396</v>
      </c>
      <c r="V16" s="3" t="s">
        <v>1477</v>
      </c>
      <c r="W16" s="28" t="s">
        <v>1478</v>
      </c>
    </row>
    <row r="17" customFormat="false" ht="35.05" hidden="false" customHeight="false" outlineLevel="0" collapsed="false">
      <c r="A17" s="3" t="n">
        <v>133387</v>
      </c>
      <c r="B17" s="3" t="s">
        <v>1479</v>
      </c>
      <c r="C17" s="3" t="s">
        <v>1388</v>
      </c>
      <c r="D17" s="3" t="s">
        <v>1480</v>
      </c>
      <c r="E17" s="3" t="s">
        <v>1481</v>
      </c>
      <c r="F17" s="3" t="s">
        <v>1482</v>
      </c>
      <c r="G17" s="3" t="s">
        <v>1483</v>
      </c>
      <c r="H17" s="3" t="s">
        <v>1421</v>
      </c>
      <c r="I17" s="26" t="n">
        <v>1974047</v>
      </c>
      <c r="J17" s="27" t="n">
        <v>44845</v>
      </c>
      <c r="K17" s="27" t="n">
        <v>46649</v>
      </c>
      <c r="L17" s="3" t="s">
        <v>1484</v>
      </c>
      <c r="M17" s="3" t="s">
        <v>1395</v>
      </c>
      <c r="N17" s="3" t="s">
        <v>1485</v>
      </c>
      <c r="O17" s="3" t="n">
        <f aca="false">COUNTIFS(14_ProjectIndicators!$A$4:$A$1275,A17,14_ProjectIndicators!$H$4:$H$1275,"Mandatory")</f>
        <v>8</v>
      </c>
      <c r="P17" s="3" t="n">
        <f aca="false">COUNTIFS(14_ProjectIndicators!$A$4:$A$1275,A17,14_ProjectIndicators!$H$4:$H$1275,"Required (activity)")</f>
        <v>5</v>
      </c>
      <c r="Q17" s="3" t="n">
        <f aca="false">COUNTIFS(14_ProjectIndicators!$A$4:$A$1275,A17,14_ProjectIndicators!$H$4:$H$1275,"Optional")</f>
        <v>7</v>
      </c>
      <c r="R17" s="3" t="n">
        <f aca="false">COUNTIFS(14_ProjectIndicators!$A$4:$A$1275,A17,14_ProjectIndicators!$L$4:$L$1275,"Reported in Hub")</f>
        <v>0</v>
      </c>
      <c r="S17" s="3" t="n">
        <f aca="false">COUNTIFS(14_ProjectIndicators!$A$4:$A$1275,A17,14_ProjectIndicators!$L$4:$L$1275,"Possibly reported – check")</f>
        <v>4</v>
      </c>
      <c r="T17" s="3" t="n">
        <f aca="false">COUNTIFS(14_ProjectIndicators!$A$4:$A$1275,A17,14_ProjectIndicators!$L$4:$L$1275,"Not yet reported")</f>
        <v>16</v>
      </c>
      <c r="U17" s="3" t="s">
        <v>1425</v>
      </c>
      <c r="V17" s="3" t="s">
        <v>1486</v>
      </c>
      <c r="W17" s="28" t="s">
        <v>1487</v>
      </c>
    </row>
    <row r="18" customFormat="false" ht="35.05" hidden="false" customHeight="false" outlineLevel="0" collapsed="false">
      <c r="A18" s="3" t="n">
        <v>141081</v>
      </c>
      <c r="B18" s="3" t="s">
        <v>1488</v>
      </c>
      <c r="C18" s="3" t="s">
        <v>1388</v>
      </c>
      <c r="D18" s="3" t="s">
        <v>1480</v>
      </c>
      <c r="E18" s="3" t="s">
        <v>1489</v>
      </c>
      <c r="F18" s="3" t="s">
        <v>1490</v>
      </c>
      <c r="G18" s="3" t="s">
        <v>1491</v>
      </c>
      <c r="H18" s="3" t="s">
        <v>1421</v>
      </c>
      <c r="I18" s="26" t="n">
        <v>10000003</v>
      </c>
      <c r="J18" s="27" t="n">
        <v>45733</v>
      </c>
      <c r="K18" s="27" t="n">
        <v>46402</v>
      </c>
      <c r="L18" s="3" t="s">
        <v>1484</v>
      </c>
      <c r="M18" s="3" t="s">
        <v>1395</v>
      </c>
      <c r="N18" s="3" t="s">
        <v>1492</v>
      </c>
      <c r="O18" s="3" t="n">
        <f aca="false">COUNTIFS(14_ProjectIndicators!$A$4:$A$1275,A18,14_ProjectIndicators!$H$4:$H$1275,"Mandatory")</f>
        <v>8</v>
      </c>
      <c r="P18" s="3" t="n">
        <f aca="false">COUNTIFS(14_ProjectIndicators!$A$4:$A$1275,A18,14_ProjectIndicators!$H$4:$H$1275,"Required (activity)")</f>
        <v>3</v>
      </c>
      <c r="Q18" s="3" t="n">
        <f aca="false">COUNTIFS(14_ProjectIndicators!$A$4:$A$1275,A18,14_ProjectIndicators!$H$4:$H$1275,"Optional")</f>
        <v>8</v>
      </c>
      <c r="R18" s="3" t="n">
        <f aca="false">COUNTIFS(14_ProjectIndicators!$A$4:$A$1275,A18,14_ProjectIndicators!$L$4:$L$1275,"Reported in Hub")</f>
        <v>0</v>
      </c>
      <c r="S18" s="3" t="n">
        <f aca="false">COUNTIFS(14_ProjectIndicators!$A$4:$A$1275,A18,14_ProjectIndicators!$L$4:$L$1275,"Possibly reported – check")</f>
        <v>4</v>
      </c>
      <c r="T18" s="3" t="n">
        <f aca="false">COUNTIFS(14_ProjectIndicators!$A$4:$A$1275,A18,14_ProjectIndicators!$L$4:$L$1275,"Not yet reported")</f>
        <v>15</v>
      </c>
      <c r="U18" s="3" t="s">
        <v>1396</v>
      </c>
      <c r="V18" s="3" t="s">
        <v>1493</v>
      </c>
      <c r="W18" s="28" t="s">
        <v>1494</v>
      </c>
    </row>
    <row r="19" customFormat="false" ht="23.85" hidden="false" customHeight="false" outlineLevel="0" collapsed="false">
      <c r="A19" s="3" t="n">
        <v>111269</v>
      </c>
      <c r="B19" s="3" t="s">
        <v>1495</v>
      </c>
      <c r="C19" s="3" t="s">
        <v>1388</v>
      </c>
      <c r="D19" s="3" t="s">
        <v>1480</v>
      </c>
      <c r="E19" s="3" t="s">
        <v>1496</v>
      </c>
      <c r="F19" s="3" t="s">
        <v>1497</v>
      </c>
      <c r="G19" s="3" t="s">
        <v>1402</v>
      </c>
      <c r="H19" s="3" t="s">
        <v>1393</v>
      </c>
      <c r="I19" s="26" t="n">
        <v>18428689</v>
      </c>
      <c r="J19" s="27" t="n">
        <v>43363</v>
      </c>
      <c r="K19" s="27" t="n">
        <v>45928</v>
      </c>
      <c r="L19" s="3" t="s">
        <v>1440</v>
      </c>
      <c r="M19" s="3" t="s">
        <v>1395</v>
      </c>
      <c r="N19" s="3" t="s">
        <v>1498</v>
      </c>
      <c r="O19" s="3" t="n">
        <f aca="false">COUNTIFS(14_ProjectIndicators!$A$4:$A$1275,A19,14_ProjectIndicators!$H$4:$H$1275,"Mandatory")</f>
        <v>5</v>
      </c>
      <c r="P19" s="3" t="n">
        <f aca="false">COUNTIFS(14_ProjectIndicators!$A$4:$A$1275,A19,14_ProjectIndicators!$H$4:$H$1275,"Required (activity)")</f>
        <v>4</v>
      </c>
      <c r="Q19" s="3" t="n">
        <f aca="false">COUNTIFS(14_ProjectIndicators!$A$4:$A$1275,A19,14_ProjectIndicators!$H$4:$H$1275,"Optional")</f>
        <v>8</v>
      </c>
      <c r="R19" s="3" t="n">
        <f aca="false">COUNTIFS(14_ProjectIndicators!$A$4:$A$1275,A19,14_ProjectIndicators!$L$4:$L$1275,"Reported in Hub")</f>
        <v>0</v>
      </c>
      <c r="S19" s="3" t="n">
        <f aca="false">COUNTIFS(14_ProjectIndicators!$A$4:$A$1275,A19,14_ProjectIndicators!$L$4:$L$1275,"Possibly reported – check")</f>
        <v>7</v>
      </c>
      <c r="T19" s="3" t="n">
        <f aca="false">COUNTIFS(14_ProjectIndicators!$A$4:$A$1275,A19,14_ProjectIndicators!$L$4:$L$1275,"Not yet reported")</f>
        <v>0</v>
      </c>
      <c r="U19" s="3" t="s">
        <v>1396</v>
      </c>
      <c r="V19" s="3" t="s">
        <v>1499</v>
      </c>
      <c r="W19" s="28" t="s">
        <v>1500</v>
      </c>
    </row>
    <row r="20" customFormat="false" ht="23.85" hidden="false" customHeight="false" outlineLevel="0" collapsed="false">
      <c r="A20" s="3" t="n">
        <v>122613</v>
      </c>
      <c r="B20" s="3" t="s">
        <v>1501</v>
      </c>
      <c r="C20" s="3" t="s">
        <v>1388</v>
      </c>
      <c r="D20" s="3" t="s">
        <v>1480</v>
      </c>
      <c r="E20" s="3" t="s">
        <v>1502</v>
      </c>
      <c r="F20" s="3" t="s">
        <v>1503</v>
      </c>
      <c r="G20" s="3" t="s">
        <v>1408</v>
      </c>
      <c r="H20" s="3" t="s">
        <v>1393</v>
      </c>
      <c r="I20" s="26" t="n">
        <v>5000000</v>
      </c>
      <c r="J20" s="27" t="n">
        <v>44014</v>
      </c>
      <c r="K20" s="27" t="n">
        <v>45839</v>
      </c>
      <c r="L20" s="3" t="s">
        <v>1440</v>
      </c>
      <c r="M20" s="3" t="s">
        <v>1395</v>
      </c>
      <c r="N20" s="3" t="s">
        <v>1504</v>
      </c>
      <c r="O20" s="3" t="n">
        <f aca="false">COUNTIFS(14_ProjectIndicators!$A$4:$A$1275,A20,14_ProjectIndicators!$H$4:$H$1275,"Mandatory")</f>
        <v>5</v>
      </c>
      <c r="P20" s="3" t="n">
        <f aca="false">COUNTIFS(14_ProjectIndicators!$A$4:$A$1275,A20,14_ProjectIndicators!$H$4:$H$1275,"Required (activity)")</f>
        <v>2</v>
      </c>
      <c r="Q20" s="3" t="n">
        <f aca="false">COUNTIFS(14_ProjectIndicators!$A$4:$A$1275,A20,14_ProjectIndicators!$H$4:$H$1275,"Optional")</f>
        <v>5</v>
      </c>
      <c r="R20" s="3" t="n">
        <f aca="false">COUNTIFS(14_ProjectIndicators!$A$4:$A$1275,A20,14_ProjectIndicators!$L$4:$L$1275,"Reported in Hub")</f>
        <v>0</v>
      </c>
      <c r="S20" s="3" t="n">
        <f aca="false">COUNTIFS(14_ProjectIndicators!$A$4:$A$1275,A20,14_ProjectIndicators!$L$4:$L$1275,"Possibly reported – check")</f>
        <v>0</v>
      </c>
      <c r="T20" s="3" t="n">
        <f aca="false">COUNTIFS(14_ProjectIndicators!$A$4:$A$1275,A20,14_ProjectIndicators!$L$4:$L$1275,"Not yet reported")</f>
        <v>0</v>
      </c>
      <c r="U20" s="3" t="s">
        <v>1396</v>
      </c>
      <c r="V20" s="3" t="s">
        <v>1505</v>
      </c>
      <c r="W20" s="28" t="s">
        <v>1506</v>
      </c>
    </row>
    <row r="21" customFormat="false" ht="23.85" hidden="false" customHeight="false" outlineLevel="0" collapsed="false">
      <c r="A21" s="3" t="n">
        <v>132798</v>
      </c>
      <c r="B21" s="3" t="s">
        <v>1507</v>
      </c>
      <c r="C21" s="3" t="s">
        <v>1388</v>
      </c>
      <c r="D21" s="3" t="s">
        <v>1480</v>
      </c>
      <c r="E21" s="3" t="s">
        <v>1508</v>
      </c>
      <c r="F21" s="3" t="s">
        <v>1509</v>
      </c>
      <c r="G21" s="3" t="s">
        <v>1510</v>
      </c>
      <c r="H21" s="3" t="s">
        <v>1421</v>
      </c>
      <c r="I21" s="26" t="n">
        <v>6999833</v>
      </c>
      <c r="J21" s="27" t="n">
        <v>44782</v>
      </c>
      <c r="K21" s="27" t="n">
        <v>46237</v>
      </c>
      <c r="L21" s="3" t="s">
        <v>1440</v>
      </c>
      <c r="M21" s="3" t="s">
        <v>1395</v>
      </c>
      <c r="N21" s="3" t="s">
        <v>1511</v>
      </c>
      <c r="O21" s="3" t="n">
        <f aca="false">COUNTIFS(14_ProjectIndicators!$A$4:$A$1275,A21,14_ProjectIndicators!$H$4:$H$1275,"Mandatory")</f>
        <v>5</v>
      </c>
      <c r="P21" s="3" t="n">
        <f aca="false">COUNTIFS(14_ProjectIndicators!$A$4:$A$1275,A21,14_ProjectIndicators!$H$4:$H$1275,"Required (activity)")</f>
        <v>4</v>
      </c>
      <c r="Q21" s="3" t="n">
        <f aca="false">COUNTIFS(14_ProjectIndicators!$A$4:$A$1275,A21,14_ProjectIndicators!$H$4:$H$1275,"Optional")</f>
        <v>4</v>
      </c>
      <c r="R21" s="3" t="n">
        <f aca="false">COUNTIFS(14_ProjectIndicators!$A$4:$A$1275,A21,14_ProjectIndicators!$L$4:$L$1275,"Reported in Hub")</f>
        <v>0</v>
      </c>
      <c r="S21" s="3" t="n">
        <f aca="false">COUNTIFS(14_ProjectIndicators!$A$4:$A$1275,A21,14_ProjectIndicators!$L$4:$L$1275,"Possibly reported – check")</f>
        <v>5</v>
      </c>
      <c r="T21" s="3" t="n">
        <f aca="false">COUNTIFS(14_ProjectIndicators!$A$4:$A$1275,A21,14_ProjectIndicators!$L$4:$L$1275,"Not yet reported")</f>
        <v>8</v>
      </c>
      <c r="U21" s="3" t="s">
        <v>1396</v>
      </c>
      <c r="V21" s="3" t="s">
        <v>1512</v>
      </c>
      <c r="W21" s="28" t="s">
        <v>1513</v>
      </c>
    </row>
    <row r="22" customFormat="false" ht="35.05" hidden="false" customHeight="false" outlineLevel="0" collapsed="false">
      <c r="A22" s="3" t="n">
        <v>133375</v>
      </c>
      <c r="B22" s="3" t="s">
        <v>1514</v>
      </c>
      <c r="C22" s="3" t="s">
        <v>1388</v>
      </c>
      <c r="D22" s="3" t="s">
        <v>1480</v>
      </c>
      <c r="E22" s="3" t="s">
        <v>1515</v>
      </c>
      <c r="F22" s="3" t="s">
        <v>1516</v>
      </c>
      <c r="G22" s="3" t="s">
        <v>1408</v>
      </c>
      <c r="H22" s="3" t="s">
        <v>1421</v>
      </c>
      <c r="I22" s="26" t="n">
        <v>1489468</v>
      </c>
      <c r="J22" s="27" t="n">
        <v>44845</v>
      </c>
      <c r="K22" s="27" t="n">
        <v>46649</v>
      </c>
      <c r="L22" s="3" t="s">
        <v>1440</v>
      </c>
      <c r="M22" s="3" t="s">
        <v>1395</v>
      </c>
      <c r="N22" s="3" t="s">
        <v>1441</v>
      </c>
      <c r="O22" s="3" t="n">
        <f aca="false">COUNTIFS(14_ProjectIndicators!$A$4:$A$1275,A22,14_ProjectIndicators!$H$4:$H$1275,"Mandatory")</f>
        <v>5</v>
      </c>
      <c r="P22" s="3" t="n">
        <f aca="false">COUNTIFS(14_ProjectIndicators!$A$4:$A$1275,A22,14_ProjectIndicators!$H$4:$H$1275,"Required (activity)")</f>
        <v>1</v>
      </c>
      <c r="Q22" s="3" t="n">
        <f aca="false">COUNTIFS(14_ProjectIndicators!$A$4:$A$1275,A22,14_ProjectIndicators!$H$4:$H$1275,"Optional")</f>
        <v>3</v>
      </c>
      <c r="R22" s="3" t="n">
        <f aca="false">COUNTIFS(14_ProjectIndicators!$A$4:$A$1275,A22,14_ProjectIndicators!$L$4:$L$1275,"Reported in Hub")</f>
        <v>0</v>
      </c>
      <c r="S22" s="3" t="n">
        <f aca="false">COUNTIFS(14_ProjectIndicators!$A$4:$A$1275,A22,14_ProjectIndicators!$L$4:$L$1275,"Possibly reported – check")</f>
        <v>2</v>
      </c>
      <c r="T22" s="3" t="n">
        <f aca="false">COUNTIFS(14_ProjectIndicators!$A$4:$A$1275,A22,14_ProjectIndicators!$L$4:$L$1275,"Not yet reported")</f>
        <v>7</v>
      </c>
      <c r="U22" s="3" t="s">
        <v>1396</v>
      </c>
      <c r="V22" s="3" t="s">
        <v>1517</v>
      </c>
      <c r="W22" s="28" t="s">
        <v>1518</v>
      </c>
    </row>
    <row r="23" customFormat="false" ht="23.85" hidden="false" customHeight="false" outlineLevel="0" collapsed="false">
      <c r="A23" s="3" t="n">
        <v>133386</v>
      </c>
      <c r="B23" s="3" t="s">
        <v>1519</v>
      </c>
      <c r="C23" s="3" t="s">
        <v>1388</v>
      </c>
      <c r="D23" s="3" t="s">
        <v>1480</v>
      </c>
      <c r="E23" s="3" t="s">
        <v>1520</v>
      </c>
      <c r="F23" s="3" t="s">
        <v>1521</v>
      </c>
      <c r="G23" s="3" t="s">
        <v>1408</v>
      </c>
      <c r="H23" s="3" t="s">
        <v>1393</v>
      </c>
      <c r="I23" s="26" t="n">
        <v>9025878</v>
      </c>
      <c r="J23" s="27" t="n">
        <v>44845</v>
      </c>
      <c r="K23" s="27" t="n">
        <v>45839</v>
      </c>
      <c r="L23" s="3" t="s">
        <v>1440</v>
      </c>
      <c r="M23" s="3" t="s">
        <v>1395</v>
      </c>
      <c r="N23" s="3" t="s">
        <v>1504</v>
      </c>
      <c r="O23" s="3" t="n">
        <f aca="false">COUNTIFS(14_ProjectIndicators!$A$4:$A$1275,A23,14_ProjectIndicators!$H$4:$H$1275,"Mandatory")</f>
        <v>5</v>
      </c>
      <c r="P23" s="3" t="n">
        <f aca="false">COUNTIFS(14_ProjectIndicators!$A$4:$A$1275,A23,14_ProjectIndicators!$H$4:$H$1275,"Required (activity)")</f>
        <v>2</v>
      </c>
      <c r="Q23" s="3" t="n">
        <f aca="false">COUNTIFS(14_ProjectIndicators!$A$4:$A$1275,A23,14_ProjectIndicators!$H$4:$H$1275,"Optional")</f>
        <v>5</v>
      </c>
      <c r="R23" s="3" t="n">
        <f aca="false">COUNTIFS(14_ProjectIndicators!$A$4:$A$1275,A23,14_ProjectIndicators!$L$4:$L$1275,"Reported in Hub")</f>
        <v>0</v>
      </c>
      <c r="S23" s="3" t="n">
        <f aca="false">COUNTIFS(14_ProjectIndicators!$A$4:$A$1275,A23,14_ProjectIndicators!$L$4:$L$1275,"Possibly reported – check")</f>
        <v>0</v>
      </c>
      <c r="T23" s="3" t="n">
        <f aca="false">COUNTIFS(14_ProjectIndicators!$A$4:$A$1275,A23,14_ProjectIndicators!$L$4:$L$1275,"Not yet reported")</f>
        <v>0</v>
      </c>
      <c r="U23" s="3" t="s">
        <v>1396</v>
      </c>
      <c r="V23" s="3" t="s">
        <v>1522</v>
      </c>
      <c r="W23" s="28" t="s">
        <v>1523</v>
      </c>
    </row>
    <row r="24" customFormat="false" ht="46.25" hidden="false" customHeight="false" outlineLevel="0" collapsed="false">
      <c r="A24" s="3" t="n">
        <v>133560</v>
      </c>
      <c r="B24" s="3" t="s">
        <v>1524</v>
      </c>
      <c r="C24" s="3" t="s">
        <v>1388</v>
      </c>
      <c r="D24" s="3" t="s">
        <v>1480</v>
      </c>
      <c r="E24" s="3" t="s">
        <v>1525</v>
      </c>
      <c r="F24" s="3" t="s">
        <v>1526</v>
      </c>
      <c r="G24" s="3" t="s">
        <v>1510</v>
      </c>
      <c r="H24" s="3" t="s">
        <v>1421</v>
      </c>
      <c r="I24" s="26" t="n">
        <v>2935096.31</v>
      </c>
      <c r="J24" s="27" t="n">
        <v>44847</v>
      </c>
      <c r="K24" s="27" t="n">
        <v>46448</v>
      </c>
      <c r="L24" s="3" t="s">
        <v>1440</v>
      </c>
      <c r="M24" s="3" t="s">
        <v>1395</v>
      </c>
      <c r="N24" s="3" t="s">
        <v>1527</v>
      </c>
      <c r="O24" s="3" t="n">
        <f aca="false">COUNTIFS(14_ProjectIndicators!$A$4:$A$1275,A24,14_ProjectIndicators!$H$4:$H$1275,"Mandatory")</f>
        <v>5</v>
      </c>
      <c r="P24" s="3" t="n">
        <f aca="false">COUNTIFS(14_ProjectIndicators!$A$4:$A$1275,A24,14_ProjectIndicators!$H$4:$H$1275,"Required (activity)")</f>
        <v>5</v>
      </c>
      <c r="Q24" s="3" t="n">
        <f aca="false">COUNTIFS(14_ProjectIndicators!$A$4:$A$1275,A24,14_ProjectIndicators!$H$4:$H$1275,"Optional")</f>
        <v>5</v>
      </c>
      <c r="R24" s="3" t="n">
        <f aca="false">COUNTIFS(14_ProjectIndicators!$A$4:$A$1275,A24,14_ProjectIndicators!$L$4:$L$1275,"Reported in Hub")</f>
        <v>0</v>
      </c>
      <c r="S24" s="3" t="n">
        <f aca="false">COUNTIFS(14_ProjectIndicators!$A$4:$A$1275,A24,14_ProjectIndicators!$L$4:$L$1275,"Possibly reported – check")</f>
        <v>7</v>
      </c>
      <c r="T24" s="3" t="n">
        <f aca="false">COUNTIFS(14_ProjectIndicators!$A$4:$A$1275,A24,14_ProjectIndicators!$L$4:$L$1275,"Not yet reported")</f>
        <v>8</v>
      </c>
      <c r="U24" s="3" t="s">
        <v>1396</v>
      </c>
      <c r="V24" s="3" t="s">
        <v>1528</v>
      </c>
      <c r="W24" s="28" t="s">
        <v>1529</v>
      </c>
    </row>
    <row r="25" customFormat="false" ht="23.85" hidden="false" customHeight="false" outlineLevel="0" collapsed="false">
      <c r="A25" s="3" t="n">
        <v>133561</v>
      </c>
      <c r="B25" s="3" t="s">
        <v>1530</v>
      </c>
      <c r="C25" s="3" t="s">
        <v>1388</v>
      </c>
      <c r="D25" s="3" t="s">
        <v>1480</v>
      </c>
      <c r="E25" s="3" t="s">
        <v>1531</v>
      </c>
      <c r="F25" s="3" t="s">
        <v>1532</v>
      </c>
      <c r="G25" s="3" t="s">
        <v>1510</v>
      </c>
      <c r="H25" s="3" t="s">
        <v>1421</v>
      </c>
      <c r="I25" s="26" t="n">
        <v>2492310</v>
      </c>
      <c r="J25" s="27" t="n">
        <v>44847</v>
      </c>
      <c r="K25" s="27" t="n">
        <v>46448</v>
      </c>
      <c r="L25" s="3" t="s">
        <v>1440</v>
      </c>
      <c r="M25" s="3" t="s">
        <v>1395</v>
      </c>
      <c r="N25" s="3" t="s">
        <v>1533</v>
      </c>
      <c r="O25" s="3" t="n">
        <f aca="false">COUNTIFS(14_ProjectIndicators!$A$4:$A$1275,A25,14_ProjectIndicators!$H$4:$H$1275,"Mandatory")</f>
        <v>5</v>
      </c>
      <c r="P25" s="3" t="n">
        <f aca="false">COUNTIFS(14_ProjectIndicators!$A$4:$A$1275,A25,14_ProjectIndicators!$H$4:$H$1275,"Required (activity)")</f>
        <v>3</v>
      </c>
      <c r="Q25" s="3" t="n">
        <f aca="false">COUNTIFS(14_ProjectIndicators!$A$4:$A$1275,A25,14_ProjectIndicators!$H$4:$H$1275,"Optional")</f>
        <v>4</v>
      </c>
      <c r="R25" s="3" t="n">
        <f aca="false">COUNTIFS(14_ProjectIndicators!$A$4:$A$1275,A25,14_ProjectIndicators!$L$4:$L$1275,"Reported in Hub")</f>
        <v>0</v>
      </c>
      <c r="S25" s="3" t="n">
        <f aca="false">COUNTIFS(14_ProjectIndicators!$A$4:$A$1275,A25,14_ProjectIndicators!$L$4:$L$1275,"Possibly reported – check")</f>
        <v>1</v>
      </c>
      <c r="T25" s="3" t="n">
        <f aca="false">COUNTIFS(14_ProjectIndicators!$A$4:$A$1275,A25,14_ProjectIndicators!$L$4:$L$1275,"Not yet reported")</f>
        <v>11</v>
      </c>
      <c r="U25" s="3" t="s">
        <v>1396</v>
      </c>
      <c r="V25" s="3" t="s">
        <v>1534</v>
      </c>
      <c r="W25" s="28" t="s">
        <v>1535</v>
      </c>
    </row>
    <row r="26" customFormat="false" ht="35.05" hidden="false" customHeight="false" outlineLevel="0" collapsed="false">
      <c r="A26" s="3" t="n">
        <v>140885</v>
      </c>
      <c r="B26" s="3" t="s">
        <v>1536</v>
      </c>
      <c r="C26" s="3" t="s">
        <v>1388</v>
      </c>
      <c r="D26" s="3" t="s">
        <v>1537</v>
      </c>
      <c r="E26" s="3" t="s">
        <v>1538</v>
      </c>
      <c r="F26" s="3" t="s">
        <v>1539</v>
      </c>
      <c r="G26" s="3" t="s">
        <v>1540</v>
      </c>
      <c r="H26" s="3" t="s">
        <v>1393</v>
      </c>
      <c r="I26" s="26" t="n">
        <v>2104534</v>
      </c>
      <c r="J26" s="27" t="n">
        <v>45636</v>
      </c>
      <c r="K26" s="27" t="n">
        <v>46112</v>
      </c>
      <c r="L26" s="3" t="s">
        <v>1484</v>
      </c>
      <c r="M26" s="3" t="s">
        <v>1395</v>
      </c>
      <c r="N26" s="3" t="s">
        <v>1541</v>
      </c>
      <c r="O26" s="3" t="n">
        <f aca="false">COUNTIFS(14_ProjectIndicators!$A$4:$A$1275,A26,14_ProjectIndicators!$H$4:$H$1275,"Mandatory")</f>
        <v>8</v>
      </c>
      <c r="P26" s="3" t="n">
        <f aca="false">COUNTIFS(14_ProjectIndicators!$A$4:$A$1275,A26,14_ProjectIndicators!$H$4:$H$1275,"Required (activity)")</f>
        <v>7</v>
      </c>
      <c r="Q26" s="3" t="n">
        <f aca="false">COUNTIFS(14_ProjectIndicators!$A$4:$A$1275,A26,14_ProjectIndicators!$H$4:$H$1275,"Optional")</f>
        <v>8</v>
      </c>
      <c r="R26" s="3" t="n">
        <f aca="false">COUNTIFS(14_ProjectIndicators!$A$4:$A$1275,A26,14_ProjectIndicators!$L$4:$L$1275,"Reported in Hub")</f>
        <v>0</v>
      </c>
      <c r="S26" s="3" t="n">
        <f aca="false">COUNTIFS(14_ProjectIndicators!$A$4:$A$1275,A26,14_ProjectIndicators!$L$4:$L$1275,"Possibly reported – check")</f>
        <v>0</v>
      </c>
      <c r="T26" s="3" t="n">
        <f aca="false">COUNTIFS(14_ProjectIndicators!$A$4:$A$1275,A26,14_ProjectIndicators!$L$4:$L$1275,"Not yet reported")</f>
        <v>0</v>
      </c>
      <c r="U26" s="3" t="s">
        <v>1396</v>
      </c>
      <c r="V26" s="3" t="s">
        <v>1542</v>
      </c>
      <c r="W26" s="28" t="s">
        <v>1543</v>
      </c>
    </row>
    <row r="27" customFormat="false" ht="35.05" hidden="false" customHeight="false" outlineLevel="0" collapsed="false">
      <c r="A27" s="3" t="n">
        <v>133419</v>
      </c>
      <c r="B27" s="3" t="s">
        <v>1544</v>
      </c>
      <c r="C27" s="3" t="s">
        <v>1388</v>
      </c>
      <c r="D27" s="3" t="s">
        <v>1537</v>
      </c>
      <c r="E27" s="3" t="s">
        <v>1545</v>
      </c>
      <c r="F27" s="3" t="s">
        <v>1546</v>
      </c>
      <c r="G27" s="3" t="s">
        <v>1408</v>
      </c>
      <c r="H27" s="3" t="s">
        <v>1393</v>
      </c>
      <c r="I27" s="26" t="n">
        <v>500000</v>
      </c>
      <c r="J27" s="27" t="n">
        <v>44830</v>
      </c>
      <c r="K27" s="27" t="n">
        <v>45010</v>
      </c>
      <c r="L27" s="3" t="s">
        <v>1440</v>
      </c>
      <c r="M27" s="3" t="s">
        <v>1395</v>
      </c>
      <c r="N27" s="3" t="s">
        <v>1547</v>
      </c>
      <c r="O27" s="3" t="n">
        <f aca="false">COUNTIFS(14_ProjectIndicators!$A$4:$A$1275,A27,14_ProjectIndicators!$H$4:$H$1275,"Mandatory")</f>
        <v>5</v>
      </c>
      <c r="P27" s="3" t="n">
        <f aca="false">COUNTIFS(14_ProjectIndicators!$A$4:$A$1275,A27,14_ProjectIndicators!$H$4:$H$1275,"Required (activity)")</f>
        <v>1</v>
      </c>
      <c r="Q27" s="3" t="n">
        <f aca="false">COUNTIFS(14_ProjectIndicators!$A$4:$A$1275,A27,14_ProjectIndicators!$H$4:$H$1275,"Optional")</f>
        <v>2</v>
      </c>
      <c r="R27" s="3" t="n">
        <f aca="false">COUNTIFS(14_ProjectIndicators!$A$4:$A$1275,A27,14_ProjectIndicators!$L$4:$L$1275,"Reported in Hub")</f>
        <v>0</v>
      </c>
      <c r="S27" s="3" t="n">
        <f aca="false">COUNTIFS(14_ProjectIndicators!$A$4:$A$1275,A27,14_ProjectIndicators!$L$4:$L$1275,"Possibly reported – check")</f>
        <v>0</v>
      </c>
      <c r="T27" s="3" t="n">
        <f aca="false">COUNTIFS(14_ProjectIndicators!$A$4:$A$1275,A27,14_ProjectIndicators!$L$4:$L$1275,"Not yet reported")</f>
        <v>0</v>
      </c>
      <c r="U27" s="3" t="s">
        <v>1396</v>
      </c>
      <c r="V27" s="3" t="s">
        <v>1548</v>
      </c>
      <c r="W27" s="28" t="s">
        <v>1549</v>
      </c>
    </row>
    <row r="28" customFormat="false" ht="46.25" hidden="false" customHeight="false" outlineLevel="0" collapsed="false">
      <c r="A28" s="3" t="n">
        <v>103702</v>
      </c>
      <c r="B28" s="3" t="s">
        <v>1550</v>
      </c>
      <c r="C28" s="3" t="s">
        <v>1388</v>
      </c>
      <c r="D28" s="3" t="s">
        <v>1537</v>
      </c>
      <c r="E28" s="3" t="s">
        <v>1551</v>
      </c>
      <c r="F28" s="3" t="s">
        <v>1551</v>
      </c>
      <c r="G28" s="3" t="s">
        <v>1552</v>
      </c>
      <c r="H28" s="3" t="s">
        <v>1393</v>
      </c>
      <c r="I28" s="26" t="n">
        <v>333974769</v>
      </c>
      <c r="J28" s="27" t="n">
        <v>42720</v>
      </c>
      <c r="K28" s="27" t="n">
        <v>46112</v>
      </c>
      <c r="L28" s="3" t="s">
        <v>1553</v>
      </c>
      <c r="M28" s="3" t="s">
        <v>1395</v>
      </c>
      <c r="N28" s="3"/>
      <c r="O28" s="3" t="n">
        <f aca="false">COUNTIFS(14_ProjectIndicators!$A$4:$A$1275,A28,14_ProjectIndicators!$H$4:$H$1275,"Mandatory")</f>
        <v>0</v>
      </c>
      <c r="P28" s="3" t="n">
        <f aca="false">COUNTIFS(14_ProjectIndicators!$A$4:$A$1275,A28,14_ProjectIndicators!$H$4:$H$1275,"Required (activity)")</f>
        <v>0</v>
      </c>
      <c r="Q28" s="3" t="n">
        <f aca="false">COUNTIFS(14_ProjectIndicators!$A$4:$A$1275,A28,14_ProjectIndicators!$H$4:$H$1275,"Optional")</f>
        <v>0</v>
      </c>
      <c r="R28" s="3" t="n">
        <f aca="false">COUNTIFS(14_ProjectIndicators!$A$4:$A$1275,A28,14_ProjectIndicators!$L$4:$L$1275,"Reported in Hub")</f>
        <v>0</v>
      </c>
      <c r="S28" s="3" t="n">
        <f aca="false">COUNTIFS(14_ProjectIndicators!$A$4:$A$1275,A28,14_ProjectIndicators!$L$4:$L$1275,"Possibly reported – check")</f>
        <v>0</v>
      </c>
      <c r="T28" s="3" t="n">
        <f aca="false">COUNTIFS(14_ProjectIndicators!$A$4:$A$1275,A28,14_ProjectIndicators!$L$4:$L$1275,"Not yet reported")</f>
        <v>0</v>
      </c>
      <c r="U28" s="3" t="s">
        <v>1396</v>
      </c>
      <c r="V28" s="3" t="s">
        <v>1554</v>
      </c>
      <c r="W28" s="28" t="s">
        <v>1555</v>
      </c>
    </row>
    <row r="29" customFormat="false" ht="23.85" hidden="false" customHeight="false" outlineLevel="0" collapsed="false">
      <c r="A29" s="3" t="n">
        <v>105662</v>
      </c>
      <c r="B29" s="3" t="s">
        <v>1556</v>
      </c>
      <c r="C29" s="3" t="s">
        <v>1388</v>
      </c>
      <c r="D29" s="3" t="s">
        <v>1537</v>
      </c>
      <c r="E29" s="3" t="s">
        <v>1557</v>
      </c>
      <c r="F29" s="3" t="s">
        <v>1557</v>
      </c>
      <c r="G29" s="3" t="s">
        <v>1408</v>
      </c>
      <c r="H29" s="3" t="s">
        <v>1393</v>
      </c>
      <c r="I29" s="26" t="n">
        <v>289970</v>
      </c>
      <c r="J29" s="27" t="n">
        <v>42873</v>
      </c>
      <c r="K29" s="27" t="n">
        <v>43100</v>
      </c>
      <c r="L29" s="3" t="s">
        <v>1553</v>
      </c>
      <c r="M29" s="3" t="s">
        <v>1395</v>
      </c>
      <c r="N29" s="3"/>
      <c r="O29" s="3" t="n">
        <f aca="false">COUNTIFS(14_ProjectIndicators!$A$4:$A$1275,A29,14_ProjectIndicators!$H$4:$H$1275,"Mandatory")</f>
        <v>0</v>
      </c>
      <c r="P29" s="3" t="n">
        <f aca="false">COUNTIFS(14_ProjectIndicators!$A$4:$A$1275,A29,14_ProjectIndicators!$H$4:$H$1275,"Required (activity)")</f>
        <v>0</v>
      </c>
      <c r="Q29" s="3" t="n">
        <f aca="false">COUNTIFS(14_ProjectIndicators!$A$4:$A$1275,A29,14_ProjectIndicators!$H$4:$H$1275,"Optional")</f>
        <v>0</v>
      </c>
      <c r="R29" s="3" t="n">
        <f aca="false">COUNTIFS(14_ProjectIndicators!$A$4:$A$1275,A29,14_ProjectIndicators!$L$4:$L$1275,"Reported in Hub")</f>
        <v>0</v>
      </c>
      <c r="S29" s="3" t="n">
        <f aca="false">COUNTIFS(14_ProjectIndicators!$A$4:$A$1275,A29,14_ProjectIndicators!$L$4:$L$1275,"Possibly reported – check")</f>
        <v>0</v>
      </c>
      <c r="T29" s="3" t="n">
        <f aca="false">COUNTIFS(14_ProjectIndicators!$A$4:$A$1275,A29,14_ProjectIndicators!$L$4:$L$1275,"Not yet reported")</f>
        <v>0</v>
      </c>
      <c r="U29" s="3" t="s">
        <v>1396</v>
      </c>
      <c r="V29" s="3" t="s">
        <v>1558</v>
      </c>
      <c r="W29" s="28" t="s">
        <v>1559</v>
      </c>
    </row>
    <row r="30" customFormat="false" ht="23.85" hidden="false" customHeight="false" outlineLevel="0" collapsed="false">
      <c r="A30" s="3" t="n">
        <v>141057</v>
      </c>
      <c r="B30" s="3" t="s">
        <v>1560</v>
      </c>
      <c r="C30" s="3" t="s">
        <v>1388</v>
      </c>
      <c r="D30" s="3" t="s">
        <v>1561</v>
      </c>
      <c r="E30" s="3" t="s">
        <v>1562</v>
      </c>
      <c r="F30" s="3" t="s">
        <v>1562</v>
      </c>
      <c r="G30" s="3" t="s">
        <v>1563</v>
      </c>
      <c r="H30" s="3" t="s">
        <v>1393</v>
      </c>
      <c r="I30" s="26" t="n">
        <v>499542</v>
      </c>
      <c r="J30" s="27" t="n">
        <v>45962</v>
      </c>
      <c r="K30" s="27" t="n">
        <v>46022</v>
      </c>
      <c r="L30" s="3" t="s">
        <v>1564</v>
      </c>
      <c r="M30" s="3" t="s">
        <v>1423</v>
      </c>
      <c r="N30" s="3" t="s">
        <v>1565</v>
      </c>
      <c r="O30" s="3" t="n">
        <f aca="false">COUNTIFS(14_ProjectIndicators!$A$4:$A$1275,A30,14_ProjectIndicators!$H$4:$H$1275,"Mandatory")</f>
        <v>11</v>
      </c>
      <c r="P30" s="3" t="n">
        <f aca="false">COUNTIFS(14_ProjectIndicators!$A$4:$A$1275,A30,14_ProjectIndicators!$H$4:$H$1275,"Required (activity)")</f>
        <v>3</v>
      </c>
      <c r="Q30" s="3" t="n">
        <f aca="false">COUNTIFS(14_ProjectIndicators!$A$4:$A$1275,A30,14_ProjectIndicators!$H$4:$H$1275,"Optional")</f>
        <v>4</v>
      </c>
      <c r="R30" s="3" t="n">
        <f aca="false">COUNTIFS(14_ProjectIndicators!$A$4:$A$1275,A30,14_ProjectIndicators!$L$4:$L$1275,"Reported in Hub")</f>
        <v>0</v>
      </c>
      <c r="S30" s="3" t="n">
        <f aca="false">COUNTIFS(14_ProjectIndicators!$A$4:$A$1275,A30,14_ProjectIndicators!$L$4:$L$1275,"Possibly reported – check")</f>
        <v>4</v>
      </c>
      <c r="T30" s="3" t="n">
        <f aca="false">COUNTIFS(14_ProjectIndicators!$A$4:$A$1275,A30,14_ProjectIndicators!$L$4:$L$1275,"Not yet reported")</f>
        <v>0</v>
      </c>
      <c r="U30" s="3" t="s">
        <v>1396</v>
      </c>
      <c r="V30" s="3" t="s">
        <v>1566</v>
      </c>
      <c r="W30" s="28" t="s">
        <v>1567</v>
      </c>
    </row>
    <row r="31" customFormat="false" ht="35.05" hidden="false" customHeight="false" outlineLevel="0" collapsed="false">
      <c r="A31" s="3" t="n">
        <v>131425</v>
      </c>
      <c r="B31" s="3" t="s">
        <v>1568</v>
      </c>
      <c r="C31" s="3" t="s">
        <v>1388</v>
      </c>
      <c r="D31" s="3" t="s">
        <v>1561</v>
      </c>
      <c r="E31" s="3" t="s">
        <v>1569</v>
      </c>
      <c r="F31" s="3" t="s">
        <v>1570</v>
      </c>
      <c r="G31" s="3" t="s">
        <v>1571</v>
      </c>
      <c r="H31" s="3" t="s">
        <v>1421</v>
      </c>
      <c r="I31" s="26" t="n">
        <v>7500000</v>
      </c>
      <c r="J31" s="27" t="n">
        <v>44679</v>
      </c>
      <c r="K31" s="27" t="n">
        <v>46399</v>
      </c>
      <c r="L31" s="3" t="s">
        <v>1432</v>
      </c>
      <c r="M31" s="3" t="s">
        <v>1395</v>
      </c>
      <c r="N31" s="3" t="s">
        <v>1572</v>
      </c>
      <c r="O31" s="3" t="n">
        <f aca="false">COUNTIFS(14_ProjectIndicators!$A$4:$A$1275,A31,14_ProjectIndicators!$H$4:$H$1275,"Mandatory")</f>
        <v>8</v>
      </c>
      <c r="P31" s="3" t="n">
        <f aca="false">COUNTIFS(14_ProjectIndicators!$A$4:$A$1275,A31,14_ProjectIndicators!$H$4:$H$1275,"Required (activity)")</f>
        <v>1</v>
      </c>
      <c r="Q31" s="3" t="n">
        <f aca="false">COUNTIFS(14_ProjectIndicators!$A$4:$A$1275,A31,14_ProjectIndicators!$H$4:$H$1275,"Optional")</f>
        <v>3</v>
      </c>
      <c r="R31" s="3" t="n">
        <f aca="false">COUNTIFS(14_ProjectIndicators!$A$4:$A$1275,A31,14_ProjectIndicators!$L$4:$L$1275,"Reported in Hub")</f>
        <v>0</v>
      </c>
      <c r="S31" s="3" t="n">
        <f aca="false">COUNTIFS(14_ProjectIndicators!$A$4:$A$1275,A31,14_ProjectIndicators!$L$4:$L$1275,"Possibly reported – check")</f>
        <v>3</v>
      </c>
      <c r="T31" s="3" t="n">
        <f aca="false">COUNTIFS(14_ProjectIndicators!$A$4:$A$1275,A31,14_ProjectIndicators!$L$4:$L$1275,"Not yet reported")</f>
        <v>9</v>
      </c>
      <c r="U31" s="3" t="s">
        <v>1396</v>
      </c>
      <c r="V31" s="3" t="s">
        <v>1573</v>
      </c>
      <c r="W31" s="28" t="s">
        <v>1574</v>
      </c>
    </row>
    <row r="32" customFormat="false" ht="15" hidden="false" customHeight="false" outlineLevel="0" collapsed="false">
      <c r="A32" s="3" t="n">
        <v>133946</v>
      </c>
      <c r="B32" s="3" t="s">
        <v>1575</v>
      </c>
      <c r="C32" s="3" t="s">
        <v>1388</v>
      </c>
      <c r="D32" s="3" t="s">
        <v>1561</v>
      </c>
      <c r="E32" s="3" t="s">
        <v>1576</v>
      </c>
      <c r="F32" s="3" t="s">
        <v>1576</v>
      </c>
      <c r="G32" s="3" t="s">
        <v>1577</v>
      </c>
      <c r="H32" s="3" t="s">
        <v>1393</v>
      </c>
      <c r="I32" s="26" t="n">
        <v>53000000</v>
      </c>
      <c r="J32" s="27" t="n">
        <v>44887</v>
      </c>
      <c r="K32" s="27" t="n">
        <v>45747</v>
      </c>
      <c r="L32" s="3" t="s">
        <v>1432</v>
      </c>
      <c r="M32" s="3" t="s">
        <v>1395</v>
      </c>
      <c r="N32" s="3" t="s">
        <v>1464</v>
      </c>
      <c r="O32" s="3" t="n">
        <f aca="false">COUNTIFS(14_ProjectIndicators!$A$4:$A$1275,A32,14_ProjectIndicators!$H$4:$H$1275,"Mandatory")</f>
        <v>8</v>
      </c>
      <c r="P32" s="3" t="n">
        <f aca="false">COUNTIFS(14_ProjectIndicators!$A$4:$A$1275,A32,14_ProjectIndicators!$H$4:$H$1275,"Required (activity)")</f>
        <v>1</v>
      </c>
      <c r="Q32" s="3" t="n">
        <f aca="false">COUNTIFS(14_ProjectIndicators!$A$4:$A$1275,A32,14_ProjectIndicators!$H$4:$H$1275,"Optional")</f>
        <v>1</v>
      </c>
      <c r="R32" s="3" t="n">
        <f aca="false">COUNTIFS(14_ProjectIndicators!$A$4:$A$1275,A32,14_ProjectIndicators!$L$4:$L$1275,"Reported in Hub")</f>
        <v>0</v>
      </c>
      <c r="S32" s="3" t="n">
        <f aca="false">COUNTIFS(14_ProjectIndicators!$A$4:$A$1275,A32,14_ProjectIndicators!$L$4:$L$1275,"Possibly reported – check")</f>
        <v>0</v>
      </c>
      <c r="T32" s="3" t="n">
        <f aca="false">COUNTIFS(14_ProjectIndicators!$A$4:$A$1275,A32,14_ProjectIndicators!$L$4:$L$1275,"Not yet reported")</f>
        <v>0</v>
      </c>
      <c r="U32" s="3" t="s">
        <v>1396</v>
      </c>
      <c r="V32" s="3" t="s">
        <v>1578</v>
      </c>
      <c r="W32" s="28" t="s">
        <v>1579</v>
      </c>
    </row>
    <row r="33" customFormat="false" ht="35.05" hidden="false" customHeight="false" outlineLevel="0" collapsed="false">
      <c r="A33" s="3" t="n">
        <v>140783</v>
      </c>
      <c r="B33" s="3" t="s">
        <v>1580</v>
      </c>
      <c r="C33" s="3" t="s">
        <v>1388</v>
      </c>
      <c r="D33" s="3" t="s">
        <v>1561</v>
      </c>
      <c r="E33" s="3" t="s">
        <v>1581</v>
      </c>
      <c r="F33" s="3" t="s">
        <v>1581</v>
      </c>
      <c r="G33" s="3" t="s">
        <v>1582</v>
      </c>
      <c r="H33" s="3" t="s">
        <v>1421</v>
      </c>
      <c r="I33" s="26" t="n">
        <v>51106348</v>
      </c>
      <c r="J33" s="27" t="n">
        <v>45519</v>
      </c>
      <c r="K33" s="27" t="n">
        <v>46934</v>
      </c>
      <c r="L33" s="3" t="s">
        <v>1432</v>
      </c>
      <c r="M33" s="3" t="s">
        <v>1395</v>
      </c>
      <c r="N33" s="3" t="s">
        <v>1583</v>
      </c>
      <c r="O33" s="3" t="n">
        <f aca="false">COUNTIFS(14_ProjectIndicators!$A$4:$A$1275,A33,14_ProjectIndicators!$H$4:$H$1275,"Mandatory")</f>
        <v>8</v>
      </c>
      <c r="P33" s="3" t="n">
        <f aca="false">COUNTIFS(14_ProjectIndicators!$A$4:$A$1275,A33,14_ProjectIndicators!$H$4:$H$1275,"Required (activity)")</f>
        <v>3</v>
      </c>
      <c r="Q33" s="3" t="n">
        <f aca="false">COUNTIFS(14_ProjectIndicators!$A$4:$A$1275,A33,14_ProjectIndicators!$H$4:$H$1275,"Optional")</f>
        <v>4</v>
      </c>
      <c r="R33" s="3" t="n">
        <f aca="false">COUNTIFS(14_ProjectIndicators!$A$4:$A$1275,A33,14_ProjectIndicators!$L$4:$L$1275,"Reported in Hub")</f>
        <v>0</v>
      </c>
      <c r="S33" s="3" t="n">
        <f aca="false">COUNTIFS(14_ProjectIndicators!$A$4:$A$1275,A33,14_ProjectIndicators!$L$4:$L$1275,"Possibly reported – check")</f>
        <v>3</v>
      </c>
      <c r="T33" s="3" t="n">
        <f aca="false">COUNTIFS(14_ProjectIndicators!$A$4:$A$1275,A33,14_ProjectIndicators!$L$4:$L$1275,"Not yet reported")</f>
        <v>12</v>
      </c>
      <c r="U33" s="3" t="s">
        <v>1396</v>
      </c>
      <c r="V33" s="3" t="s">
        <v>1584</v>
      </c>
      <c r="W33" s="28" t="s">
        <v>1585</v>
      </c>
    </row>
    <row r="34" customFormat="false" ht="35.05" hidden="false" customHeight="false" outlineLevel="0" collapsed="false">
      <c r="A34" s="3" t="n">
        <v>141114</v>
      </c>
      <c r="B34" s="3" t="s">
        <v>1586</v>
      </c>
      <c r="C34" s="3" t="s">
        <v>1388</v>
      </c>
      <c r="D34" s="3" t="s">
        <v>1561</v>
      </c>
      <c r="E34" s="3" t="s">
        <v>1587</v>
      </c>
      <c r="F34" s="3" t="s">
        <v>1587</v>
      </c>
      <c r="G34" s="3" t="s">
        <v>1588</v>
      </c>
      <c r="H34" s="3" t="s">
        <v>1421</v>
      </c>
      <c r="I34" s="26" t="n">
        <v>14996738</v>
      </c>
      <c r="J34" s="27" t="n">
        <v>45758</v>
      </c>
      <c r="K34" s="27" t="n">
        <v>46722</v>
      </c>
      <c r="L34" s="3" t="s">
        <v>1432</v>
      </c>
      <c r="M34" s="3" t="s">
        <v>1395</v>
      </c>
      <c r="N34" s="3" t="s">
        <v>1464</v>
      </c>
      <c r="O34" s="3" t="n">
        <f aca="false">COUNTIFS(14_ProjectIndicators!$A$4:$A$1275,A34,14_ProjectIndicators!$H$4:$H$1275,"Mandatory")</f>
        <v>8</v>
      </c>
      <c r="P34" s="3" t="n">
        <f aca="false">COUNTIFS(14_ProjectIndicators!$A$4:$A$1275,A34,14_ProjectIndicators!$H$4:$H$1275,"Required (activity)")</f>
        <v>1</v>
      </c>
      <c r="Q34" s="3" t="n">
        <f aca="false">COUNTIFS(14_ProjectIndicators!$A$4:$A$1275,A34,14_ProjectIndicators!$H$4:$H$1275,"Optional")</f>
        <v>1</v>
      </c>
      <c r="R34" s="3" t="n">
        <f aca="false">COUNTIFS(14_ProjectIndicators!$A$4:$A$1275,A34,14_ProjectIndicators!$L$4:$L$1275,"Reported in Hub")</f>
        <v>0</v>
      </c>
      <c r="S34" s="3" t="n">
        <f aca="false">COUNTIFS(14_ProjectIndicators!$A$4:$A$1275,A34,14_ProjectIndicators!$L$4:$L$1275,"Possibly reported – check")</f>
        <v>2</v>
      </c>
      <c r="T34" s="3" t="n">
        <f aca="false">COUNTIFS(14_ProjectIndicators!$A$4:$A$1275,A34,14_ProjectIndicators!$L$4:$L$1275,"Not yet reported")</f>
        <v>8</v>
      </c>
      <c r="U34" s="3" t="s">
        <v>1396</v>
      </c>
      <c r="V34" s="3" t="s">
        <v>1589</v>
      </c>
      <c r="W34" s="28" t="s">
        <v>1590</v>
      </c>
    </row>
    <row r="35" customFormat="false" ht="15" hidden="false" customHeight="false" outlineLevel="0" collapsed="false">
      <c r="A35" s="3" t="n">
        <v>141415</v>
      </c>
      <c r="B35" s="3" t="s">
        <v>1591</v>
      </c>
      <c r="C35" s="3" t="s">
        <v>1388</v>
      </c>
      <c r="D35" s="3" t="s">
        <v>1561</v>
      </c>
      <c r="E35" s="3" t="s">
        <v>1592</v>
      </c>
      <c r="F35" s="3" t="s">
        <v>1592</v>
      </c>
      <c r="G35" s="3" t="s">
        <v>1593</v>
      </c>
      <c r="H35" s="3" t="s">
        <v>1421</v>
      </c>
      <c r="I35" s="26" t="n">
        <v>9919392</v>
      </c>
      <c r="J35" s="27" t="n">
        <v>46011</v>
      </c>
      <c r="K35" s="27" t="n">
        <v>47837</v>
      </c>
      <c r="L35" s="3" t="s">
        <v>1432</v>
      </c>
      <c r="M35" s="3" t="s">
        <v>1395</v>
      </c>
      <c r="N35" s="3" t="s">
        <v>1572</v>
      </c>
      <c r="O35" s="3" t="n">
        <f aca="false">COUNTIFS(14_ProjectIndicators!$A$4:$A$1275,A35,14_ProjectIndicators!$H$4:$H$1275,"Mandatory")</f>
        <v>8</v>
      </c>
      <c r="P35" s="3" t="n">
        <f aca="false">COUNTIFS(14_ProjectIndicators!$A$4:$A$1275,A35,14_ProjectIndicators!$H$4:$H$1275,"Required (activity)")</f>
        <v>1</v>
      </c>
      <c r="Q35" s="3" t="n">
        <f aca="false">COUNTIFS(14_ProjectIndicators!$A$4:$A$1275,A35,14_ProjectIndicators!$H$4:$H$1275,"Optional")</f>
        <v>3</v>
      </c>
      <c r="R35" s="3" t="n">
        <f aca="false">COUNTIFS(14_ProjectIndicators!$A$4:$A$1275,A35,14_ProjectIndicators!$L$4:$L$1275,"Reported in Hub")</f>
        <v>0</v>
      </c>
      <c r="S35" s="3" t="n">
        <f aca="false">COUNTIFS(14_ProjectIndicators!$A$4:$A$1275,A35,14_ProjectIndicators!$L$4:$L$1275,"Possibly reported – check")</f>
        <v>0</v>
      </c>
      <c r="T35" s="3" t="n">
        <f aca="false">COUNTIFS(14_ProjectIndicators!$A$4:$A$1275,A35,14_ProjectIndicators!$L$4:$L$1275,"Not yet reported")</f>
        <v>12</v>
      </c>
      <c r="U35" s="3" t="s">
        <v>1396</v>
      </c>
      <c r="V35" s="3" t="s">
        <v>1594</v>
      </c>
      <c r="W35" s="28" t="s">
        <v>1595</v>
      </c>
    </row>
    <row r="36" customFormat="false" ht="23.85" hidden="false" customHeight="false" outlineLevel="0" collapsed="false">
      <c r="A36" s="3" t="n">
        <v>123542</v>
      </c>
      <c r="B36" s="3" t="s">
        <v>1596</v>
      </c>
      <c r="C36" s="3" t="s">
        <v>1388</v>
      </c>
      <c r="D36" s="3" t="s">
        <v>1561</v>
      </c>
      <c r="E36" s="3" t="s">
        <v>1597</v>
      </c>
      <c r="F36" s="3" t="s">
        <v>1598</v>
      </c>
      <c r="G36" s="3" t="s">
        <v>1476</v>
      </c>
      <c r="H36" s="3" t="s">
        <v>1393</v>
      </c>
      <c r="I36" s="26" t="n">
        <v>2442000</v>
      </c>
      <c r="J36" s="27" t="n">
        <v>44068</v>
      </c>
      <c r="K36" s="27" t="n">
        <v>45746</v>
      </c>
      <c r="L36" s="3" t="s">
        <v>1440</v>
      </c>
      <c r="M36" s="3" t="s">
        <v>1395</v>
      </c>
      <c r="N36" s="3" t="s">
        <v>1599</v>
      </c>
      <c r="O36" s="3" t="n">
        <f aca="false">COUNTIFS(14_ProjectIndicators!$A$4:$A$1275,A36,14_ProjectIndicators!$H$4:$H$1275,"Mandatory")</f>
        <v>5</v>
      </c>
      <c r="P36" s="3" t="n">
        <f aca="false">COUNTIFS(14_ProjectIndicators!$A$4:$A$1275,A36,14_ProjectIndicators!$H$4:$H$1275,"Required (activity)")</f>
        <v>2</v>
      </c>
      <c r="Q36" s="3" t="n">
        <f aca="false">COUNTIFS(14_ProjectIndicators!$A$4:$A$1275,A36,14_ProjectIndicators!$H$4:$H$1275,"Optional")</f>
        <v>2</v>
      </c>
      <c r="R36" s="3" t="n">
        <f aca="false">COUNTIFS(14_ProjectIndicators!$A$4:$A$1275,A36,14_ProjectIndicators!$L$4:$L$1275,"Reported in Hub")</f>
        <v>0</v>
      </c>
      <c r="S36" s="3" t="n">
        <f aca="false">COUNTIFS(14_ProjectIndicators!$A$4:$A$1275,A36,14_ProjectIndicators!$L$4:$L$1275,"Possibly reported – check")</f>
        <v>0</v>
      </c>
      <c r="T36" s="3" t="n">
        <f aca="false">COUNTIFS(14_ProjectIndicators!$A$4:$A$1275,A36,14_ProjectIndicators!$L$4:$L$1275,"Not yet reported")</f>
        <v>0</v>
      </c>
      <c r="U36" s="3" t="s">
        <v>1396</v>
      </c>
      <c r="V36" s="3" t="s">
        <v>1600</v>
      </c>
      <c r="W36" s="28" t="s">
        <v>1601</v>
      </c>
    </row>
    <row r="37" customFormat="false" ht="23.85" hidden="false" customHeight="false" outlineLevel="0" collapsed="false">
      <c r="A37" s="3" t="n">
        <v>140486</v>
      </c>
      <c r="B37" s="3" t="s">
        <v>1602</v>
      </c>
      <c r="C37" s="3" t="s">
        <v>1388</v>
      </c>
      <c r="D37" s="3" t="s">
        <v>1561</v>
      </c>
      <c r="E37" s="3" t="s">
        <v>1603</v>
      </c>
      <c r="F37" s="3" t="s">
        <v>1603</v>
      </c>
      <c r="G37" s="3" t="s">
        <v>1604</v>
      </c>
      <c r="H37" s="3" t="s">
        <v>1421</v>
      </c>
      <c r="I37" s="26" t="n">
        <v>26570000</v>
      </c>
      <c r="J37" s="27" t="n">
        <v>45279</v>
      </c>
      <c r="K37" s="27" t="n">
        <v>46357</v>
      </c>
      <c r="L37" s="3" t="s">
        <v>1440</v>
      </c>
      <c r="M37" s="3" t="s">
        <v>1395</v>
      </c>
      <c r="N37" s="3" t="s">
        <v>1605</v>
      </c>
      <c r="O37" s="3" t="n">
        <f aca="false">COUNTIFS(14_ProjectIndicators!$A$4:$A$1275,A37,14_ProjectIndicators!$H$4:$H$1275,"Mandatory")</f>
        <v>5</v>
      </c>
      <c r="P37" s="3" t="n">
        <f aca="false">COUNTIFS(14_ProjectIndicators!$A$4:$A$1275,A37,14_ProjectIndicators!$H$4:$H$1275,"Required (activity)")</f>
        <v>1</v>
      </c>
      <c r="Q37" s="3" t="n">
        <f aca="false">COUNTIFS(14_ProjectIndicators!$A$4:$A$1275,A37,14_ProjectIndicators!$H$4:$H$1275,"Optional")</f>
        <v>3</v>
      </c>
      <c r="R37" s="3" t="n">
        <f aca="false">COUNTIFS(14_ProjectIndicators!$A$4:$A$1275,A37,14_ProjectIndicators!$L$4:$L$1275,"Reported in Hub")</f>
        <v>0</v>
      </c>
      <c r="S37" s="3" t="n">
        <f aca="false">COUNTIFS(14_ProjectIndicators!$A$4:$A$1275,A37,14_ProjectIndicators!$L$4:$L$1275,"Possibly reported – check")</f>
        <v>1</v>
      </c>
      <c r="T37" s="3" t="n">
        <f aca="false">COUNTIFS(14_ProjectIndicators!$A$4:$A$1275,A37,14_ProjectIndicators!$L$4:$L$1275,"Not yet reported")</f>
        <v>8</v>
      </c>
      <c r="U37" s="3" t="s">
        <v>1396</v>
      </c>
      <c r="V37" s="3" t="s">
        <v>1606</v>
      </c>
      <c r="W37" s="28" t="s">
        <v>1607</v>
      </c>
    </row>
    <row r="38" customFormat="false" ht="35.05" hidden="false" customHeight="false" outlineLevel="0" collapsed="false">
      <c r="A38" s="3" t="n">
        <v>141031</v>
      </c>
      <c r="B38" s="3" t="s">
        <v>1608</v>
      </c>
      <c r="C38" s="3" t="s">
        <v>1388</v>
      </c>
      <c r="D38" s="3" t="s">
        <v>1561</v>
      </c>
      <c r="E38" s="3" t="s">
        <v>1609</v>
      </c>
      <c r="F38" s="3" t="s">
        <v>1609</v>
      </c>
      <c r="G38" s="3" t="s">
        <v>1408</v>
      </c>
      <c r="H38" s="3" t="s">
        <v>1393</v>
      </c>
      <c r="I38" s="26" t="n">
        <v>130076</v>
      </c>
      <c r="J38" s="27" t="n">
        <v>45693</v>
      </c>
      <c r="K38" s="27" t="n">
        <v>46022</v>
      </c>
      <c r="L38" s="3" t="s">
        <v>1440</v>
      </c>
      <c r="M38" s="3" t="s">
        <v>1395</v>
      </c>
      <c r="N38" s="3" t="s">
        <v>1610</v>
      </c>
      <c r="O38" s="3" t="n">
        <f aca="false">COUNTIFS(14_ProjectIndicators!$A$4:$A$1275,A38,14_ProjectIndicators!$H$4:$H$1275,"Mandatory")</f>
        <v>5</v>
      </c>
      <c r="P38" s="3" t="n">
        <f aca="false">COUNTIFS(14_ProjectIndicators!$A$4:$A$1275,A38,14_ProjectIndicators!$H$4:$H$1275,"Required (activity)")</f>
        <v>1</v>
      </c>
      <c r="Q38" s="3" t="n">
        <f aca="false">COUNTIFS(14_ProjectIndicators!$A$4:$A$1275,A38,14_ProjectIndicators!$H$4:$H$1275,"Optional")</f>
        <v>2</v>
      </c>
      <c r="R38" s="3" t="n">
        <f aca="false">COUNTIFS(14_ProjectIndicators!$A$4:$A$1275,A38,14_ProjectIndicators!$L$4:$L$1275,"Reported in Hub")</f>
        <v>0</v>
      </c>
      <c r="S38" s="3" t="n">
        <f aca="false">COUNTIFS(14_ProjectIndicators!$A$4:$A$1275,A38,14_ProjectIndicators!$L$4:$L$1275,"Possibly reported – check")</f>
        <v>0</v>
      </c>
      <c r="T38" s="3" t="n">
        <f aca="false">COUNTIFS(14_ProjectIndicators!$A$4:$A$1275,A38,14_ProjectIndicators!$L$4:$L$1275,"Not yet reported")</f>
        <v>0</v>
      </c>
      <c r="U38" s="3" t="s">
        <v>1396</v>
      </c>
      <c r="V38" s="3" t="s">
        <v>1611</v>
      </c>
      <c r="W38" s="28" t="s">
        <v>1612</v>
      </c>
    </row>
    <row r="39" customFormat="false" ht="23.85" hidden="false" customHeight="false" outlineLevel="0" collapsed="false">
      <c r="A39" s="3" t="n">
        <v>131426</v>
      </c>
      <c r="B39" s="3" t="s">
        <v>1613</v>
      </c>
      <c r="C39" s="3" t="s">
        <v>1388</v>
      </c>
      <c r="D39" s="3" t="s">
        <v>1561</v>
      </c>
      <c r="E39" s="3" t="s">
        <v>1614</v>
      </c>
      <c r="F39" s="3" t="s">
        <v>1615</v>
      </c>
      <c r="G39" s="3" t="s">
        <v>1540</v>
      </c>
      <c r="H39" s="3" t="s">
        <v>1393</v>
      </c>
      <c r="I39" s="26" t="n">
        <v>1491461</v>
      </c>
      <c r="J39" s="27" t="n">
        <v>44662</v>
      </c>
      <c r="K39" s="27" t="n">
        <v>45565</v>
      </c>
      <c r="L39" s="3" t="s">
        <v>1394</v>
      </c>
      <c r="M39" s="3" t="s">
        <v>1395</v>
      </c>
      <c r="N39" s="3" t="s">
        <v>1616</v>
      </c>
      <c r="O39" s="3" t="n">
        <f aca="false">COUNTIFS(14_ProjectIndicators!$A$4:$A$1275,A39,14_ProjectIndicators!$H$4:$H$1275,"Mandatory")</f>
        <v>0</v>
      </c>
      <c r="P39" s="3" t="n">
        <f aca="false">COUNTIFS(14_ProjectIndicators!$A$4:$A$1275,A39,14_ProjectIndicators!$H$4:$H$1275,"Required (activity)")</f>
        <v>2</v>
      </c>
      <c r="Q39" s="3" t="n">
        <f aca="false">COUNTIFS(14_ProjectIndicators!$A$4:$A$1275,A39,14_ProjectIndicators!$H$4:$H$1275,"Optional")</f>
        <v>3</v>
      </c>
      <c r="R39" s="3" t="n">
        <f aca="false">COUNTIFS(14_ProjectIndicators!$A$4:$A$1275,A39,14_ProjectIndicators!$L$4:$L$1275,"Reported in Hub")</f>
        <v>0</v>
      </c>
      <c r="S39" s="3" t="n">
        <f aca="false">COUNTIFS(14_ProjectIndicators!$A$4:$A$1275,A39,14_ProjectIndicators!$L$4:$L$1275,"Possibly reported – check")</f>
        <v>0</v>
      </c>
      <c r="T39" s="3" t="n">
        <f aca="false">COUNTIFS(14_ProjectIndicators!$A$4:$A$1275,A39,14_ProjectIndicators!$L$4:$L$1275,"Not yet reported")</f>
        <v>0</v>
      </c>
      <c r="U39" s="3" t="s">
        <v>1396</v>
      </c>
      <c r="V39" s="3" t="s">
        <v>1617</v>
      </c>
      <c r="W39" s="28" t="s">
        <v>1618</v>
      </c>
    </row>
    <row r="40" customFormat="false" ht="23.85" hidden="false" customHeight="false" outlineLevel="0" collapsed="false">
      <c r="A40" s="3" t="n">
        <v>131427</v>
      </c>
      <c r="B40" s="3" t="s">
        <v>1619</v>
      </c>
      <c r="C40" s="3" t="s">
        <v>1388</v>
      </c>
      <c r="D40" s="3" t="s">
        <v>1561</v>
      </c>
      <c r="E40" s="3" t="s">
        <v>1620</v>
      </c>
      <c r="F40" s="3" t="s">
        <v>1621</v>
      </c>
      <c r="G40" s="3" t="s">
        <v>1621</v>
      </c>
      <c r="H40" s="3" t="s">
        <v>1393</v>
      </c>
      <c r="I40" s="26" t="n">
        <v>431001</v>
      </c>
      <c r="J40" s="27" t="n">
        <v>44662</v>
      </c>
      <c r="K40" s="27" t="n">
        <v>44985</v>
      </c>
      <c r="L40" s="3" t="s">
        <v>1394</v>
      </c>
      <c r="M40" s="3" t="s">
        <v>1395</v>
      </c>
      <c r="N40" s="3" t="s">
        <v>1616</v>
      </c>
      <c r="O40" s="3" t="n">
        <f aca="false">COUNTIFS(14_ProjectIndicators!$A$4:$A$1275,A40,14_ProjectIndicators!$H$4:$H$1275,"Mandatory")</f>
        <v>0</v>
      </c>
      <c r="P40" s="3" t="n">
        <f aca="false">COUNTIFS(14_ProjectIndicators!$A$4:$A$1275,A40,14_ProjectIndicators!$H$4:$H$1275,"Required (activity)")</f>
        <v>2</v>
      </c>
      <c r="Q40" s="3" t="n">
        <f aca="false">COUNTIFS(14_ProjectIndicators!$A$4:$A$1275,A40,14_ProjectIndicators!$H$4:$H$1275,"Optional")</f>
        <v>3</v>
      </c>
      <c r="R40" s="3" t="n">
        <f aca="false">COUNTIFS(14_ProjectIndicators!$A$4:$A$1275,A40,14_ProjectIndicators!$L$4:$L$1275,"Reported in Hub")</f>
        <v>0</v>
      </c>
      <c r="S40" s="3" t="n">
        <f aca="false">COUNTIFS(14_ProjectIndicators!$A$4:$A$1275,A40,14_ProjectIndicators!$L$4:$L$1275,"Possibly reported – check")</f>
        <v>0</v>
      </c>
      <c r="T40" s="3" t="n">
        <f aca="false">COUNTIFS(14_ProjectIndicators!$A$4:$A$1275,A40,14_ProjectIndicators!$L$4:$L$1275,"Not yet reported")</f>
        <v>0</v>
      </c>
      <c r="U40" s="3" t="s">
        <v>1396</v>
      </c>
      <c r="V40" s="3" t="s">
        <v>1617</v>
      </c>
      <c r="W40" s="28" t="s">
        <v>1622</v>
      </c>
    </row>
    <row r="41" customFormat="false" ht="35.05" hidden="false" customHeight="false" outlineLevel="0" collapsed="false">
      <c r="A41" s="3" t="n">
        <v>141054</v>
      </c>
      <c r="B41" s="3" t="s">
        <v>1623</v>
      </c>
      <c r="C41" s="3" t="s">
        <v>1388</v>
      </c>
      <c r="D41" s="3" t="s">
        <v>1561</v>
      </c>
      <c r="E41" s="3" t="s">
        <v>1624</v>
      </c>
      <c r="F41" s="3" t="s">
        <v>1624</v>
      </c>
      <c r="G41" s="3" t="s">
        <v>1625</v>
      </c>
      <c r="H41" s="3" t="s">
        <v>1393</v>
      </c>
      <c r="I41" s="26" t="n">
        <v>500000</v>
      </c>
      <c r="J41" s="27" t="n">
        <v>45708</v>
      </c>
      <c r="K41" s="27" t="n">
        <v>46023</v>
      </c>
      <c r="L41" s="3" t="s">
        <v>1394</v>
      </c>
      <c r="M41" s="3" t="s">
        <v>1423</v>
      </c>
      <c r="N41" s="3" t="s">
        <v>1626</v>
      </c>
      <c r="O41" s="3" t="n">
        <f aca="false">COUNTIFS(14_ProjectIndicators!$A$4:$A$1275,A41,14_ProjectIndicators!$H$4:$H$1275,"Mandatory")</f>
        <v>0</v>
      </c>
      <c r="P41" s="3" t="n">
        <f aca="false">COUNTIFS(14_ProjectIndicators!$A$4:$A$1275,A41,14_ProjectIndicators!$H$4:$H$1275,"Required (activity)")</f>
        <v>6</v>
      </c>
      <c r="Q41" s="3" t="n">
        <f aca="false">COUNTIFS(14_ProjectIndicators!$A$4:$A$1275,A41,14_ProjectIndicators!$H$4:$H$1275,"Optional")</f>
        <v>4</v>
      </c>
      <c r="R41" s="3" t="n">
        <f aca="false">COUNTIFS(14_ProjectIndicators!$A$4:$A$1275,A41,14_ProjectIndicators!$L$4:$L$1275,"Reported in Hub")</f>
        <v>0</v>
      </c>
      <c r="S41" s="3" t="n">
        <f aca="false">COUNTIFS(14_ProjectIndicators!$A$4:$A$1275,A41,14_ProjectIndicators!$L$4:$L$1275,"Possibly reported – check")</f>
        <v>2</v>
      </c>
      <c r="T41" s="3" t="n">
        <f aca="false">COUNTIFS(14_ProjectIndicators!$A$4:$A$1275,A41,14_ProjectIndicators!$L$4:$L$1275,"Not yet reported")</f>
        <v>0</v>
      </c>
      <c r="U41" s="3" t="s">
        <v>1425</v>
      </c>
      <c r="V41" s="3" t="s">
        <v>1627</v>
      </c>
      <c r="W41" s="28" t="s">
        <v>1628</v>
      </c>
    </row>
    <row r="42" customFormat="false" ht="23.85" hidden="false" customHeight="false" outlineLevel="0" collapsed="false">
      <c r="A42" s="3" t="n">
        <v>141098</v>
      </c>
      <c r="B42" s="3" t="s">
        <v>1629</v>
      </c>
      <c r="C42" s="3" t="s">
        <v>1388</v>
      </c>
      <c r="D42" s="3" t="s">
        <v>1561</v>
      </c>
      <c r="E42" s="3" t="s">
        <v>1630</v>
      </c>
      <c r="F42" s="3" t="s">
        <v>1630</v>
      </c>
      <c r="G42" s="3" t="s">
        <v>1491</v>
      </c>
      <c r="H42" s="3" t="s">
        <v>1421</v>
      </c>
      <c r="I42" s="26" t="n">
        <v>467836</v>
      </c>
      <c r="J42" s="27" t="n">
        <v>45744</v>
      </c>
      <c r="K42" s="27" t="n">
        <v>46235</v>
      </c>
      <c r="L42" s="3" t="s">
        <v>1394</v>
      </c>
      <c r="M42" s="3" t="s">
        <v>1395</v>
      </c>
      <c r="N42" s="3" t="s">
        <v>1631</v>
      </c>
      <c r="O42" s="3" t="n">
        <f aca="false">COUNTIFS(14_ProjectIndicators!$A$4:$A$1275,A42,14_ProjectIndicators!$H$4:$H$1275,"Mandatory")</f>
        <v>0</v>
      </c>
      <c r="P42" s="3" t="n">
        <f aca="false">COUNTIFS(14_ProjectIndicators!$A$4:$A$1275,A42,14_ProjectIndicators!$H$4:$H$1275,"Required (activity)")</f>
        <v>5</v>
      </c>
      <c r="Q42" s="3" t="n">
        <f aca="false">COUNTIFS(14_ProjectIndicators!$A$4:$A$1275,A42,14_ProjectIndicators!$H$4:$H$1275,"Optional")</f>
        <v>3</v>
      </c>
      <c r="R42" s="3" t="n">
        <f aca="false">COUNTIFS(14_ProjectIndicators!$A$4:$A$1275,A42,14_ProjectIndicators!$L$4:$L$1275,"Reported in Hub")</f>
        <v>0</v>
      </c>
      <c r="S42" s="3" t="n">
        <f aca="false">COUNTIFS(14_ProjectIndicators!$A$4:$A$1275,A42,14_ProjectIndicators!$L$4:$L$1275,"Possibly reported – check")</f>
        <v>3</v>
      </c>
      <c r="T42" s="3" t="n">
        <f aca="false">COUNTIFS(14_ProjectIndicators!$A$4:$A$1275,A42,14_ProjectIndicators!$L$4:$L$1275,"Not yet reported")</f>
        <v>5</v>
      </c>
      <c r="U42" s="3" t="s">
        <v>1425</v>
      </c>
      <c r="V42" s="3" t="s">
        <v>1632</v>
      </c>
      <c r="W42" s="28" t="s">
        <v>1633</v>
      </c>
    </row>
    <row r="43" customFormat="false" ht="23.85" hidden="false" customHeight="false" outlineLevel="0" collapsed="false">
      <c r="A43" s="3" t="n">
        <v>97460</v>
      </c>
      <c r="B43" s="3" t="s">
        <v>1634</v>
      </c>
      <c r="C43" s="3" t="s">
        <v>1388</v>
      </c>
      <c r="D43" s="3" t="s">
        <v>1561</v>
      </c>
      <c r="E43" s="3" t="s">
        <v>1635</v>
      </c>
      <c r="F43" s="3" t="s">
        <v>1635</v>
      </c>
      <c r="G43" s="3" t="s">
        <v>1408</v>
      </c>
      <c r="H43" s="3" t="s">
        <v>1393</v>
      </c>
      <c r="I43" s="26" t="n">
        <v>10634390.5</v>
      </c>
      <c r="J43" s="27" t="n">
        <v>42352</v>
      </c>
      <c r="K43" s="27" t="n">
        <v>44561</v>
      </c>
      <c r="L43" s="3" t="s">
        <v>1553</v>
      </c>
      <c r="M43" s="3" t="s">
        <v>1395</v>
      </c>
      <c r="N43" s="3"/>
      <c r="O43" s="3" t="n">
        <f aca="false">COUNTIFS(14_ProjectIndicators!$A$4:$A$1275,A43,14_ProjectIndicators!$H$4:$H$1275,"Mandatory")</f>
        <v>0</v>
      </c>
      <c r="P43" s="3" t="n">
        <f aca="false">COUNTIFS(14_ProjectIndicators!$A$4:$A$1275,A43,14_ProjectIndicators!$H$4:$H$1275,"Required (activity)")</f>
        <v>0</v>
      </c>
      <c r="Q43" s="3" t="n">
        <f aca="false">COUNTIFS(14_ProjectIndicators!$A$4:$A$1275,A43,14_ProjectIndicators!$H$4:$H$1275,"Optional")</f>
        <v>0</v>
      </c>
      <c r="R43" s="3" t="n">
        <f aca="false">COUNTIFS(14_ProjectIndicators!$A$4:$A$1275,A43,14_ProjectIndicators!$L$4:$L$1275,"Reported in Hub")</f>
        <v>0</v>
      </c>
      <c r="S43" s="3" t="n">
        <f aca="false">COUNTIFS(14_ProjectIndicators!$A$4:$A$1275,A43,14_ProjectIndicators!$L$4:$L$1275,"Possibly reported – check")</f>
        <v>0</v>
      </c>
      <c r="T43" s="3" t="n">
        <f aca="false">COUNTIFS(14_ProjectIndicators!$A$4:$A$1275,A43,14_ProjectIndicators!$L$4:$L$1275,"Not yet reported")</f>
        <v>0</v>
      </c>
      <c r="U43" s="3" t="s">
        <v>1396</v>
      </c>
      <c r="V43" s="3" t="s">
        <v>1636</v>
      </c>
      <c r="W43" s="28" t="s">
        <v>1637</v>
      </c>
    </row>
    <row r="44" customFormat="false" ht="23.85" hidden="false" customHeight="false" outlineLevel="0" collapsed="false">
      <c r="A44" s="3" t="n">
        <v>130492</v>
      </c>
      <c r="B44" s="3" t="s">
        <v>1638</v>
      </c>
      <c r="C44" s="3" t="s">
        <v>1388</v>
      </c>
      <c r="D44" s="3" t="s">
        <v>1639</v>
      </c>
      <c r="E44" s="3" t="s">
        <v>1640</v>
      </c>
      <c r="F44" s="3" t="s">
        <v>1641</v>
      </c>
      <c r="G44" s="3" t="s">
        <v>1476</v>
      </c>
      <c r="H44" s="3" t="s">
        <v>1421</v>
      </c>
      <c r="I44" s="26" t="n">
        <v>7000000</v>
      </c>
      <c r="J44" s="27" t="n">
        <v>44610</v>
      </c>
      <c r="K44" s="27" t="n">
        <v>46387</v>
      </c>
      <c r="L44" s="3" t="s">
        <v>1484</v>
      </c>
      <c r="M44" s="3" t="s">
        <v>1395</v>
      </c>
      <c r="N44" s="3" t="s">
        <v>1642</v>
      </c>
      <c r="O44" s="3" t="n">
        <f aca="false">COUNTIFS(14_ProjectIndicators!$A$4:$A$1275,A44,14_ProjectIndicators!$H$4:$H$1275,"Mandatory")</f>
        <v>8</v>
      </c>
      <c r="P44" s="3" t="n">
        <f aca="false">COUNTIFS(14_ProjectIndicators!$A$4:$A$1275,A44,14_ProjectIndicators!$H$4:$H$1275,"Required (activity)")</f>
        <v>4</v>
      </c>
      <c r="Q44" s="3" t="n">
        <f aca="false">COUNTIFS(14_ProjectIndicators!$A$4:$A$1275,A44,14_ProjectIndicators!$H$4:$H$1275,"Optional")</f>
        <v>3</v>
      </c>
      <c r="R44" s="3" t="n">
        <f aca="false">COUNTIFS(14_ProjectIndicators!$A$4:$A$1275,A44,14_ProjectIndicators!$L$4:$L$1275,"Reported in Hub")</f>
        <v>2</v>
      </c>
      <c r="S44" s="3" t="n">
        <f aca="false">COUNTIFS(14_ProjectIndicators!$A$4:$A$1275,A44,14_ProjectIndicators!$L$4:$L$1275,"Possibly reported – check")</f>
        <v>1</v>
      </c>
      <c r="T44" s="3" t="n">
        <f aca="false">COUNTIFS(14_ProjectIndicators!$A$4:$A$1275,A44,14_ProjectIndicators!$L$4:$L$1275,"Not yet reported")</f>
        <v>12</v>
      </c>
      <c r="U44" s="3" t="s">
        <v>1396</v>
      </c>
      <c r="V44" s="3" t="s">
        <v>1643</v>
      </c>
      <c r="W44" s="28" t="s">
        <v>1644</v>
      </c>
    </row>
    <row r="45" customFormat="false" ht="46.25" hidden="false" customHeight="false" outlineLevel="0" collapsed="false">
      <c r="A45" s="3" t="n">
        <v>140280</v>
      </c>
      <c r="B45" s="3" t="s">
        <v>1645</v>
      </c>
      <c r="C45" s="3" t="s">
        <v>1388</v>
      </c>
      <c r="D45" s="3" t="s">
        <v>1639</v>
      </c>
      <c r="E45" s="3" t="s">
        <v>1646</v>
      </c>
      <c r="F45" s="3" t="s">
        <v>1647</v>
      </c>
      <c r="G45" s="3" t="s">
        <v>1402</v>
      </c>
      <c r="H45" s="3" t="s">
        <v>1421</v>
      </c>
      <c r="I45" s="26" t="n">
        <v>16527850</v>
      </c>
      <c r="J45" s="27" t="n">
        <v>45176</v>
      </c>
      <c r="K45" s="27" t="n">
        <v>46996</v>
      </c>
      <c r="L45" s="3" t="s">
        <v>1484</v>
      </c>
      <c r="M45" s="3" t="s">
        <v>1395</v>
      </c>
      <c r="N45" s="3" t="s">
        <v>1648</v>
      </c>
      <c r="O45" s="3" t="n">
        <f aca="false">COUNTIFS(14_ProjectIndicators!$A$4:$A$1275,A45,14_ProjectIndicators!$H$4:$H$1275,"Mandatory")</f>
        <v>8</v>
      </c>
      <c r="P45" s="3" t="n">
        <f aca="false">COUNTIFS(14_ProjectIndicators!$A$4:$A$1275,A45,14_ProjectIndicators!$H$4:$H$1275,"Required (activity)")</f>
        <v>10</v>
      </c>
      <c r="Q45" s="3" t="n">
        <f aca="false">COUNTIFS(14_ProjectIndicators!$A$4:$A$1275,A45,14_ProjectIndicators!$H$4:$H$1275,"Optional")</f>
        <v>18</v>
      </c>
      <c r="R45" s="3" t="n">
        <f aca="false">COUNTIFS(14_ProjectIndicators!$A$4:$A$1275,A45,14_ProjectIndicators!$L$4:$L$1275,"Reported in Hub")</f>
        <v>0</v>
      </c>
      <c r="S45" s="3" t="n">
        <f aca="false">COUNTIFS(14_ProjectIndicators!$A$4:$A$1275,A45,14_ProjectIndicators!$L$4:$L$1275,"Possibly reported – check")</f>
        <v>0</v>
      </c>
      <c r="T45" s="3" t="n">
        <f aca="false">COUNTIFS(14_ProjectIndicators!$A$4:$A$1275,A45,14_ProjectIndicators!$L$4:$L$1275,"Not yet reported")</f>
        <v>36</v>
      </c>
      <c r="U45" s="3" t="s">
        <v>1425</v>
      </c>
      <c r="V45" s="3" t="s">
        <v>1649</v>
      </c>
      <c r="W45" s="28" t="s">
        <v>1650</v>
      </c>
    </row>
    <row r="46" customFormat="false" ht="23.85" hidden="false" customHeight="false" outlineLevel="0" collapsed="false">
      <c r="A46" s="3" t="n">
        <v>140442</v>
      </c>
      <c r="B46" s="3" t="s">
        <v>1651</v>
      </c>
      <c r="C46" s="3" t="s">
        <v>1388</v>
      </c>
      <c r="D46" s="3" t="s">
        <v>1639</v>
      </c>
      <c r="E46" s="3" t="s">
        <v>1652</v>
      </c>
      <c r="F46" s="3" t="s">
        <v>1653</v>
      </c>
      <c r="G46" s="3" t="s">
        <v>1654</v>
      </c>
      <c r="H46" s="3" t="s">
        <v>1421</v>
      </c>
      <c r="I46" s="26" t="n">
        <v>1000000</v>
      </c>
      <c r="J46" s="27" t="n">
        <v>45257</v>
      </c>
      <c r="K46" s="27" t="n">
        <v>46295</v>
      </c>
      <c r="L46" s="3" t="s">
        <v>1432</v>
      </c>
      <c r="M46" s="3" t="s">
        <v>1395</v>
      </c>
      <c r="N46" s="3" t="s">
        <v>1655</v>
      </c>
      <c r="O46" s="3" t="n">
        <f aca="false">COUNTIFS(14_ProjectIndicators!$A$4:$A$1275,A46,14_ProjectIndicators!$H$4:$H$1275,"Mandatory")</f>
        <v>8</v>
      </c>
      <c r="P46" s="3" t="n">
        <f aca="false">COUNTIFS(14_ProjectIndicators!$A$4:$A$1275,A46,14_ProjectIndicators!$H$4:$H$1275,"Required (activity)")</f>
        <v>2</v>
      </c>
      <c r="Q46" s="3" t="n">
        <f aca="false">COUNTIFS(14_ProjectIndicators!$A$4:$A$1275,A46,14_ProjectIndicators!$H$4:$H$1275,"Optional")</f>
        <v>4</v>
      </c>
      <c r="R46" s="3" t="n">
        <f aca="false">COUNTIFS(14_ProjectIndicators!$A$4:$A$1275,A46,14_ProjectIndicators!$L$4:$L$1275,"Reported in Hub")</f>
        <v>2</v>
      </c>
      <c r="S46" s="3" t="n">
        <f aca="false">COUNTIFS(14_ProjectIndicators!$A$4:$A$1275,A46,14_ProjectIndicators!$L$4:$L$1275,"Possibly reported – check")</f>
        <v>1</v>
      </c>
      <c r="T46" s="3" t="n">
        <f aca="false">COUNTIFS(14_ProjectIndicators!$A$4:$A$1275,A46,14_ProjectIndicators!$L$4:$L$1275,"Not yet reported")</f>
        <v>11</v>
      </c>
      <c r="U46" s="3" t="s">
        <v>1425</v>
      </c>
      <c r="V46" s="3" t="s">
        <v>1656</v>
      </c>
      <c r="W46" s="28" t="s">
        <v>1657</v>
      </c>
    </row>
    <row r="47" customFormat="false" ht="35.05" hidden="false" customHeight="false" outlineLevel="0" collapsed="false">
      <c r="A47" s="3" t="n">
        <v>129333</v>
      </c>
      <c r="B47" s="3" t="s">
        <v>1658</v>
      </c>
      <c r="C47" s="3" t="s">
        <v>1388</v>
      </c>
      <c r="D47" s="3" t="s">
        <v>1639</v>
      </c>
      <c r="E47" s="3" t="s">
        <v>1659</v>
      </c>
      <c r="F47" s="3" t="s">
        <v>1660</v>
      </c>
      <c r="G47" s="3" t="s">
        <v>1476</v>
      </c>
      <c r="H47" s="3" t="s">
        <v>1421</v>
      </c>
      <c r="I47" s="26" t="n">
        <v>2000000</v>
      </c>
      <c r="J47" s="27" t="n">
        <v>44517</v>
      </c>
      <c r="K47" s="27" t="n">
        <v>46203</v>
      </c>
      <c r="L47" s="3" t="s">
        <v>1440</v>
      </c>
      <c r="M47" s="3" t="s">
        <v>1395</v>
      </c>
      <c r="N47" s="3" t="s">
        <v>1599</v>
      </c>
      <c r="O47" s="3" t="n">
        <f aca="false">COUNTIFS(14_ProjectIndicators!$A$4:$A$1275,A47,14_ProjectIndicators!$H$4:$H$1275,"Mandatory")</f>
        <v>5</v>
      </c>
      <c r="P47" s="3" t="n">
        <f aca="false">COUNTIFS(14_ProjectIndicators!$A$4:$A$1275,A47,14_ProjectIndicators!$H$4:$H$1275,"Required (activity)")</f>
        <v>2</v>
      </c>
      <c r="Q47" s="3" t="n">
        <f aca="false">COUNTIFS(14_ProjectIndicators!$A$4:$A$1275,A47,14_ProjectIndicators!$H$4:$H$1275,"Optional")</f>
        <v>2</v>
      </c>
      <c r="R47" s="3" t="n">
        <f aca="false">COUNTIFS(14_ProjectIndicators!$A$4:$A$1275,A47,14_ProjectIndicators!$L$4:$L$1275,"Reported in Hub")</f>
        <v>1</v>
      </c>
      <c r="S47" s="3" t="n">
        <f aca="false">COUNTIFS(14_ProjectIndicators!$A$4:$A$1275,A47,14_ProjectIndicators!$L$4:$L$1275,"Possibly reported – check")</f>
        <v>0</v>
      </c>
      <c r="T47" s="3" t="n">
        <f aca="false">COUNTIFS(14_ProjectIndicators!$A$4:$A$1275,A47,14_ProjectIndicators!$L$4:$L$1275,"Not yet reported")</f>
        <v>8</v>
      </c>
      <c r="U47" s="3" t="s">
        <v>1396</v>
      </c>
      <c r="V47" s="3" t="s">
        <v>1661</v>
      </c>
      <c r="W47" s="28" t="s">
        <v>1662</v>
      </c>
    </row>
    <row r="48" customFormat="false" ht="23.85" hidden="false" customHeight="false" outlineLevel="0" collapsed="false">
      <c r="A48" s="3" t="n">
        <v>129481</v>
      </c>
      <c r="B48" s="3" t="s">
        <v>1663</v>
      </c>
      <c r="C48" s="3" t="s">
        <v>1388</v>
      </c>
      <c r="D48" s="3" t="s">
        <v>1639</v>
      </c>
      <c r="E48" s="3" t="s">
        <v>1515</v>
      </c>
      <c r="F48" s="3" t="s">
        <v>1664</v>
      </c>
      <c r="G48" s="3" t="s">
        <v>1408</v>
      </c>
      <c r="H48" s="3" t="s">
        <v>1393</v>
      </c>
      <c r="I48" s="26" t="n">
        <v>1455890.3</v>
      </c>
      <c r="J48" s="27" t="n">
        <v>44544</v>
      </c>
      <c r="K48" s="27" t="n">
        <v>45747</v>
      </c>
      <c r="L48" s="3" t="s">
        <v>1440</v>
      </c>
      <c r="M48" s="3" t="s">
        <v>1395</v>
      </c>
      <c r="N48" s="3" t="s">
        <v>1441</v>
      </c>
      <c r="O48" s="3" t="n">
        <f aca="false">COUNTIFS(14_ProjectIndicators!$A$4:$A$1275,A48,14_ProjectIndicators!$H$4:$H$1275,"Mandatory")</f>
        <v>5</v>
      </c>
      <c r="P48" s="3" t="n">
        <f aca="false">COUNTIFS(14_ProjectIndicators!$A$4:$A$1275,A48,14_ProjectIndicators!$H$4:$H$1275,"Required (activity)")</f>
        <v>1</v>
      </c>
      <c r="Q48" s="3" t="n">
        <f aca="false">COUNTIFS(14_ProjectIndicators!$A$4:$A$1275,A48,14_ProjectIndicators!$H$4:$H$1275,"Optional")</f>
        <v>3</v>
      </c>
      <c r="R48" s="3" t="n">
        <f aca="false">COUNTIFS(14_ProjectIndicators!$A$4:$A$1275,A48,14_ProjectIndicators!$L$4:$L$1275,"Reported in Hub")</f>
        <v>0</v>
      </c>
      <c r="S48" s="3" t="n">
        <f aca="false">COUNTIFS(14_ProjectIndicators!$A$4:$A$1275,A48,14_ProjectIndicators!$L$4:$L$1275,"Possibly reported – check")</f>
        <v>0</v>
      </c>
      <c r="T48" s="3" t="n">
        <f aca="false">COUNTIFS(14_ProjectIndicators!$A$4:$A$1275,A48,14_ProjectIndicators!$L$4:$L$1275,"Not yet reported")</f>
        <v>0</v>
      </c>
      <c r="U48" s="3" t="s">
        <v>1396</v>
      </c>
      <c r="V48" s="3" t="s">
        <v>1665</v>
      </c>
      <c r="W48" s="28" t="s">
        <v>1666</v>
      </c>
    </row>
    <row r="49" customFormat="false" ht="23.85" hidden="false" customHeight="false" outlineLevel="0" collapsed="false">
      <c r="A49" s="3" t="n">
        <v>134411</v>
      </c>
      <c r="B49" s="3" t="s">
        <v>1667</v>
      </c>
      <c r="C49" s="3" t="s">
        <v>1388</v>
      </c>
      <c r="D49" s="3" t="s">
        <v>1639</v>
      </c>
      <c r="E49" s="3" t="s">
        <v>1668</v>
      </c>
      <c r="F49" s="3" t="s">
        <v>1669</v>
      </c>
      <c r="G49" s="3" t="s">
        <v>1402</v>
      </c>
      <c r="H49" s="3" t="s">
        <v>1421</v>
      </c>
      <c r="I49" s="26" t="n">
        <v>18472150</v>
      </c>
      <c r="J49" s="27" t="n">
        <v>44917</v>
      </c>
      <c r="K49" s="27" t="n">
        <v>46704</v>
      </c>
      <c r="L49" s="3" t="s">
        <v>1440</v>
      </c>
      <c r="M49" s="3" t="s">
        <v>1395</v>
      </c>
      <c r="N49" s="3" t="s">
        <v>1670</v>
      </c>
      <c r="O49" s="3" t="n">
        <f aca="false">COUNTIFS(14_ProjectIndicators!$A$4:$A$1275,A49,14_ProjectIndicators!$H$4:$H$1275,"Mandatory")</f>
        <v>5</v>
      </c>
      <c r="P49" s="3" t="n">
        <f aca="false">COUNTIFS(14_ProjectIndicators!$A$4:$A$1275,A49,14_ProjectIndicators!$H$4:$H$1275,"Required (activity)")</f>
        <v>5</v>
      </c>
      <c r="Q49" s="3" t="n">
        <f aca="false">COUNTIFS(14_ProjectIndicators!$A$4:$A$1275,A49,14_ProjectIndicators!$H$4:$H$1275,"Optional")</f>
        <v>11</v>
      </c>
      <c r="R49" s="3" t="n">
        <f aca="false">COUNTIFS(14_ProjectIndicators!$A$4:$A$1275,A49,14_ProjectIndicators!$L$4:$L$1275,"Reported in Hub")</f>
        <v>0</v>
      </c>
      <c r="S49" s="3" t="n">
        <f aca="false">COUNTIFS(14_ProjectIndicators!$A$4:$A$1275,A49,14_ProjectIndicators!$L$4:$L$1275,"Possibly reported – check")</f>
        <v>3</v>
      </c>
      <c r="T49" s="3" t="n">
        <f aca="false">COUNTIFS(14_ProjectIndicators!$A$4:$A$1275,A49,14_ProjectIndicators!$L$4:$L$1275,"Not yet reported")</f>
        <v>18</v>
      </c>
      <c r="U49" s="3" t="s">
        <v>1396</v>
      </c>
      <c r="V49" s="3" t="s">
        <v>1671</v>
      </c>
      <c r="W49" s="28" t="s">
        <v>1672</v>
      </c>
    </row>
    <row r="50" customFormat="false" ht="23.85" hidden="false" customHeight="false" outlineLevel="0" collapsed="false">
      <c r="A50" s="3" t="n">
        <v>102120</v>
      </c>
      <c r="B50" s="3" t="s">
        <v>1673</v>
      </c>
      <c r="C50" s="3" t="s">
        <v>1388</v>
      </c>
      <c r="D50" s="3" t="s">
        <v>1639</v>
      </c>
      <c r="E50" s="3" t="s">
        <v>1674</v>
      </c>
      <c r="F50" s="3" t="s">
        <v>1675</v>
      </c>
      <c r="G50" s="3" t="s">
        <v>1392</v>
      </c>
      <c r="H50" s="3" t="s">
        <v>1393</v>
      </c>
      <c r="I50" s="26" t="n">
        <v>698000</v>
      </c>
      <c r="J50" s="27" t="n">
        <v>42635</v>
      </c>
      <c r="K50" s="27" t="n">
        <v>43830</v>
      </c>
      <c r="L50" s="3" t="s">
        <v>1394</v>
      </c>
      <c r="M50" s="3" t="s">
        <v>1395</v>
      </c>
      <c r="N50" s="3" t="s">
        <v>1304</v>
      </c>
      <c r="O50" s="3" t="n">
        <f aca="false">COUNTIFS(14_ProjectIndicators!$A$4:$A$1275,A50,14_ProjectIndicators!$H$4:$H$1275,"Mandatory")</f>
        <v>0</v>
      </c>
      <c r="P50" s="3" t="n">
        <f aca="false">COUNTIFS(14_ProjectIndicators!$A$4:$A$1275,A50,14_ProjectIndicators!$H$4:$H$1275,"Required (activity)")</f>
        <v>1</v>
      </c>
      <c r="Q50" s="3" t="n">
        <f aca="false">COUNTIFS(14_ProjectIndicators!$A$4:$A$1275,A50,14_ProjectIndicators!$H$4:$H$1275,"Optional")</f>
        <v>1</v>
      </c>
      <c r="R50" s="3" t="n">
        <f aca="false">COUNTIFS(14_ProjectIndicators!$A$4:$A$1275,A50,14_ProjectIndicators!$L$4:$L$1275,"Reported in Hub")</f>
        <v>0</v>
      </c>
      <c r="S50" s="3" t="n">
        <f aca="false">COUNTIFS(14_ProjectIndicators!$A$4:$A$1275,A50,14_ProjectIndicators!$L$4:$L$1275,"Possibly reported – check")</f>
        <v>0</v>
      </c>
      <c r="T50" s="3" t="n">
        <f aca="false">COUNTIFS(14_ProjectIndicators!$A$4:$A$1275,A50,14_ProjectIndicators!$L$4:$L$1275,"Not yet reported")</f>
        <v>0</v>
      </c>
      <c r="U50" s="3" t="s">
        <v>1396</v>
      </c>
      <c r="V50" s="3" t="s">
        <v>1397</v>
      </c>
      <c r="W50" s="28" t="s">
        <v>1676</v>
      </c>
    </row>
    <row r="51" customFormat="false" ht="23.85" hidden="false" customHeight="false" outlineLevel="0" collapsed="false">
      <c r="A51" s="3" t="n">
        <v>116876</v>
      </c>
      <c r="B51" s="3" t="s">
        <v>1677</v>
      </c>
      <c r="C51" s="3" t="s">
        <v>1388</v>
      </c>
      <c r="D51" s="3" t="s">
        <v>1639</v>
      </c>
      <c r="E51" s="3" t="s">
        <v>1678</v>
      </c>
      <c r="F51" s="3" t="s">
        <v>1679</v>
      </c>
      <c r="G51" s="3" t="s">
        <v>1476</v>
      </c>
      <c r="H51" s="3" t="s">
        <v>1393</v>
      </c>
      <c r="I51" s="26" t="n">
        <v>314173</v>
      </c>
      <c r="J51" s="27" t="n">
        <v>43663</v>
      </c>
      <c r="K51" s="27" t="n">
        <v>43951</v>
      </c>
      <c r="L51" s="3" t="s">
        <v>1394</v>
      </c>
      <c r="M51" s="3" t="s">
        <v>1395</v>
      </c>
      <c r="N51" s="3" t="s">
        <v>1304</v>
      </c>
      <c r="O51" s="3" t="n">
        <f aca="false">COUNTIFS(14_ProjectIndicators!$A$4:$A$1275,A51,14_ProjectIndicators!$H$4:$H$1275,"Mandatory")</f>
        <v>0</v>
      </c>
      <c r="P51" s="3" t="n">
        <f aca="false">COUNTIFS(14_ProjectIndicators!$A$4:$A$1275,A51,14_ProjectIndicators!$H$4:$H$1275,"Required (activity)")</f>
        <v>1</v>
      </c>
      <c r="Q51" s="3" t="n">
        <f aca="false">COUNTIFS(14_ProjectIndicators!$A$4:$A$1275,A51,14_ProjectIndicators!$H$4:$H$1275,"Optional")</f>
        <v>1</v>
      </c>
      <c r="R51" s="3" t="n">
        <f aca="false">COUNTIFS(14_ProjectIndicators!$A$4:$A$1275,A51,14_ProjectIndicators!$L$4:$L$1275,"Reported in Hub")</f>
        <v>0</v>
      </c>
      <c r="S51" s="3" t="n">
        <f aca="false">COUNTIFS(14_ProjectIndicators!$A$4:$A$1275,A51,14_ProjectIndicators!$L$4:$L$1275,"Possibly reported – check")</f>
        <v>0</v>
      </c>
      <c r="T51" s="3" t="n">
        <f aca="false">COUNTIFS(14_ProjectIndicators!$A$4:$A$1275,A51,14_ProjectIndicators!$L$4:$L$1275,"Not yet reported")</f>
        <v>0</v>
      </c>
      <c r="U51" s="3" t="s">
        <v>1396</v>
      </c>
      <c r="V51" s="3" t="s">
        <v>1680</v>
      </c>
      <c r="W51" s="28" t="s">
        <v>1681</v>
      </c>
    </row>
    <row r="52" customFormat="false" ht="57.45" hidden="false" customHeight="false" outlineLevel="0" collapsed="false">
      <c r="A52" s="3" t="n">
        <v>103850</v>
      </c>
      <c r="B52" s="3" t="s">
        <v>1682</v>
      </c>
      <c r="C52" s="3" t="s">
        <v>1552</v>
      </c>
      <c r="D52" s="3" t="s">
        <v>1537</v>
      </c>
      <c r="E52" s="3" t="s">
        <v>1683</v>
      </c>
      <c r="F52" s="3" t="s">
        <v>1684</v>
      </c>
      <c r="G52" s="3" t="s">
        <v>1392</v>
      </c>
      <c r="H52" s="3" t="s">
        <v>1393</v>
      </c>
      <c r="I52" s="26" t="n">
        <v>30000000</v>
      </c>
      <c r="J52" s="27" t="n">
        <v>42830</v>
      </c>
      <c r="K52" s="27" t="n">
        <v>45657</v>
      </c>
      <c r="L52" s="3" t="s">
        <v>1422</v>
      </c>
      <c r="M52" s="3" t="s">
        <v>1423</v>
      </c>
      <c r="N52" s="3" t="s">
        <v>1685</v>
      </c>
      <c r="O52" s="3" t="n">
        <f aca="false">COUNTIFS(14_ProjectIndicators!$A$4:$A$1275,A52,14_ProjectIndicators!$H$4:$H$1275,"Mandatory")</f>
        <v>11</v>
      </c>
      <c r="P52" s="3" t="n">
        <f aca="false">COUNTIFS(14_ProjectIndicators!$A$4:$A$1275,A52,14_ProjectIndicators!$H$4:$H$1275,"Required (activity)")</f>
        <v>14</v>
      </c>
      <c r="Q52" s="3" t="n">
        <f aca="false">COUNTIFS(14_ProjectIndicators!$A$4:$A$1275,A52,14_ProjectIndicators!$H$4:$H$1275,"Optional")</f>
        <v>21</v>
      </c>
      <c r="R52" s="3" t="n">
        <f aca="false">COUNTIFS(14_ProjectIndicators!$A$4:$A$1275,A52,14_ProjectIndicators!$L$4:$L$1275,"Reported in Hub")</f>
        <v>0</v>
      </c>
      <c r="S52" s="3" t="n">
        <f aca="false">COUNTIFS(14_ProjectIndicators!$A$4:$A$1275,A52,14_ProjectIndicators!$L$4:$L$1275,"Possibly reported – check")</f>
        <v>0</v>
      </c>
      <c r="T52" s="3" t="n">
        <f aca="false">COUNTIFS(14_ProjectIndicators!$A$4:$A$1275,A52,14_ProjectIndicators!$L$4:$L$1275,"Not yet reported")</f>
        <v>0</v>
      </c>
      <c r="U52" s="3" t="s">
        <v>1396</v>
      </c>
      <c r="V52" s="3" t="s">
        <v>1686</v>
      </c>
      <c r="W52" s="28" t="s">
        <v>1687</v>
      </c>
    </row>
    <row r="53" customFormat="false" ht="57.45" hidden="false" customHeight="false" outlineLevel="0" collapsed="false">
      <c r="A53" s="3" t="n">
        <v>105031</v>
      </c>
      <c r="B53" s="3" t="s">
        <v>1688</v>
      </c>
      <c r="C53" s="3" t="s">
        <v>1552</v>
      </c>
      <c r="D53" s="3" t="s">
        <v>1537</v>
      </c>
      <c r="E53" s="3" t="s">
        <v>1689</v>
      </c>
      <c r="F53" s="3" t="s">
        <v>1689</v>
      </c>
      <c r="G53" s="3" t="s">
        <v>1392</v>
      </c>
      <c r="H53" s="3" t="s">
        <v>1393</v>
      </c>
      <c r="I53" s="26" t="n">
        <v>7000000</v>
      </c>
      <c r="J53" s="27" t="n">
        <v>42830</v>
      </c>
      <c r="K53" s="27" t="n">
        <v>44742</v>
      </c>
      <c r="L53" s="3" t="s">
        <v>1422</v>
      </c>
      <c r="M53" s="3" t="s">
        <v>1423</v>
      </c>
      <c r="N53" s="3" t="s">
        <v>1685</v>
      </c>
      <c r="O53" s="3" t="n">
        <f aca="false">COUNTIFS(14_ProjectIndicators!$A$4:$A$1275,A53,14_ProjectIndicators!$H$4:$H$1275,"Mandatory")</f>
        <v>11</v>
      </c>
      <c r="P53" s="3" t="n">
        <f aca="false">COUNTIFS(14_ProjectIndicators!$A$4:$A$1275,A53,14_ProjectIndicators!$H$4:$H$1275,"Required (activity)")</f>
        <v>14</v>
      </c>
      <c r="Q53" s="3" t="n">
        <f aca="false">COUNTIFS(14_ProjectIndicators!$A$4:$A$1275,A53,14_ProjectIndicators!$H$4:$H$1275,"Optional")</f>
        <v>21</v>
      </c>
      <c r="R53" s="3" t="n">
        <f aca="false">COUNTIFS(14_ProjectIndicators!$A$4:$A$1275,A53,14_ProjectIndicators!$L$4:$L$1275,"Reported in Hub")</f>
        <v>0</v>
      </c>
      <c r="S53" s="3" t="n">
        <f aca="false">COUNTIFS(14_ProjectIndicators!$A$4:$A$1275,A53,14_ProjectIndicators!$L$4:$L$1275,"Possibly reported – check")</f>
        <v>0</v>
      </c>
      <c r="T53" s="3" t="n">
        <f aca="false">COUNTIFS(14_ProjectIndicators!$A$4:$A$1275,A53,14_ProjectIndicators!$L$4:$L$1275,"Not yet reported")</f>
        <v>0</v>
      </c>
      <c r="U53" s="3" t="s">
        <v>1396</v>
      </c>
      <c r="V53" s="3" t="s">
        <v>1686</v>
      </c>
      <c r="W53" s="28" t="s">
        <v>1690</v>
      </c>
    </row>
    <row r="54" customFormat="false" ht="57.45" hidden="false" customHeight="false" outlineLevel="0" collapsed="false">
      <c r="A54" s="3" t="n">
        <v>107819</v>
      </c>
      <c r="B54" s="3" t="s">
        <v>1691</v>
      </c>
      <c r="C54" s="3" t="s">
        <v>1552</v>
      </c>
      <c r="D54" s="3" t="s">
        <v>1537</v>
      </c>
      <c r="E54" s="3" t="s">
        <v>1692</v>
      </c>
      <c r="F54" s="3" t="s">
        <v>1693</v>
      </c>
      <c r="G54" s="3" t="s">
        <v>1408</v>
      </c>
      <c r="H54" s="3" t="s">
        <v>1393</v>
      </c>
      <c r="I54" s="26" t="n">
        <v>33000000</v>
      </c>
      <c r="J54" s="27" t="n">
        <v>43059</v>
      </c>
      <c r="K54" s="27" t="n">
        <v>45657</v>
      </c>
      <c r="L54" s="3" t="s">
        <v>1422</v>
      </c>
      <c r="M54" s="3" t="s">
        <v>1423</v>
      </c>
      <c r="N54" s="3" t="s">
        <v>1685</v>
      </c>
      <c r="O54" s="3" t="n">
        <f aca="false">COUNTIFS(14_ProjectIndicators!$A$4:$A$1275,A54,14_ProjectIndicators!$H$4:$H$1275,"Mandatory")</f>
        <v>11</v>
      </c>
      <c r="P54" s="3" t="n">
        <f aca="false">COUNTIFS(14_ProjectIndicators!$A$4:$A$1275,A54,14_ProjectIndicators!$H$4:$H$1275,"Required (activity)")</f>
        <v>14</v>
      </c>
      <c r="Q54" s="3" t="n">
        <f aca="false">COUNTIFS(14_ProjectIndicators!$A$4:$A$1275,A54,14_ProjectIndicators!$H$4:$H$1275,"Optional")</f>
        <v>21</v>
      </c>
      <c r="R54" s="3" t="n">
        <f aca="false">COUNTIFS(14_ProjectIndicators!$A$4:$A$1275,A54,14_ProjectIndicators!$L$4:$L$1275,"Reported in Hub")</f>
        <v>0</v>
      </c>
      <c r="S54" s="3" t="n">
        <f aca="false">COUNTIFS(14_ProjectIndicators!$A$4:$A$1275,A54,14_ProjectIndicators!$L$4:$L$1275,"Possibly reported – check")</f>
        <v>0</v>
      </c>
      <c r="T54" s="3" t="n">
        <f aca="false">COUNTIFS(14_ProjectIndicators!$A$4:$A$1275,A54,14_ProjectIndicators!$L$4:$L$1275,"Not yet reported")</f>
        <v>0</v>
      </c>
      <c r="U54" s="3" t="s">
        <v>1396</v>
      </c>
      <c r="V54" s="3" t="s">
        <v>1686</v>
      </c>
      <c r="W54" s="28" t="s">
        <v>1694</v>
      </c>
    </row>
    <row r="55" customFormat="false" ht="57.45" hidden="false" customHeight="false" outlineLevel="0" collapsed="false">
      <c r="A55" s="3" t="n">
        <v>113547</v>
      </c>
      <c r="B55" s="3" t="s">
        <v>1695</v>
      </c>
      <c r="C55" s="3" t="s">
        <v>1552</v>
      </c>
      <c r="D55" s="3" t="s">
        <v>1537</v>
      </c>
      <c r="E55" s="3" t="s">
        <v>1696</v>
      </c>
      <c r="F55" s="3" t="s">
        <v>1697</v>
      </c>
      <c r="G55" s="3" t="s">
        <v>1698</v>
      </c>
      <c r="H55" s="3" t="s">
        <v>1393</v>
      </c>
      <c r="I55" s="26" t="n">
        <v>8999601</v>
      </c>
      <c r="J55" s="27" t="n">
        <v>43454</v>
      </c>
      <c r="K55" s="27" t="n">
        <v>46022</v>
      </c>
      <c r="L55" s="3" t="s">
        <v>1422</v>
      </c>
      <c r="M55" s="3" t="s">
        <v>1423</v>
      </c>
      <c r="N55" s="3" t="s">
        <v>1685</v>
      </c>
      <c r="O55" s="3" t="n">
        <f aca="false">COUNTIFS(14_ProjectIndicators!$A$4:$A$1275,A55,14_ProjectIndicators!$H$4:$H$1275,"Mandatory")</f>
        <v>11</v>
      </c>
      <c r="P55" s="3" t="n">
        <f aca="false">COUNTIFS(14_ProjectIndicators!$A$4:$A$1275,A55,14_ProjectIndicators!$H$4:$H$1275,"Required (activity)")</f>
        <v>14</v>
      </c>
      <c r="Q55" s="3" t="n">
        <f aca="false">COUNTIFS(14_ProjectIndicators!$A$4:$A$1275,A55,14_ProjectIndicators!$H$4:$H$1275,"Optional")</f>
        <v>21</v>
      </c>
      <c r="R55" s="3" t="n">
        <f aca="false">COUNTIFS(14_ProjectIndicators!$A$4:$A$1275,A55,14_ProjectIndicators!$L$4:$L$1275,"Reported in Hub")</f>
        <v>1</v>
      </c>
      <c r="S55" s="3" t="n">
        <f aca="false">COUNTIFS(14_ProjectIndicators!$A$4:$A$1275,A55,14_ProjectIndicators!$L$4:$L$1275,"Possibly reported – check")</f>
        <v>6</v>
      </c>
      <c r="T55" s="3" t="n">
        <f aca="false">COUNTIFS(14_ProjectIndicators!$A$4:$A$1275,A55,14_ProjectIndicators!$L$4:$L$1275,"Not yet reported")</f>
        <v>0</v>
      </c>
      <c r="U55" s="3" t="s">
        <v>1396</v>
      </c>
      <c r="V55" s="3" t="s">
        <v>1686</v>
      </c>
      <c r="W55" s="28" t="s">
        <v>1699</v>
      </c>
    </row>
    <row r="56" customFormat="false" ht="57.45" hidden="false" customHeight="false" outlineLevel="0" collapsed="false">
      <c r="A56" s="3" t="n">
        <v>117080</v>
      </c>
      <c r="B56" s="3" t="s">
        <v>1700</v>
      </c>
      <c r="C56" s="3" t="s">
        <v>1552</v>
      </c>
      <c r="D56" s="3" t="s">
        <v>1537</v>
      </c>
      <c r="E56" s="3" t="s">
        <v>1701</v>
      </c>
      <c r="F56" s="3" t="s">
        <v>1701</v>
      </c>
      <c r="G56" s="3" t="s">
        <v>1702</v>
      </c>
      <c r="H56" s="3" t="s">
        <v>1393</v>
      </c>
      <c r="I56" s="26" t="n">
        <v>12000000</v>
      </c>
      <c r="J56" s="27" t="n">
        <v>43685</v>
      </c>
      <c r="K56" s="27" t="n">
        <v>45838</v>
      </c>
      <c r="L56" s="3" t="s">
        <v>1422</v>
      </c>
      <c r="M56" s="3" t="s">
        <v>1423</v>
      </c>
      <c r="N56" s="3" t="s">
        <v>1685</v>
      </c>
      <c r="O56" s="3" t="n">
        <f aca="false">COUNTIFS(14_ProjectIndicators!$A$4:$A$1275,A56,14_ProjectIndicators!$H$4:$H$1275,"Mandatory")</f>
        <v>11</v>
      </c>
      <c r="P56" s="3" t="n">
        <f aca="false">COUNTIFS(14_ProjectIndicators!$A$4:$A$1275,A56,14_ProjectIndicators!$H$4:$H$1275,"Required (activity)")</f>
        <v>14</v>
      </c>
      <c r="Q56" s="3" t="n">
        <f aca="false">COUNTIFS(14_ProjectIndicators!$A$4:$A$1275,A56,14_ProjectIndicators!$H$4:$H$1275,"Optional")</f>
        <v>21</v>
      </c>
      <c r="R56" s="3" t="n">
        <f aca="false">COUNTIFS(14_ProjectIndicators!$A$4:$A$1275,A56,14_ProjectIndicators!$L$4:$L$1275,"Reported in Hub")</f>
        <v>0</v>
      </c>
      <c r="S56" s="3" t="n">
        <f aca="false">COUNTIFS(14_ProjectIndicators!$A$4:$A$1275,A56,14_ProjectIndicators!$L$4:$L$1275,"Possibly reported – check")</f>
        <v>0</v>
      </c>
      <c r="T56" s="3" t="n">
        <f aca="false">COUNTIFS(14_ProjectIndicators!$A$4:$A$1275,A56,14_ProjectIndicators!$L$4:$L$1275,"Not yet reported")</f>
        <v>0</v>
      </c>
      <c r="U56" s="3" t="s">
        <v>1396</v>
      </c>
      <c r="V56" s="3" t="s">
        <v>1686</v>
      </c>
      <c r="W56" s="28" t="s">
        <v>1703</v>
      </c>
    </row>
    <row r="57" customFormat="false" ht="57.45" hidden="false" customHeight="false" outlineLevel="0" collapsed="false">
      <c r="A57" s="3" t="n">
        <v>117600</v>
      </c>
      <c r="B57" s="3" t="s">
        <v>1704</v>
      </c>
      <c r="C57" s="3" t="s">
        <v>1552</v>
      </c>
      <c r="D57" s="3" t="s">
        <v>1537</v>
      </c>
      <c r="E57" s="3" t="s">
        <v>1705</v>
      </c>
      <c r="F57" s="3" t="s">
        <v>1705</v>
      </c>
      <c r="G57" s="3" t="s">
        <v>1476</v>
      </c>
      <c r="H57" s="3" t="s">
        <v>1421</v>
      </c>
      <c r="I57" s="26" t="n">
        <v>25200000</v>
      </c>
      <c r="J57" s="27" t="n">
        <v>43705</v>
      </c>
      <c r="K57" s="27" t="n">
        <v>47054</v>
      </c>
      <c r="L57" s="3" t="s">
        <v>1422</v>
      </c>
      <c r="M57" s="3" t="s">
        <v>1423</v>
      </c>
      <c r="N57" s="3" t="s">
        <v>1685</v>
      </c>
      <c r="O57" s="3" t="n">
        <f aca="false">COUNTIFS(14_ProjectIndicators!$A$4:$A$1275,A57,14_ProjectIndicators!$H$4:$H$1275,"Mandatory")</f>
        <v>11</v>
      </c>
      <c r="P57" s="3" t="n">
        <f aca="false">COUNTIFS(14_ProjectIndicators!$A$4:$A$1275,A57,14_ProjectIndicators!$H$4:$H$1275,"Required (activity)")</f>
        <v>14</v>
      </c>
      <c r="Q57" s="3" t="n">
        <f aca="false">COUNTIFS(14_ProjectIndicators!$A$4:$A$1275,A57,14_ProjectIndicators!$H$4:$H$1275,"Optional")</f>
        <v>21</v>
      </c>
      <c r="R57" s="3" t="n">
        <f aca="false">COUNTIFS(14_ProjectIndicators!$A$4:$A$1275,A57,14_ProjectIndicators!$L$4:$L$1275,"Reported in Hub")</f>
        <v>1</v>
      </c>
      <c r="S57" s="3" t="n">
        <f aca="false">COUNTIFS(14_ProjectIndicators!$A$4:$A$1275,A57,14_ProjectIndicators!$L$4:$L$1275,"Possibly reported – check")</f>
        <v>6</v>
      </c>
      <c r="T57" s="3" t="n">
        <f aca="false">COUNTIFS(14_ProjectIndicators!$A$4:$A$1275,A57,14_ProjectIndicators!$L$4:$L$1275,"Not yet reported")</f>
        <v>39</v>
      </c>
      <c r="U57" s="3" t="s">
        <v>1396</v>
      </c>
      <c r="V57" s="3" t="s">
        <v>1686</v>
      </c>
      <c r="W57" s="28" t="s">
        <v>1706</v>
      </c>
    </row>
    <row r="58" customFormat="false" ht="46.25" hidden="false" customHeight="false" outlineLevel="0" collapsed="false">
      <c r="A58" s="3" t="n">
        <v>120055</v>
      </c>
      <c r="B58" s="3" t="s">
        <v>1707</v>
      </c>
      <c r="C58" s="3" t="s">
        <v>1552</v>
      </c>
      <c r="D58" s="3" t="s">
        <v>1537</v>
      </c>
      <c r="E58" s="3" t="s">
        <v>1708</v>
      </c>
      <c r="F58" s="3" t="s">
        <v>1709</v>
      </c>
      <c r="G58" s="3" t="s">
        <v>1402</v>
      </c>
      <c r="H58" s="3" t="s">
        <v>1421</v>
      </c>
      <c r="I58" s="26" t="n">
        <v>14999378</v>
      </c>
      <c r="J58" s="27" t="n">
        <v>43872</v>
      </c>
      <c r="K58" s="27" t="n">
        <v>46477</v>
      </c>
      <c r="L58" s="3" t="s">
        <v>1422</v>
      </c>
      <c r="M58" s="3" t="s">
        <v>1423</v>
      </c>
      <c r="N58" s="3" t="s">
        <v>1710</v>
      </c>
      <c r="O58" s="3" t="n">
        <f aca="false">COUNTIFS(14_ProjectIndicators!$A$4:$A$1275,A58,14_ProjectIndicators!$H$4:$H$1275,"Mandatory")</f>
        <v>11</v>
      </c>
      <c r="P58" s="3" t="n">
        <f aca="false">COUNTIFS(14_ProjectIndicators!$A$4:$A$1275,A58,14_ProjectIndicators!$H$4:$H$1275,"Required (activity)")</f>
        <v>7</v>
      </c>
      <c r="Q58" s="3" t="n">
        <f aca="false">COUNTIFS(14_ProjectIndicators!$A$4:$A$1275,A58,14_ProjectIndicators!$H$4:$H$1275,"Optional")</f>
        <v>15</v>
      </c>
      <c r="R58" s="3" t="n">
        <f aca="false">COUNTIFS(14_ProjectIndicators!$A$4:$A$1275,A58,14_ProjectIndicators!$L$4:$L$1275,"Reported in Hub")</f>
        <v>1</v>
      </c>
      <c r="S58" s="3" t="n">
        <f aca="false">COUNTIFS(14_ProjectIndicators!$A$4:$A$1275,A58,14_ProjectIndicators!$L$4:$L$1275,"Possibly reported – check")</f>
        <v>4</v>
      </c>
      <c r="T58" s="3" t="n">
        <f aca="false">COUNTIFS(14_ProjectIndicators!$A$4:$A$1275,A58,14_ProjectIndicators!$L$4:$L$1275,"Not yet reported")</f>
        <v>28</v>
      </c>
      <c r="U58" s="3" t="s">
        <v>1425</v>
      </c>
      <c r="V58" s="3" t="s">
        <v>1711</v>
      </c>
      <c r="W58" s="28" t="s">
        <v>1712</v>
      </c>
    </row>
    <row r="59" customFormat="false" ht="57.45" hidden="false" customHeight="false" outlineLevel="0" collapsed="false">
      <c r="A59" s="3" t="n">
        <v>126783</v>
      </c>
      <c r="B59" s="3" t="s">
        <v>1713</v>
      </c>
      <c r="C59" s="3" t="s">
        <v>1552</v>
      </c>
      <c r="D59" s="3" t="s">
        <v>1537</v>
      </c>
      <c r="E59" s="3" t="s">
        <v>1714</v>
      </c>
      <c r="F59" s="3" t="s">
        <v>1715</v>
      </c>
      <c r="G59" s="3" t="s">
        <v>1439</v>
      </c>
      <c r="H59" s="3" t="s">
        <v>1393</v>
      </c>
      <c r="I59" s="26" t="n">
        <v>30000000</v>
      </c>
      <c r="J59" s="27" t="n">
        <v>44312</v>
      </c>
      <c r="K59" s="27" t="n">
        <v>46138</v>
      </c>
      <c r="L59" s="3" t="s">
        <v>1422</v>
      </c>
      <c r="M59" s="3" t="s">
        <v>1423</v>
      </c>
      <c r="N59" s="3" t="s">
        <v>1685</v>
      </c>
      <c r="O59" s="3" t="n">
        <f aca="false">COUNTIFS(14_ProjectIndicators!$A$4:$A$1275,A59,14_ProjectIndicators!$H$4:$H$1275,"Mandatory")</f>
        <v>11</v>
      </c>
      <c r="P59" s="3" t="n">
        <f aca="false">COUNTIFS(14_ProjectIndicators!$A$4:$A$1275,A59,14_ProjectIndicators!$H$4:$H$1275,"Required (activity)")</f>
        <v>14</v>
      </c>
      <c r="Q59" s="3" t="n">
        <f aca="false">COUNTIFS(14_ProjectIndicators!$A$4:$A$1275,A59,14_ProjectIndicators!$H$4:$H$1275,"Optional")</f>
        <v>21</v>
      </c>
      <c r="R59" s="3" t="n">
        <f aca="false">COUNTIFS(14_ProjectIndicators!$A$4:$A$1275,A59,14_ProjectIndicators!$L$4:$L$1275,"Reported in Hub")</f>
        <v>1</v>
      </c>
      <c r="S59" s="3" t="n">
        <f aca="false">COUNTIFS(14_ProjectIndicators!$A$4:$A$1275,A59,14_ProjectIndicators!$L$4:$L$1275,"Possibly reported – check")</f>
        <v>8</v>
      </c>
      <c r="T59" s="3" t="n">
        <f aca="false">COUNTIFS(14_ProjectIndicators!$A$4:$A$1275,A59,14_ProjectIndicators!$L$4:$L$1275,"Not yet reported")</f>
        <v>0</v>
      </c>
      <c r="U59" s="3" t="s">
        <v>1396</v>
      </c>
      <c r="V59" s="3" t="s">
        <v>1686</v>
      </c>
      <c r="W59" s="28" t="s">
        <v>1716</v>
      </c>
    </row>
    <row r="60" customFormat="false" ht="57.45" hidden="false" customHeight="false" outlineLevel="0" collapsed="false">
      <c r="A60" s="3" t="n">
        <v>140679</v>
      </c>
      <c r="B60" s="3" t="s">
        <v>1717</v>
      </c>
      <c r="C60" s="3" t="s">
        <v>1552</v>
      </c>
      <c r="D60" s="3" t="s">
        <v>1537</v>
      </c>
      <c r="E60" s="3" t="s">
        <v>1718</v>
      </c>
      <c r="F60" s="3" t="s">
        <v>1719</v>
      </c>
      <c r="G60" s="3" t="s">
        <v>1604</v>
      </c>
      <c r="H60" s="3" t="s">
        <v>1421</v>
      </c>
      <c r="I60" s="26" t="n">
        <v>10993775</v>
      </c>
      <c r="J60" s="27" t="n">
        <v>45415</v>
      </c>
      <c r="K60" s="27" t="n">
        <v>46388</v>
      </c>
      <c r="L60" s="3" t="s">
        <v>1422</v>
      </c>
      <c r="M60" s="3" t="s">
        <v>1423</v>
      </c>
      <c r="N60" s="3" t="s">
        <v>1685</v>
      </c>
      <c r="O60" s="3" t="n">
        <f aca="false">COUNTIFS(14_ProjectIndicators!$A$4:$A$1275,A60,14_ProjectIndicators!$H$4:$H$1275,"Mandatory")</f>
        <v>11</v>
      </c>
      <c r="P60" s="3" t="n">
        <f aca="false">COUNTIFS(14_ProjectIndicators!$A$4:$A$1275,A60,14_ProjectIndicators!$H$4:$H$1275,"Required (activity)")</f>
        <v>14</v>
      </c>
      <c r="Q60" s="3" t="n">
        <f aca="false">COUNTIFS(14_ProjectIndicators!$A$4:$A$1275,A60,14_ProjectIndicators!$H$4:$H$1275,"Optional")</f>
        <v>21</v>
      </c>
      <c r="R60" s="3" t="n">
        <f aca="false">COUNTIFS(14_ProjectIndicators!$A$4:$A$1275,A60,14_ProjectIndicators!$L$4:$L$1275,"Reported in Hub")</f>
        <v>1</v>
      </c>
      <c r="S60" s="3" t="n">
        <f aca="false">COUNTIFS(14_ProjectIndicators!$A$4:$A$1275,A60,14_ProjectIndicators!$L$4:$L$1275,"Possibly reported – check")</f>
        <v>9</v>
      </c>
      <c r="T60" s="3" t="n">
        <f aca="false">COUNTIFS(14_ProjectIndicators!$A$4:$A$1275,A60,14_ProjectIndicators!$L$4:$L$1275,"Not yet reported")</f>
        <v>36</v>
      </c>
      <c r="U60" s="3" t="s">
        <v>1396</v>
      </c>
      <c r="V60" s="3" t="s">
        <v>1686</v>
      </c>
      <c r="W60" s="28" t="s">
        <v>1720</v>
      </c>
    </row>
    <row r="61" customFormat="false" ht="57.45" hidden="false" customHeight="false" outlineLevel="0" collapsed="false">
      <c r="A61" s="3" t="n">
        <v>140884</v>
      </c>
      <c r="B61" s="3" t="s">
        <v>1721</v>
      </c>
      <c r="C61" s="3" t="s">
        <v>1552</v>
      </c>
      <c r="D61" s="3" t="s">
        <v>1537</v>
      </c>
      <c r="E61" s="3" t="s">
        <v>1722</v>
      </c>
      <c r="F61" s="3" t="s">
        <v>1722</v>
      </c>
      <c r="G61" s="3" t="s">
        <v>1702</v>
      </c>
      <c r="H61" s="3" t="s">
        <v>1421</v>
      </c>
      <c r="I61" s="26" t="n">
        <v>35000000</v>
      </c>
      <c r="J61" s="27" t="n">
        <v>45593</v>
      </c>
      <c r="K61" s="27" t="n">
        <v>47236</v>
      </c>
      <c r="L61" s="3" t="s">
        <v>1422</v>
      </c>
      <c r="M61" s="3" t="s">
        <v>1423</v>
      </c>
      <c r="N61" s="3" t="s">
        <v>1685</v>
      </c>
      <c r="O61" s="3" t="n">
        <f aca="false">COUNTIFS(14_ProjectIndicators!$A$4:$A$1275,A61,14_ProjectIndicators!$H$4:$H$1275,"Mandatory")</f>
        <v>11</v>
      </c>
      <c r="P61" s="3" t="n">
        <f aca="false">COUNTIFS(14_ProjectIndicators!$A$4:$A$1275,A61,14_ProjectIndicators!$H$4:$H$1275,"Required (activity)")</f>
        <v>14</v>
      </c>
      <c r="Q61" s="3" t="n">
        <f aca="false">COUNTIFS(14_ProjectIndicators!$A$4:$A$1275,A61,14_ProjectIndicators!$H$4:$H$1275,"Optional")</f>
        <v>21</v>
      </c>
      <c r="R61" s="3" t="n">
        <f aca="false">COUNTIFS(14_ProjectIndicators!$A$4:$A$1275,A61,14_ProjectIndicators!$L$4:$L$1275,"Reported in Hub")</f>
        <v>1</v>
      </c>
      <c r="S61" s="3" t="n">
        <f aca="false">COUNTIFS(14_ProjectIndicators!$A$4:$A$1275,A61,14_ProjectIndicators!$L$4:$L$1275,"Possibly reported – check")</f>
        <v>9</v>
      </c>
      <c r="T61" s="3" t="n">
        <f aca="false">COUNTIFS(14_ProjectIndicators!$A$4:$A$1275,A61,14_ProjectIndicators!$L$4:$L$1275,"Not yet reported")</f>
        <v>36</v>
      </c>
      <c r="U61" s="3" t="s">
        <v>1396</v>
      </c>
      <c r="V61" s="3" t="s">
        <v>1686</v>
      </c>
      <c r="W61" s="28" t="s">
        <v>1723</v>
      </c>
    </row>
    <row r="62" customFormat="false" ht="57.45" hidden="false" customHeight="false" outlineLevel="0" collapsed="false">
      <c r="A62" s="3" t="n">
        <v>141419</v>
      </c>
      <c r="B62" s="3" t="s">
        <v>1724</v>
      </c>
      <c r="C62" s="3" t="s">
        <v>1552</v>
      </c>
      <c r="D62" s="3" t="s">
        <v>1537</v>
      </c>
      <c r="E62" s="3" t="s">
        <v>1725</v>
      </c>
      <c r="F62" s="3" t="s">
        <v>1726</v>
      </c>
      <c r="G62" s="3" t="s">
        <v>1702</v>
      </c>
      <c r="H62" s="3" t="s">
        <v>1421</v>
      </c>
      <c r="I62" s="26" t="n">
        <v>25000000</v>
      </c>
      <c r="J62" s="27" t="n">
        <v>46016</v>
      </c>
      <c r="K62" s="27" t="n">
        <v>47842</v>
      </c>
      <c r="L62" s="3" t="s">
        <v>1422</v>
      </c>
      <c r="M62" s="3" t="s">
        <v>1423</v>
      </c>
      <c r="N62" s="3" t="s">
        <v>1685</v>
      </c>
      <c r="O62" s="3" t="n">
        <f aca="false">COUNTIFS(14_ProjectIndicators!$A$4:$A$1275,A62,14_ProjectIndicators!$H$4:$H$1275,"Mandatory")</f>
        <v>11</v>
      </c>
      <c r="P62" s="3" t="n">
        <f aca="false">COUNTIFS(14_ProjectIndicators!$A$4:$A$1275,A62,14_ProjectIndicators!$H$4:$H$1275,"Required (activity)")</f>
        <v>14</v>
      </c>
      <c r="Q62" s="3" t="n">
        <f aca="false">COUNTIFS(14_ProjectIndicators!$A$4:$A$1275,A62,14_ProjectIndicators!$H$4:$H$1275,"Optional")</f>
        <v>21</v>
      </c>
      <c r="R62" s="3" t="n">
        <f aca="false">COUNTIFS(14_ProjectIndicators!$A$4:$A$1275,A62,14_ProjectIndicators!$L$4:$L$1275,"Reported in Hub")</f>
        <v>0</v>
      </c>
      <c r="S62" s="3" t="n">
        <f aca="false">COUNTIFS(14_ProjectIndicators!$A$4:$A$1275,A62,14_ProjectIndicators!$L$4:$L$1275,"Possibly reported – check")</f>
        <v>0</v>
      </c>
      <c r="T62" s="3" t="n">
        <f aca="false">COUNTIFS(14_ProjectIndicators!$A$4:$A$1275,A62,14_ProjectIndicators!$L$4:$L$1275,"Not yet reported")</f>
        <v>46</v>
      </c>
      <c r="U62" s="3" t="s">
        <v>1396</v>
      </c>
      <c r="V62" s="3" t="s">
        <v>1686</v>
      </c>
      <c r="W62" s="28" t="s">
        <v>1727</v>
      </c>
    </row>
    <row r="63" customFormat="false" ht="35.05" hidden="false" customHeight="false" outlineLevel="0" collapsed="false">
      <c r="A63" s="3" t="n">
        <v>123066</v>
      </c>
      <c r="B63" s="3" t="s">
        <v>1728</v>
      </c>
      <c r="C63" s="3" t="s">
        <v>1552</v>
      </c>
      <c r="D63" s="3" t="s">
        <v>1537</v>
      </c>
      <c r="E63" s="3" t="s">
        <v>1729</v>
      </c>
      <c r="F63" s="3" t="s">
        <v>1730</v>
      </c>
      <c r="G63" s="3" t="s">
        <v>1402</v>
      </c>
      <c r="H63" s="3" t="s">
        <v>1421</v>
      </c>
      <c r="I63" s="26" t="n">
        <v>12000000</v>
      </c>
      <c r="J63" s="27" t="n">
        <v>44035</v>
      </c>
      <c r="K63" s="27" t="n">
        <v>46477</v>
      </c>
      <c r="L63" s="3" t="s">
        <v>1484</v>
      </c>
      <c r="M63" s="3" t="s">
        <v>1395</v>
      </c>
      <c r="N63" s="3" t="s">
        <v>1731</v>
      </c>
      <c r="O63" s="3" t="n">
        <f aca="false">COUNTIFS(14_ProjectIndicators!$A$4:$A$1275,A63,14_ProjectIndicators!$H$4:$H$1275,"Mandatory")</f>
        <v>8</v>
      </c>
      <c r="P63" s="3" t="n">
        <f aca="false">COUNTIFS(14_ProjectIndicators!$A$4:$A$1275,A63,14_ProjectIndicators!$H$4:$H$1275,"Required (activity)")</f>
        <v>5</v>
      </c>
      <c r="Q63" s="3" t="n">
        <f aca="false">COUNTIFS(14_ProjectIndicators!$A$4:$A$1275,A63,14_ProjectIndicators!$H$4:$H$1275,"Optional")</f>
        <v>6</v>
      </c>
      <c r="R63" s="3" t="n">
        <f aca="false">COUNTIFS(14_ProjectIndicators!$A$4:$A$1275,A63,14_ProjectIndicators!$L$4:$L$1275,"Reported in Hub")</f>
        <v>1</v>
      </c>
      <c r="S63" s="3" t="n">
        <f aca="false">COUNTIFS(14_ProjectIndicators!$A$4:$A$1275,A63,14_ProjectIndicators!$L$4:$L$1275,"Possibly reported – check")</f>
        <v>3</v>
      </c>
      <c r="T63" s="3" t="n">
        <f aca="false">COUNTIFS(14_ProjectIndicators!$A$4:$A$1275,A63,14_ProjectIndicators!$L$4:$L$1275,"Not yet reported")</f>
        <v>15</v>
      </c>
      <c r="U63" s="3" t="s">
        <v>1425</v>
      </c>
      <c r="V63" s="3" t="s">
        <v>1334</v>
      </c>
      <c r="W63" s="28" t="s">
        <v>1732</v>
      </c>
    </row>
    <row r="64" customFormat="false" ht="23.85" hidden="false" customHeight="false" outlineLevel="0" collapsed="false">
      <c r="A64" s="3" t="n">
        <v>140811</v>
      </c>
      <c r="B64" s="3" t="s">
        <v>1733</v>
      </c>
      <c r="C64" s="3" t="s">
        <v>1552</v>
      </c>
      <c r="D64" s="3" t="s">
        <v>1537</v>
      </c>
      <c r="E64" s="3" t="s">
        <v>1734</v>
      </c>
      <c r="F64" s="3" t="s">
        <v>1734</v>
      </c>
      <c r="G64" s="3" t="s">
        <v>1408</v>
      </c>
      <c r="H64" s="3" t="s">
        <v>1421</v>
      </c>
      <c r="I64" s="26" t="n">
        <v>45000000</v>
      </c>
      <c r="J64" s="27" t="n">
        <v>45575</v>
      </c>
      <c r="K64" s="27" t="n">
        <v>46628</v>
      </c>
      <c r="L64" s="3" t="s">
        <v>1484</v>
      </c>
      <c r="M64" s="3" t="s">
        <v>1395</v>
      </c>
      <c r="N64" s="3" t="s">
        <v>1735</v>
      </c>
      <c r="O64" s="3" t="n">
        <f aca="false">COUNTIFS(14_ProjectIndicators!$A$4:$A$1275,A64,14_ProjectIndicators!$H$4:$H$1275,"Mandatory")</f>
        <v>8</v>
      </c>
      <c r="P64" s="3" t="n">
        <f aca="false">COUNTIFS(14_ProjectIndicators!$A$4:$A$1275,A64,14_ProjectIndicators!$H$4:$H$1275,"Required (activity)")</f>
        <v>5</v>
      </c>
      <c r="Q64" s="3" t="n">
        <f aca="false">COUNTIFS(14_ProjectIndicators!$A$4:$A$1275,A64,14_ProjectIndicators!$H$4:$H$1275,"Optional")</f>
        <v>7</v>
      </c>
      <c r="R64" s="3" t="n">
        <f aca="false">COUNTIFS(14_ProjectIndicators!$A$4:$A$1275,A64,14_ProjectIndicators!$L$4:$L$1275,"Reported in Hub")</f>
        <v>0</v>
      </c>
      <c r="S64" s="3" t="n">
        <f aca="false">COUNTIFS(14_ProjectIndicators!$A$4:$A$1275,A64,14_ProjectIndicators!$L$4:$L$1275,"Possibly reported – check")</f>
        <v>3</v>
      </c>
      <c r="T64" s="3" t="n">
        <f aca="false">COUNTIFS(14_ProjectIndicators!$A$4:$A$1275,A64,14_ProjectIndicators!$L$4:$L$1275,"Not yet reported")</f>
        <v>17</v>
      </c>
      <c r="U64" s="3" t="s">
        <v>1425</v>
      </c>
      <c r="V64" s="3" t="s">
        <v>1736</v>
      </c>
      <c r="W64" s="28" t="s">
        <v>1737</v>
      </c>
    </row>
    <row r="65" customFormat="false" ht="35.05" hidden="false" customHeight="false" outlineLevel="0" collapsed="false">
      <c r="A65" s="3" t="n">
        <v>141182</v>
      </c>
      <c r="B65" s="3" t="s">
        <v>1738</v>
      </c>
      <c r="C65" s="3" t="s">
        <v>1552</v>
      </c>
      <c r="D65" s="3" t="s">
        <v>1537</v>
      </c>
      <c r="E65" s="3" t="s">
        <v>1739</v>
      </c>
      <c r="F65" s="3" t="s">
        <v>1739</v>
      </c>
      <c r="G65" s="3" t="s">
        <v>1540</v>
      </c>
      <c r="H65" s="3" t="s">
        <v>1421</v>
      </c>
      <c r="I65" s="26" t="n">
        <v>30000000</v>
      </c>
      <c r="J65" s="27" t="n">
        <v>45833</v>
      </c>
      <c r="K65" s="27" t="n">
        <v>46928</v>
      </c>
      <c r="L65" s="3" t="s">
        <v>1484</v>
      </c>
      <c r="M65" s="3" t="s">
        <v>1395</v>
      </c>
      <c r="N65" s="3" t="s">
        <v>1541</v>
      </c>
      <c r="O65" s="3" t="n">
        <f aca="false">COUNTIFS(14_ProjectIndicators!$A$4:$A$1275,A65,14_ProjectIndicators!$H$4:$H$1275,"Mandatory")</f>
        <v>8</v>
      </c>
      <c r="P65" s="3" t="n">
        <f aca="false">COUNTIFS(14_ProjectIndicators!$A$4:$A$1275,A65,14_ProjectIndicators!$H$4:$H$1275,"Required (activity)")</f>
        <v>7</v>
      </c>
      <c r="Q65" s="3" t="n">
        <f aca="false">COUNTIFS(14_ProjectIndicators!$A$4:$A$1275,A65,14_ProjectIndicators!$H$4:$H$1275,"Optional")</f>
        <v>8</v>
      </c>
      <c r="R65" s="3" t="n">
        <f aca="false">COUNTIFS(14_ProjectIndicators!$A$4:$A$1275,A65,14_ProjectIndicators!$L$4:$L$1275,"Reported in Hub")</f>
        <v>0</v>
      </c>
      <c r="S65" s="3" t="n">
        <f aca="false">COUNTIFS(14_ProjectIndicators!$A$4:$A$1275,A65,14_ProjectIndicators!$L$4:$L$1275,"Possibly reported – check")</f>
        <v>3</v>
      </c>
      <c r="T65" s="3" t="n">
        <f aca="false">COUNTIFS(14_ProjectIndicators!$A$4:$A$1275,A65,14_ProjectIndicators!$L$4:$L$1275,"Not yet reported")</f>
        <v>20</v>
      </c>
      <c r="U65" s="3" t="s">
        <v>1396</v>
      </c>
      <c r="V65" s="3" t="s">
        <v>1740</v>
      </c>
      <c r="W65" s="28" t="s">
        <v>1741</v>
      </c>
    </row>
    <row r="66" customFormat="false" ht="23.85" hidden="false" customHeight="false" outlineLevel="0" collapsed="false">
      <c r="A66" s="3" t="n">
        <v>113546</v>
      </c>
      <c r="B66" s="3" t="s">
        <v>1742</v>
      </c>
      <c r="C66" s="3" t="s">
        <v>1552</v>
      </c>
      <c r="D66" s="3" t="s">
        <v>1537</v>
      </c>
      <c r="E66" s="3" t="s">
        <v>1063</v>
      </c>
      <c r="F66" s="3" t="s">
        <v>1063</v>
      </c>
      <c r="G66" s="3" t="s">
        <v>1743</v>
      </c>
      <c r="H66" s="3" t="s">
        <v>1393</v>
      </c>
      <c r="I66" s="26" t="n">
        <v>18000000</v>
      </c>
      <c r="J66" s="27" t="n">
        <v>43454</v>
      </c>
      <c r="K66" s="27" t="n">
        <v>46022</v>
      </c>
      <c r="L66" s="3" t="s">
        <v>1432</v>
      </c>
      <c r="M66" s="3" t="s">
        <v>1395</v>
      </c>
      <c r="N66" s="3" t="s">
        <v>1744</v>
      </c>
      <c r="O66" s="3" t="n">
        <f aca="false">COUNTIFS(14_ProjectIndicators!$A$4:$A$1275,A66,14_ProjectIndicators!$H$4:$H$1275,"Mandatory")</f>
        <v>8</v>
      </c>
      <c r="P66" s="3" t="n">
        <f aca="false">COUNTIFS(14_ProjectIndicators!$A$4:$A$1275,A66,14_ProjectIndicators!$H$4:$H$1275,"Required (activity)")</f>
        <v>2</v>
      </c>
      <c r="Q66" s="3" t="n">
        <f aca="false">COUNTIFS(14_ProjectIndicators!$A$4:$A$1275,A66,14_ProjectIndicators!$H$4:$H$1275,"Optional")</f>
        <v>4</v>
      </c>
      <c r="R66" s="3" t="n">
        <f aca="false">COUNTIFS(14_ProjectIndicators!$A$4:$A$1275,A66,14_ProjectIndicators!$L$4:$L$1275,"Reported in Hub")</f>
        <v>1</v>
      </c>
      <c r="S66" s="3" t="n">
        <f aca="false">COUNTIFS(14_ProjectIndicators!$A$4:$A$1275,A66,14_ProjectIndicators!$L$4:$L$1275,"Possibly reported – check")</f>
        <v>0</v>
      </c>
      <c r="T66" s="3" t="n">
        <f aca="false">COUNTIFS(14_ProjectIndicators!$A$4:$A$1275,A66,14_ProjectIndicators!$L$4:$L$1275,"Not yet reported")</f>
        <v>0</v>
      </c>
      <c r="U66" s="3" t="s">
        <v>1425</v>
      </c>
      <c r="V66" s="3" t="s">
        <v>1745</v>
      </c>
      <c r="W66" s="28" t="s">
        <v>1746</v>
      </c>
    </row>
    <row r="67" customFormat="false" ht="23.85" hidden="false" customHeight="false" outlineLevel="0" collapsed="false">
      <c r="A67" s="3" t="n">
        <v>141417</v>
      </c>
      <c r="B67" s="3" t="s">
        <v>1747</v>
      </c>
      <c r="C67" s="3" t="s">
        <v>1552</v>
      </c>
      <c r="D67" s="3" t="s">
        <v>1537</v>
      </c>
      <c r="E67" s="3" t="s">
        <v>1748</v>
      </c>
      <c r="F67" s="3" t="s">
        <v>1748</v>
      </c>
      <c r="G67" s="3" t="s">
        <v>1577</v>
      </c>
      <c r="H67" s="3" t="s">
        <v>1421</v>
      </c>
      <c r="I67" s="26" t="n">
        <v>50000000</v>
      </c>
      <c r="J67" s="27" t="n">
        <v>46013</v>
      </c>
      <c r="K67" s="27" t="n">
        <v>47839</v>
      </c>
      <c r="L67" s="3" t="s">
        <v>1432</v>
      </c>
      <c r="M67" s="3" t="s">
        <v>1395</v>
      </c>
      <c r="N67" s="3" t="s">
        <v>1749</v>
      </c>
      <c r="O67" s="3" t="n">
        <f aca="false">COUNTIFS(14_ProjectIndicators!$A$4:$A$1275,A67,14_ProjectIndicators!$H$4:$H$1275,"Mandatory")</f>
        <v>8</v>
      </c>
      <c r="P67" s="3" t="n">
        <f aca="false">COUNTIFS(14_ProjectIndicators!$A$4:$A$1275,A67,14_ProjectIndicators!$H$4:$H$1275,"Required (activity)")</f>
        <v>1</v>
      </c>
      <c r="Q67" s="3" t="n">
        <f aca="false">COUNTIFS(14_ProjectIndicators!$A$4:$A$1275,A67,14_ProjectIndicators!$H$4:$H$1275,"Optional")</f>
        <v>3</v>
      </c>
      <c r="R67" s="3" t="n">
        <f aca="false">COUNTIFS(14_ProjectIndicators!$A$4:$A$1275,A67,14_ProjectIndicators!$L$4:$L$1275,"Reported in Hub")</f>
        <v>0</v>
      </c>
      <c r="S67" s="3" t="n">
        <f aca="false">COUNTIFS(14_ProjectIndicators!$A$4:$A$1275,A67,14_ProjectIndicators!$L$4:$L$1275,"Possibly reported – check")</f>
        <v>0</v>
      </c>
      <c r="T67" s="3" t="n">
        <f aca="false">COUNTIFS(14_ProjectIndicators!$A$4:$A$1275,A67,14_ProjectIndicators!$L$4:$L$1275,"Not yet reported")</f>
        <v>12</v>
      </c>
      <c r="U67" s="3" t="s">
        <v>1425</v>
      </c>
      <c r="V67" s="3" t="s">
        <v>1745</v>
      </c>
      <c r="W67" s="28" t="s">
        <v>1750</v>
      </c>
    </row>
    <row r="68" customFormat="false" ht="35.05" hidden="false" customHeight="false" outlineLevel="0" collapsed="false">
      <c r="A68" s="3" t="n">
        <v>103789</v>
      </c>
      <c r="B68" s="3" t="s">
        <v>1751</v>
      </c>
      <c r="C68" s="3" t="s">
        <v>1552</v>
      </c>
      <c r="D68" s="3" t="s">
        <v>1537</v>
      </c>
      <c r="E68" s="3" t="s">
        <v>1752</v>
      </c>
      <c r="F68" s="3" t="s">
        <v>1752</v>
      </c>
      <c r="G68" s="3" t="s">
        <v>1476</v>
      </c>
      <c r="H68" s="3" t="s">
        <v>1393</v>
      </c>
      <c r="I68" s="26" t="n">
        <v>10000003</v>
      </c>
      <c r="J68" s="27" t="n">
        <v>42723</v>
      </c>
      <c r="K68" s="27" t="n">
        <v>44197</v>
      </c>
      <c r="L68" s="3" t="s">
        <v>1440</v>
      </c>
      <c r="M68" s="3" t="s">
        <v>1395</v>
      </c>
      <c r="N68" s="3" t="s">
        <v>1599</v>
      </c>
      <c r="O68" s="3" t="n">
        <f aca="false">COUNTIFS(14_ProjectIndicators!$A$4:$A$1275,A68,14_ProjectIndicators!$H$4:$H$1275,"Mandatory")</f>
        <v>5</v>
      </c>
      <c r="P68" s="3" t="n">
        <f aca="false">COUNTIFS(14_ProjectIndicators!$A$4:$A$1275,A68,14_ProjectIndicators!$H$4:$H$1275,"Required (activity)")</f>
        <v>2</v>
      </c>
      <c r="Q68" s="3" t="n">
        <f aca="false">COUNTIFS(14_ProjectIndicators!$A$4:$A$1275,A68,14_ProjectIndicators!$H$4:$H$1275,"Optional")</f>
        <v>2</v>
      </c>
      <c r="R68" s="3" t="n">
        <f aca="false">COUNTIFS(14_ProjectIndicators!$A$4:$A$1275,A68,14_ProjectIndicators!$L$4:$L$1275,"Reported in Hub")</f>
        <v>0</v>
      </c>
      <c r="S68" s="3" t="n">
        <f aca="false">COUNTIFS(14_ProjectIndicators!$A$4:$A$1275,A68,14_ProjectIndicators!$L$4:$L$1275,"Possibly reported – check")</f>
        <v>0</v>
      </c>
      <c r="T68" s="3" t="n">
        <f aca="false">COUNTIFS(14_ProjectIndicators!$A$4:$A$1275,A68,14_ProjectIndicators!$L$4:$L$1275,"Not yet reported")</f>
        <v>0</v>
      </c>
      <c r="U68" s="3" t="s">
        <v>1396</v>
      </c>
      <c r="V68" s="3" t="s">
        <v>1753</v>
      </c>
      <c r="W68" s="28" t="s">
        <v>1754</v>
      </c>
    </row>
    <row r="69" customFormat="false" ht="23.85" hidden="false" customHeight="false" outlineLevel="0" collapsed="false">
      <c r="A69" s="3" t="n">
        <v>103801</v>
      </c>
      <c r="B69" s="3" t="s">
        <v>1755</v>
      </c>
      <c r="C69" s="3" t="s">
        <v>1552</v>
      </c>
      <c r="D69" s="3" t="s">
        <v>1537</v>
      </c>
      <c r="E69" s="3" t="s">
        <v>1756</v>
      </c>
      <c r="F69" s="3" t="s">
        <v>1756</v>
      </c>
      <c r="G69" s="3" t="s">
        <v>1408</v>
      </c>
      <c r="H69" s="3" t="s">
        <v>1393</v>
      </c>
      <c r="I69" s="26" t="n">
        <v>3300000</v>
      </c>
      <c r="J69" s="27" t="n">
        <v>42724</v>
      </c>
      <c r="K69" s="27" t="n">
        <v>45291</v>
      </c>
      <c r="L69" s="3" t="s">
        <v>1440</v>
      </c>
      <c r="M69" s="3" t="s">
        <v>1395</v>
      </c>
      <c r="N69" s="3" t="s">
        <v>1757</v>
      </c>
      <c r="O69" s="3" t="n">
        <f aca="false">COUNTIFS(14_ProjectIndicators!$A$4:$A$1275,A69,14_ProjectIndicators!$H$4:$H$1275,"Mandatory")</f>
        <v>5</v>
      </c>
      <c r="P69" s="3" t="n">
        <f aca="false">COUNTIFS(14_ProjectIndicators!$A$4:$A$1275,A69,14_ProjectIndicators!$H$4:$H$1275,"Required (activity)")</f>
        <v>1</v>
      </c>
      <c r="Q69" s="3" t="n">
        <f aca="false">COUNTIFS(14_ProjectIndicators!$A$4:$A$1275,A69,14_ProjectIndicators!$H$4:$H$1275,"Optional")</f>
        <v>3</v>
      </c>
      <c r="R69" s="3" t="n">
        <f aca="false">COUNTIFS(14_ProjectIndicators!$A$4:$A$1275,A69,14_ProjectIndicators!$L$4:$L$1275,"Reported in Hub")</f>
        <v>0</v>
      </c>
      <c r="S69" s="3" t="n">
        <f aca="false">COUNTIFS(14_ProjectIndicators!$A$4:$A$1275,A69,14_ProjectIndicators!$L$4:$L$1275,"Possibly reported – check")</f>
        <v>0</v>
      </c>
      <c r="T69" s="3" t="n">
        <f aca="false">COUNTIFS(14_ProjectIndicators!$A$4:$A$1275,A69,14_ProjectIndicators!$L$4:$L$1275,"Not yet reported")</f>
        <v>0</v>
      </c>
      <c r="U69" s="3" t="s">
        <v>1396</v>
      </c>
      <c r="V69" s="3" t="s">
        <v>1758</v>
      </c>
      <c r="W69" s="28" t="s">
        <v>1759</v>
      </c>
    </row>
    <row r="70" customFormat="false" ht="35.05" hidden="false" customHeight="false" outlineLevel="0" collapsed="false">
      <c r="A70" s="3" t="n">
        <v>103851</v>
      </c>
      <c r="B70" s="3" t="s">
        <v>1760</v>
      </c>
      <c r="C70" s="3" t="s">
        <v>1552</v>
      </c>
      <c r="D70" s="3" t="s">
        <v>1537</v>
      </c>
      <c r="E70" s="3" t="s">
        <v>1761</v>
      </c>
      <c r="F70" s="3" t="s">
        <v>1762</v>
      </c>
      <c r="G70" s="3" t="s">
        <v>1392</v>
      </c>
      <c r="H70" s="3" t="s">
        <v>1393</v>
      </c>
      <c r="I70" s="26" t="n">
        <v>2000000</v>
      </c>
      <c r="J70" s="27" t="n">
        <v>42727</v>
      </c>
      <c r="K70" s="27" t="n">
        <v>45138</v>
      </c>
      <c r="L70" s="3" t="s">
        <v>1440</v>
      </c>
      <c r="M70" s="3" t="s">
        <v>1395</v>
      </c>
      <c r="N70" s="3" t="s">
        <v>1763</v>
      </c>
      <c r="O70" s="3" t="n">
        <f aca="false">COUNTIFS(14_ProjectIndicators!$A$4:$A$1275,A70,14_ProjectIndicators!$H$4:$H$1275,"Mandatory")</f>
        <v>5</v>
      </c>
      <c r="P70" s="3" t="n">
        <f aca="false">COUNTIFS(14_ProjectIndicators!$A$4:$A$1275,A70,14_ProjectIndicators!$H$4:$H$1275,"Required (activity)")</f>
        <v>3</v>
      </c>
      <c r="Q70" s="3" t="n">
        <f aca="false">COUNTIFS(14_ProjectIndicators!$A$4:$A$1275,A70,14_ProjectIndicators!$H$4:$H$1275,"Optional")</f>
        <v>7</v>
      </c>
      <c r="R70" s="3" t="n">
        <f aca="false">COUNTIFS(14_ProjectIndicators!$A$4:$A$1275,A70,14_ProjectIndicators!$L$4:$L$1275,"Reported in Hub")</f>
        <v>0</v>
      </c>
      <c r="S70" s="3" t="n">
        <f aca="false">COUNTIFS(14_ProjectIndicators!$A$4:$A$1275,A70,14_ProjectIndicators!$L$4:$L$1275,"Possibly reported – check")</f>
        <v>0</v>
      </c>
      <c r="T70" s="3" t="n">
        <f aca="false">COUNTIFS(14_ProjectIndicators!$A$4:$A$1275,A70,14_ProjectIndicators!$L$4:$L$1275,"Not yet reported")</f>
        <v>0</v>
      </c>
      <c r="U70" s="3" t="s">
        <v>1396</v>
      </c>
      <c r="V70" s="3" t="s">
        <v>1764</v>
      </c>
      <c r="W70" s="28" t="s">
        <v>1765</v>
      </c>
    </row>
    <row r="71" customFormat="false" ht="23.85" hidden="false" customHeight="false" outlineLevel="0" collapsed="false">
      <c r="A71" s="3" t="n">
        <v>105282</v>
      </c>
      <c r="B71" s="3" t="s">
        <v>1766</v>
      </c>
      <c r="C71" s="3" t="s">
        <v>1552</v>
      </c>
      <c r="D71" s="3" t="s">
        <v>1537</v>
      </c>
      <c r="E71" s="3" t="s">
        <v>1767</v>
      </c>
      <c r="F71" s="3" t="s">
        <v>1767</v>
      </c>
      <c r="G71" s="3" t="s">
        <v>1408</v>
      </c>
      <c r="H71" s="3" t="s">
        <v>1393</v>
      </c>
      <c r="I71" s="26" t="n">
        <v>8000000</v>
      </c>
      <c r="J71" s="27" t="n">
        <v>42844</v>
      </c>
      <c r="K71" s="27" t="n">
        <v>45657</v>
      </c>
      <c r="L71" s="3" t="s">
        <v>1440</v>
      </c>
      <c r="M71" s="3" t="s">
        <v>1395</v>
      </c>
      <c r="N71" s="3" t="s">
        <v>1768</v>
      </c>
      <c r="O71" s="3" t="n">
        <f aca="false">COUNTIFS(14_ProjectIndicators!$A$4:$A$1275,A71,14_ProjectIndicators!$H$4:$H$1275,"Mandatory")</f>
        <v>5</v>
      </c>
      <c r="P71" s="3" t="n">
        <f aca="false">COUNTIFS(14_ProjectIndicators!$A$4:$A$1275,A71,14_ProjectIndicators!$H$4:$H$1275,"Required (activity)")</f>
        <v>3</v>
      </c>
      <c r="Q71" s="3" t="n">
        <f aca="false">COUNTIFS(14_ProjectIndicators!$A$4:$A$1275,A71,14_ProjectIndicators!$H$4:$H$1275,"Optional")</f>
        <v>7</v>
      </c>
      <c r="R71" s="3" t="n">
        <f aca="false">COUNTIFS(14_ProjectIndicators!$A$4:$A$1275,A71,14_ProjectIndicators!$L$4:$L$1275,"Reported in Hub")</f>
        <v>0</v>
      </c>
      <c r="S71" s="3" t="n">
        <f aca="false">COUNTIFS(14_ProjectIndicators!$A$4:$A$1275,A71,14_ProjectIndicators!$L$4:$L$1275,"Possibly reported – check")</f>
        <v>0</v>
      </c>
      <c r="T71" s="3" t="n">
        <f aca="false">COUNTIFS(14_ProjectIndicators!$A$4:$A$1275,A71,14_ProjectIndicators!$L$4:$L$1275,"Not yet reported")</f>
        <v>0</v>
      </c>
      <c r="U71" s="3" t="s">
        <v>1396</v>
      </c>
      <c r="V71" s="3" t="s">
        <v>1769</v>
      </c>
      <c r="W71" s="28" t="s">
        <v>1770</v>
      </c>
    </row>
    <row r="72" customFormat="false" ht="23.85" hidden="false" customHeight="false" outlineLevel="0" collapsed="false">
      <c r="A72" s="3" t="n">
        <v>105381</v>
      </c>
      <c r="B72" s="3" t="s">
        <v>1771</v>
      </c>
      <c r="C72" s="3" t="s">
        <v>1552</v>
      </c>
      <c r="D72" s="3" t="s">
        <v>1537</v>
      </c>
      <c r="E72" s="3" t="s">
        <v>1772</v>
      </c>
      <c r="F72" s="3" t="s">
        <v>1773</v>
      </c>
      <c r="G72" s="3" t="s">
        <v>1774</v>
      </c>
      <c r="H72" s="3" t="s">
        <v>1393</v>
      </c>
      <c r="I72" s="26" t="n">
        <v>6999490</v>
      </c>
      <c r="J72" s="27" t="n">
        <v>42849</v>
      </c>
      <c r="K72" s="27" t="n">
        <v>45291</v>
      </c>
      <c r="L72" s="3" t="s">
        <v>1440</v>
      </c>
      <c r="M72" s="3" t="s">
        <v>1395</v>
      </c>
      <c r="N72" s="3" t="s">
        <v>1775</v>
      </c>
      <c r="O72" s="3" t="n">
        <f aca="false">COUNTIFS(14_ProjectIndicators!$A$4:$A$1275,A72,14_ProjectIndicators!$H$4:$H$1275,"Mandatory")</f>
        <v>5</v>
      </c>
      <c r="P72" s="3" t="n">
        <f aca="false">COUNTIFS(14_ProjectIndicators!$A$4:$A$1275,A72,14_ProjectIndicators!$H$4:$H$1275,"Required (activity)")</f>
        <v>2</v>
      </c>
      <c r="Q72" s="3" t="n">
        <f aca="false">COUNTIFS(14_ProjectIndicators!$A$4:$A$1275,A72,14_ProjectIndicators!$H$4:$H$1275,"Optional")</f>
        <v>5</v>
      </c>
      <c r="R72" s="3" t="n">
        <f aca="false">COUNTIFS(14_ProjectIndicators!$A$4:$A$1275,A72,14_ProjectIndicators!$L$4:$L$1275,"Reported in Hub")</f>
        <v>0</v>
      </c>
      <c r="S72" s="3" t="n">
        <f aca="false">COUNTIFS(14_ProjectIndicators!$A$4:$A$1275,A72,14_ProjectIndicators!$L$4:$L$1275,"Possibly reported – check")</f>
        <v>0</v>
      </c>
      <c r="T72" s="3" t="n">
        <f aca="false">COUNTIFS(14_ProjectIndicators!$A$4:$A$1275,A72,14_ProjectIndicators!$L$4:$L$1275,"Not yet reported")</f>
        <v>0</v>
      </c>
      <c r="U72" s="3" t="s">
        <v>1396</v>
      </c>
      <c r="V72" s="3" t="s">
        <v>1776</v>
      </c>
      <c r="W72" s="28" t="s">
        <v>1777</v>
      </c>
    </row>
    <row r="73" customFormat="false" ht="23.85" hidden="false" customHeight="false" outlineLevel="0" collapsed="false">
      <c r="A73" s="3" t="n">
        <v>115700</v>
      </c>
      <c r="B73" s="3" t="s">
        <v>1778</v>
      </c>
      <c r="C73" s="3" t="s">
        <v>1552</v>
      </c>
      <c r="D73" s="3" t="s">
        <v>1537</v>
      </c>
      <c r="E73" s="3" t="s">
        <v>1779</v>
      </c>
      <c r="F73" s="3" t="s">
        <v>1780</v>
      </c>
      <c r="G73" s="3" t="s">
        <v>1476</v>
      </c>
      <c r="H73" s="3" t="s">
        <v>1393</v>
      </c>
      <c r="I73" s="26" t="n">
        <v>3000000</v>
      </c>
      <c r="J73" s="27" t="n">
        <v>43525</v>
      </c>
      <c r="K73" s="27" t="n">
        <v>44925</v>
      </c>
      <c r="L73" s="3" t="s">
        <v>1440</v>
      </c>
      <c r="M73" s="3" t="s">
        <v>1395</v>
      </c>
      <c r="N73" s="3" t="s">
        <v>1511</v>
      </c>
      <c r="O73" s="3" t="n">
        <f aca="false">COUNTIFS(14_ProjectIndicators!$A$4:$A$1275,A73,14_ProjectIndicators!$H$4:$H$1275,"Mandatory")</f>
        <v>5</v>
      </c>
      <c r="P73" s="3" t="n">
        <f aca="false">COUNTIFS(14_ProjectIndicators!$A$4:$A$1275,A73,14_ProjectIndicators!$H$4:$H$1275,"Required (activity)")</f>
        <v>4</v>
      </c>
      <c r="Q73" s="3" t="n">
        <f aca="false">COUNTIFS(14_ProjectIndicators!$A$4:$A$1275,A73,14_ProjectIndicators!$H$4:$H$1275,"Optional")</f>
        <v>4</v>
      </c>
      <c r="R73" s="3" t="n">
        <f aca="false">COUNTIFS(14_ProjectIndicators!$A$4:$A$1275,A73,14_ProjectIndicators!$L$4:$L$1275,"Reported in Hub")</f>
        <v>0</v>
      </c>
      <c r="S73" s="3" t="n">
        <f aca="false">COUNTIFS(14_ProjectIndicators!$A$4:$A$1275,A73,14_ProjectIndicators!$L$4:$L$1275,"Possibly reported – check")</f>
        <v>0</v>
      </c>
      <c r="T73" s="3" t="n">
        <f aca="false">COUNTIFS(14_ProjectIndicators!$A$4:$A$1275,A73,14_ProjectIndicators!$L$4:$L$1275,"Not yet reported")</f>
        <v>0</v>
      </c>
      <c r="U73" s="3" t="s">
        <v>1781</v>
      </c>
      <c r="V73" s="3" t="s">
        <v>1782</v>
      </c>
      <c r="W73" s="28" t="s">
        <v>1783</v>
      </c>
    </row>
    <row r="74" customFormat="false" ht="23.85" hidden="false" customHeight="false" outlineLevel="0" collapsed="false">
      <c r="A74" s="3" t="n">
        <v>116875</v>
      </c>
      <c r="B74" s="3" t="s">
        <v>1784</v>
      </c>
      <c r="C74" s="3" t="s">
        <v>1552</v>
      </c>
      <c r="D74" s="3" t="s">
        <v>1537</v>
      </c>
      <c r="E74" s="3" t="s">
        <v>1785</v>
      </c>
      <c r="F74" s="3" t="s">
        <v>1786</v>
      </c>
      <c r="G74" s="3" t="s">
        <v>1787</v>
      </c>
      <c r="H74" s="3" t="s">
        <v>1393</v>
      </c>
      <c r="I74" s="26" t="n">
        <v>43000000</v>
      </c>
      <c r="J74" s="27" t="n">
        <v>43663</v>
      </c>
      <c r="K74" s="27" t="n">
        <v>45291</v>
      </c>
      <c r="L74" s="3" t="s">
        <v>1440</v>
      </c>
      <c r="M74" s="3" t="s">
        <v>1395</v>
      </c>
      <c r="N74" s="3" t="s">
        <v>1788</v>
      </c>
      <c r="O74" s="3" t="n">
        <f aca="false">COUNTIFS(14_ProjectIndicators!$A$4:$A$1275,A74,14_ProjectIndicators!$H$4:$H$1275,"Mandatory")</f>
        <v>5</v>
      </c>
      <c r="P74" s="3" t="n">
        <f aca="false">COUNTIFS(14_ProjectIndicators!$A$4:$A$1275,A74,14_ProjectIndicators!$H$4:$H$1275,"Required (activity)")</f>
        <v>2</v>
      </c>
      <c r="Q74" s="3" t="n">
        <f aca="false">COUNTIFS(14_ProjectIndicators!$A$4:$A$1275,A74,14_ProjectIndicators!$H$4:$H$1275,"Optional")</f>
        <v>3</v>
      </c>
      <c r="R74" s="3" t="n">
        <f aca="false">COUNTIFS(14_ProjectIndicators!$A$4:$A$1275,A74,14_ProjectIndicators!$L$4:$L$1275,"Reported in Hub")</f>
        <v>0</v>
      </c>
      <c r="S74" s="3" t="n">
        <f aca="false">COUNTIFS(14_ProjectIndicators!$A$4:$A$1275,A74,14_ProjectIndicators!$L$4:$L$1275,"Possibly reported – check")</f>
        <v>0</v>
      </c>
      <c r="T74" s="3" t="n">
        <f aca="false">COUNTIFS(14_ProjectIndicators!$A$4:$A$1275,A74,14_ProjectIndicators!$L$4:$L$1275,"Not yet reported")</f>
        <v>0</v>
      </c>
      <c r="U74" s="3" t="s">
        <v>1396</v>
      </c>
      <c r="V74" s="3" t="s">
        <v>1360</v>
      </c>
      <c r="W74" s="28" t="s">
        <v>1789</v>
      </c>
    </row>
    <row r="75" customFormat="false" ht="23.85" hidden="false" customHeight="false" outlineLevel="0" collapsed="false">
      <c r="A75" s="3" t="n">
        <v>140631</v>
      </c>
      <c r="B75" s="3" t="s">
        <v>1790</v>
      </c>
      <c r="C75" s="3" t="s">
        <v>1552</v>
      </c>
      <c r="D75" s="3" t="s">
        <v>1537</v>
      </c>
      <c r="E75" s="3" t="s">
        <v>1791</v>
      </c>
      <c r="F75" s="3" t="s">
        <v>1791</v>
      </c>
      <c r="G75" s="3" t="s">
        <v>1774</v>
      </c>
      <c r="H75" s="3" t="s">
        <v>1421</v>
      </c>
      <c r="I75" s="26" t="n">
        <v>15000000</v>
      </c>
      <c r="J75" s="27" t="n">
        <v>45364</v>
      </c>
      <c r="K75" s="27" t="n">
        <v>46823</v>
      </c>
      <c r="L75" s="3" t="s">
        <v>1440</v>
      </c>
      <c r="M75" s="3" t="s">
        <v>1395</v>
      </c>
      <c r="N75" s="3" t="s">
        <v>1792</v>
      </c>
      <c r="O75" s="3" t="n">
        <f aca="false">COUNTIFS(14_ProjectIndicators!$A$4:$A$1275,A75,14_ProjectIndicators!$H$4:$H$1275,"Mandatory")</f>
        <v>5</v>
      </c>
      <c r="P75" s="3" t="n">
        <f aca="false">COUNTIFS(14_ProjectIndicators!$A$4:$A$1275,A75,14_ProjectIndicators!$H$4:$H$1275,"Required (activity)")</f>
        <v>3</v>
      </c>
      <c r="Q75" s="3" t="n">
        <f aca="false">COUNTIFS(14_ProjectIndicators!$A$4:$A$1275,A75,14_ProjectIndicators!$H$4:$H$1275,"Optional")</f>
        <v>7</v>
      </c>
      <c r="R75" s="3" t="n">
        <f aca="false">COUNTIFS(14_ProjectIndicators!$A$4:$A$1275,A75,14_ProjectIndicators!$L$4:$L$1275,"Reported in Hub")</f>
        <v>0</v>
      </c>
      <c r="S75" s="3" t="n">
        <f aca="false">COUNTIFS(14_ProjectIndicators!$A$4:$A$1275,A75,14_ProjectIndicators!$L$4:$L$1275,"Possibly reported – check")</f>
        <v>5</v>
      </c>
      <c r="T75" s="3" t="n">
        <f aca="false">COUNTIFS(14_ProjectIndicators!$A$4:$A$1275,A75,14_ProjectIndicators!$L$4:$L$1275,"Not yet reported")</f>
        <v>10</v>
      </c>
      <c r="U75" s="3" t="s">
        <v>1396</v>
      </c>
      <c r="V75" s="3" t="s">
        <v>1793</v>
      </c>
      <c r="W75" s="28" t="s">
        <v>1794</v>
      </c>
    </row>
    <row r="76" customFormat="false" ht="35.05" hidden="false" customHeight="false" outlineLevel="0" collapsed="false">
      <c r="A76" s="3" t="n">
        <v>141041</v>
      </c>
      <c r="B76" s="3" t="s">
        <v>1795</v>
      </c>
      <c r="C76" s="3" t="s">
        <v>1552</v>
      </c>
      <c r="D76" s="3" t="s">
        <v>1537</v>
      </c>
      <c r="E76" s="3" t="s">
        <v>1796</v>
      </c>
      <c r="F76" s="3" t="s">
        <v>1796</v>
      </c>
      <c r="G76" s="3" t="s">
        <v>1408</v>
      </c>
      <c r="H76" s="3" t="s">
        <v>1421</v>
      </c>
      <c r="I76" s="26" t="n">
        <v>8000000</v>
      </c>
      <c r="J76" s="27" t="n">
        <v>45706</v>
      </c>
      <c r="K76" s="27" t="n">
        <v>46244</v>
      </c>
      <c r="L76" s="3" t="s">
        <v>1440</v>
      </c>
      <c r="M76" s="3" t="s">
        <v>1395</v>
      </c>
      <c r="N76" s="3" t="s">
        <v>1797</v>
      </c>
      <c r="O76" s="3" t="n">
        <f aca="false">COUNTIFS(14_ProjectIndicators!$A$4:$A$1275,A76,14_ProjectIndicators!$H$4:$H$1275,"Mandatory")</f>
        <v>5</v>
      </c>
      <c r="P76" s="3" t="n">
        <f aca="false">COUNTIFS(14_ProjectIndicators!$A$4:$A$1275,A76,14_ProjectIndicators!$H$4:$H$1275,"Required (activity)")</f>
        <v>5</v>
      </c>
      <c r="Q76" s="3" t="n">
        <f aca="false">COUNTIFS(14_ProjectIndicators!$A$4:$A$1275,A76,14_ProjectIndicators!$H$4:$H$1275,"Optional")</f>
        <v>11</v>
      </c>
      <c r="R76" s="3" t="n">
        <f aca="false">COUNTIFS(14_ProjectIndicators!$A$4:$A$1275,A76,14_ProjectIndicators!$L$4:$L$1275,"Reported in Hub")</f>
        <v>1</v>
      </c>
      <c r="S76" s="3" t="n">
        <f aca="false">COUNTIFS(14_ProjectIndicators!$A$4:$A$1275,A76,14_ProjectIndicators!$L$4:$L$1275,"Possibly reported – check")</f>
        <v>5</v>
      </c>
      <c r="T76" s="3" t="n">
        <f aca="false">COUNTIFS(14_ProjectIndicators!$A$4:$A$1275,A76,14_ProjectIndicators!$L$4:$L$1275,"Not yet reported")</f>
        <v>15</v>
      </c>
      <c r="U76" s="3" t="s">
        <v>1396</v>
      </c>
      <c r="V76" s="3" t="s">
        <v>1798</v>
      </c>
      <c r="W76" s="28" t="s">
        <v>1799</v>
      </c>
    </row>
    <row r="77" customFormat="false" ht="23.85" hidden="false" customHeight="false" outlineLevel="0" collapsed="false">
      <c r="A77" s="3" t="n">
        <v>141061</v>
      </c>
      <c r="B77" s="3" t="s">
        <v>1766</v>
      </c>
      <c r="C77" s="3" t="s">
        <v>1552</v>
      </c>
      <c r="D77" s="3" t="s">
        <v>1537</v>
      </c>
      <c r="E77" s="3" t="s">
        <v>1800</v>
      </c>
      <c r="F77" s="3" t="s">
        <v>1801</v>
      </c>
      <c r="G77" s="3" t="s">
        <v>1408</v>
      </c>
      <c r="H77" s="3" t="s">
        <v>1421</v>
      </c>
      <c r="I77" s="26" t="n">
        <v>3000000</v>
      </c>
      <c r="J77" s="27" t="n">
        <v>45714</v>
      </c>
      <c r="K77" s="27" t="n">
        <v>46777</v>
      </c>
      <c r="L77" s="3" t="s">
        <v>1440</v>
      </c>
      <c r="M77" s="3" t="s">
        <v>1395</v>
      </c>
      <c r="N77" s="3" t="s">
        <v>1802</v>
      </c>
      <c r="O77" s="3" t="n">
        <f aca="false">COUNTIFS(14_ProjectIndicators!$A$4:$A$1275,A77,14_ProjectIndicators!$H$4:$H$1275,"Mandatory")</f>
        <v>5</v>
      </c>
      <c r="P77" s="3" t="n">
        <f aca="false">COUNTIFS(14_ProjectIndicators!$A$4:$A$1275,A77,14_ProjectIndicators!$H$4:$H$1275,"Required (activity)")</f>
        <v>2</v>
      </c>
      <c r="Q77" s="3" t="n">
        <f aca="false">COUNTIFS(14_ProjectIndicators!$A$4:$A$1275,A77,14_ProjectIndicators!$H$4:$H$1275,"Optional")</f>
        <v>3</v>
      </c>
      <c r="R77" s="3" t="n">
        <f aca="false">COUNTIFS(14_ProjectIndicators!$A$4:$A$1275,A77,14_ProjectIndicators!$L$4:$L$1275,"Reported in Hub")</f>
        <v>0</v>
      </c>
      <c r="S77" s="3" t="n">
        <f aca="false">COUNTIFS(14_ProjectIndicators!$A$4:$A$1275,A77,14_ProjectIndicators!$L$4:$L$1275,"Possibly reported – check")</f>
        <v>2</v>
      </c>
      <c r="T77" s="3" t="n">
        <f aca="false">COUNTIFS(14_ProjectIndicators!$A$4:$A$1275,A77,14_ProjectIndicators!$L$4:$L$1275,"Not yet reported")</f>
        <v>8</v>
      </c>
      <c r="U77" s="3" t="s">
        <v>1396</v>
      </c>
      <c r="V77" s="3" t="s">
        <v>1803</v>
      </c>
      <c r="W77" s="28" t="s">
        <v>1804</v>
      </c>
    </row>
    <row r="78" customFormat="false" ht="23.85" hidden="false" customHeight="false" outlineLevel="0" collapsed="false">
      <c r="A78" s="3" t="n">
        <v>141120</v>
      </c>
      <c r="B78" s="3" t="s">
        <v>1805</v>
      </c>
      <c r="C78" s="3" t="s">
        <v>1552</v>
      </c>
      <c r="D78" s="3" t="s">
        <v>1537</v>
      </c>
      <c r="E78" s="3" t="s">
        <v>1806</v>
      </c>
      <c r="F78" s="3" t="s">
        <v>1806</v>
      </c>
      <c r="G78" s="3" t="s">
        <v>1787</v>
      </c>
      <c r="H78" s="3" t="s">
        <v>1421</v>
      </c>
      <c r="I78" s="26" t="n">
        <v>58000000</v>
      </c>
      <c r="J78" s="27" t="n">
        <v>45761</v>
      </c>
      <c r="K78" s="27" t="n">
        <v>47221</v>
      </c>
      <c r="L78" s="3" t="s">
        <v>1440</v>
      </c>
      <c r="M78" s="3" t="s">
        <v>1395</v>
      </c>
      <c r="N78" s="3" t="s">
        <v>1788</v>
      </c>
      <c r="O78" s="3" t="n">
        <f aca="false">COUNTIFS(14_ProjectIndicators!$A$4:$A$1275,A78,14_ProjectIndicators!$H$4:$H$1275,"Mandatory")</f>
        <v>5</v>
      </c>
      <c r="P78" s="3" t="n">
        <f aca="false">COUNTIFS(14_ProjectIndicators!$A$4:$A$1275,A78,14_ProjectIndicators!$H$4:$H$1275,"Required (activity)")</f>
        <v>2</v>
      </c>
      <c r="Q78" s="3" t="n">
        <f aca="false">COUNTIFS(14_ProjectIndicators!$A$4:$A$1275,A78,14_ProjectIndicators!$H$4:$H$1275,"Optional")</f>
        <v>3</v>
      </c>
      <c r="R78" s="3" t="n">
        <f aca="false">COUNTIFS(14_ProjectIndicators!$A$4:$A$1275,A78,14_ProjectIndicators!$L$4:$L$1275,"Reported in Hub")</f>
        <v>0</v>
      </c>
      <c r="S78" s="3" t="n">
        <f aca="false">COUNTIFS(14_ProjectIndicators!$A$4:$A$1275,A78,14_ProjectIndicators!$L$4:$L$1275,"Possibly reported – check")</f>
        <v>4</v>
      </c>
      <c r="T78" s="3" t="n">
        <f aca="false">COUNTIFS(14_ProjectIndicators!$A$4:$A$1275,A78,14_ProjectIndicators!$L$4:$L$1275,"Not yet reported")</f>
        <v>6</v>
      </c>
      <c r="U78" s="3" t="s">
        <v>1396</v>
      </c>
      <c r="V78" s="3" t="s">
        <v>1360</v>
      </c>
      <c r="W78" s="28" t="s">
        <v>1807</v>
      </c>
    </row>
    <row r="79" customFormat="false" ht="23.85" hidden="false" customHeight="false" outlineLevel="0" collapsed="false">
      <c r="A79" s="3" t="n">
        <v>141161</v>
      </c>
      <c r="B79" s="3" t="s">
        <v>1808</v>
      </c>
      <c r="C79" s="3" t="s">
        <v>1552</v>
      </c>
      <c r="D79" s="3" t="s">
        <v>1537</v>
      </c>
      <c r="E79" s="3" t="s">
        <v>1809</v>
      </c>
      <c r="F79" s="3" t="s">
        <v>1809</v>
      </c>
      <c r="G79" s="3" t="s">
        <v>1604</v>
      </c>
      <c r="H79" s="3" t="s">
        <v>1421</v>
      </c>
      <c r="I79" s="26" t="n">
        <v>3500000</v>
      </c>
      <c r="J79" s="27" t="n">
        <v>45798</v>
      </c>
      <c r="K79" s="27" t="n">
        <v>46863</v>
      </c>
      <c r="L79" s="3" t="s">
        <v>1440</v>
      </c>
      <c r="M79" s="3" t="s">
        <v>1395</v>
      </c>
      <c r="N79" s="3" t="s">
        <v>1810</v>
      </c>
      <c r="O79" s="3" t="n">
        <f aca="false">COUNTIFS(14_ProjectIndicators!$A$4:$A$1275,A79,14_ProjectIndicators!$H$4:$H$1275,"Mandatory")</f>
        <v>5</v>
      </c>
      <c r="P79" s="3" t="n">
        <f aca="false">COUNTIFS(14_ProjectIndicators!$A$4:$A$1275,A79,14_ProjectIndicators!$H$4:$H$1275,"Required (activity)")</f>
        <v>3</v>
      </c>
      <c r="Q79" s="3" t="n">
        <f aca="false">COUNTIFS(14_ProjectIndicators!$A$4:$A$1275,A79,14_ProjectIndicators!$H$4:$H$1275,"Optional")</f>
        <v>1</v>
      </c>
      <c r="R79" s="3" t="n">
        <f aca="false">COUNTIFS(14_ProjectIndicators!$A$4:$A$1275,A79,14_ProjectIndicators!$L$4:$L$1275,"Reported in Hub")</f>
        <v>0</v>
      </c>
      <c r="S79" s="3" t="n">
        <f aca="false">COUNTIFS(14_ProjectIndicators!$A$4:$A$1275,A79,14_ProjectIndicators!$L$4:$L$1275,"Possibly reported – check")</f>
        <v>0</v>
      </c>
      <c r="T79" s="3" t="n">
        <f aca="false">COUNTIFS(14_ProjectIndicators!$A$4:$A$1275,A79,14_ProjectIndicators!$L$4:$L$1275,"Not yet reported")</f>
        <v>9</v>
      </c>
      <c r="U79" s="3" t="s">
        <v>1781</v>
      </c>
      <c r="V79" s="3" t="s">
        <v>1811</v>
      </c>
      <c r="W79" s="28" t="s">
        <v>1812</v>
      </c>
    </row>
    <row r="80" customFormat="false" ht="23.85" hidden="false" customHeight="false" outlineLevel="0" collapsed="false">
      <c r="A80" s="3" t="n">
        <v>141162</v>
      </c>
      <c r="B80" s="3" t="s">
        <v>1813</v>
      </c>
      <c r="C80" s="3" t="s">
        <v>1552</v>
      </c>
      <c r="D80" s="3" t="s">
        <v>1537</v>
      </c>
      <c r="E80" s="3" t="s">
        <v>1814</v>
      </c>
      <c r="F80" s="3" t="s">
        <v>1814</v>
      </c>
      <c r="G80" s="3" t="s">
        <v>1439</v>
      </c>
      <c r="H80" s="3" t="s">
        <v>1421</v>
      </c>
      <c r="I80" s="26" t="n">
        <v>6000000</v>
      </c>
      <c r="J80" s="27" t="n">
        <v>45798</v>
      </c>
      <c r="K80" s="27" t="n">
        <v>47258</v>
      </c>
      <c r="L80" s="3" t="s">
        <v>1440</v>
      </c>
      <c r="M80" s="3" t="s">
        <v>1395</v>
      </c>
      <c r="N80" s="3" t="s">
        <v>1815</v>
      </c>
      <c r="O80" s="3" t="n">
        <f aca="false">COUNTIFS(14_ProjectIndicators!$A$4:$A$1275,A80,14_ProjectIndicators!$H$4:$H$1275,"Mandatory")</f>
        <v>5</v>
      </c>
      <c r="P80" s="3" t="n">
        <f aca="false">COUNTIFS(14_ProjectIndicators!$A$4:$A$1275,A80,14_ProjectIndicators!$H$4:$H$1275,"Required (activity)")</f>
        <v>1</v>
      </c>
      <c r="Q80" s="3" t="n">
        <f aca="false">COUNTIFS(14_ProjectIndicators!$A$4:$A$1275,A80,14_ProjectIndicators!$H$4:$H$1275,"Optional")</f>
        <v>3</v>
      </c>
      <c r="R80" s="3" t="n">
        <f aca="false">COUNTIFS(14_ProjectIndicators!$A$4:$A$1275,A80,14_ProjectIndicators!$L$4:$L$1275,"Reported in Hub")</f>
        <v>0</v>
      </c>
      <c r="S80" s="3" t="n">
        <f aca="false">COUNTIFS(14_ProjectIndicators!$A$4:$A$1275,A80,14_ProjectIndicators!$L$4:$L$1275,"Possibly reported – check")</f>
        <v>2</v>
      </c>
      <c r="T80" s="3" t="n">
        <f aca="false">COUNTIFS(14_ProjectIndicators!$A$4:$A$1275,A80,14_ProjectIndicators!$L$4:$L$1275,"Not yet reported")</f>
        <v>7</v>
      </c>
      <c r="U80" s="3" t="s">
        <v>1396</v>
      </c>
      <c r="V80" s="3" t="s">
        <v>1816</v>
      </c>
      <c r="W80" s="28" t="s">
        <v>1817</v>
      </c>
    </row>
    <row r="81" customFormat="false" ht="23.85" hidden="false" customHeight="false" outlineLevel="0" collapsed="false">
      <c r="A81" s="3" t="n">
        <v>141166</v>
      </c>
      <c r="B81" s="3" t="s">
        <v>1818</v>
      </c>
      <c r="C81" s="3" t="s">
        <v>1552</v>
      </c>
      <c r="D81" s="3" t="s">
        <v>1537</v>
      </c>
      <c r="E81" s="3" t="s">
        <v>1819</v>
      </c>
      <c r="F81" s="3" t="s">
        <v>1819</v>
      </c>
      <c r="G81" s="3" t="s">
        <v>1820</v>
      </c>
      <c r="H81" s="3" t="s">
        <v>1421</v>
      </c>
      <c r="I81" s="26" t="n">
        <v>5500000</v>
      </c>
      <c r="J81" s="27" t="n">
        <v>45769</v>
      </c>
      <c r="K81" s="27" t="n">
        <v>46864</v>
      </c>
      <c r="L81" s="3" t="s">
        <v>1440</v>
      </c>
      <c r="M81" s="3" t="s">
        <v>1395</v>
      </c>
      <c r="N81" s="3" t="s">
        <v>1757</v>
      </c>
      <c r="O81" s="3" t="n">
        <f aca="false">COUNTIFS(14_ProjectIndicators!$A$4:$A$1275,A81,14_ProjectIndicators!$H$4:$H$1275,"Mandatory")</f>
        <v>5</v>
      </c>
      <c r="P81" s="3" t="n">
        <f aca="false">COUNTIFS(14_ProjectIndicators!$A$4:$A$1275,A81,14_ProjectIndicators!$H$4:$H$1275,"Required (activity)")</f>
        <v>1</v>
      </c>
      <c r="Q81" s="3" t="n">
        <f aca="false">COUNTIFS(14_ProjectIndicators!$A$4:$A$1275,A81,14_ProjectIndicators!$H$4:$H$1275,"Optional")</f>
        <v>3</v>
      </c>
      <c r="R81" s="3" t="n">
        <f aca="false">COUNTIFS(14_ProjectIndicators!$A$4:$A$1275,A81,14_ProjectIndicators!$L$4:$L$1275,"Reported in Hub")</f>
        <v>1</v>
      </c>
      <c r="S81" s="3" t="n">
        <f aca="false">COUNTIFS(14_ProjectIndicators!$A$4:$A$1275,A81,14_ProjectIndicators!$L$4:$L$1275,"Possibly reported – check")</f>
        <v>1</v>
      </c>
      <c r="T81" s="3" t="n">
        <f aca="false">COUNTIFS(14_ProjectIndicators!$A$4:$A$1275,A81,14_ProjectIndicators!$L$4:$L$1275,"Not yet reported")</f>
        <v>7</v>
      </c>
      <c r="U81" s="3" t="s">
        <v>1396</v>
      </c>
      <c r="V81" s="3" t="s">
        <v>1758</v>
      </c>
      <c r="W81" s="28" t="s">
        <v>1821</v>
      </c>
    </row>
    <row r="82" customFormat="false" ht="23.85" hidden="false" customHeight="false" outlineLevel="0" collapsed="false">
      <c r="A82" s="3" t="n">
        <v>141042</v>
      </c>
      <c r="B82" s="3" t="s">
        <v>1822</v>
      </c>
      <c r="C82" s="3" t="s">
        <v>1552</v>
      </c>
      <c r="D82" s="3" t="s">
        <v>1537</v>
      </c>
      <c r="E82" s="3" t="s">
        <v>1823</v>
      </c>
      <c r="F82" s="3" t="s">
        <v>1823</v>
      </c>
      <c r="G82" s="3" t="s">
        <v>1408</v>
      </c>
      <c r="H82" s="3" t="s">
        <v>1421</v>
      </c>
      <c r="I82" s="26" t="n">
        <v>2000000</v>
      </c>
      <c r="J82" s="27" t="n">
        <v>45706</v>
      </c>
      <c r="K82" s="27" t="n">
        <v>46244</v>
      </c>
      <c r="L82" s="3" t="s">
        <v>1394</v>
      </c>
      <c r="M82" s="3" t="s">
        <v>1395</v>
      </c>
      <c r="N82" s="3" t="s">
        <v>1610</v>
      </c>
      <c r="O82" s="3" t="n">
        <f aca="false">COUNTIFS(14_ProjectIndicators!$A$4:$A$1275,A82,14_ProjectIndicators!$H$4:$H$1275,"Mandatory")</f>
        <v>0</v>
      </c>
      <c r="P82" s="3" t="n">
        <f aca="false">COUNTIFS(14_ProjectIndicators!$A$4:$A$1275,A82,14_ProjectIndicators!$H$4:$H$1275,"Required (activity)")</f>
        <v>2</v>
      </c>
      <c r="Q82" s="3" t="n">
        <f aca="false">COUNTIFS(14_ProjectIndicators!$A$4:$A$1275,A82,14_ProjectIndicators!$H$4:$H$1275,"Optional")</f>
        <v>2</v>
      </c>
      <c r="R82" s="3" t="n">
        <f aca="false">COUNTIFS(14_ProjectIndicators!$A$4:$A$1275,A82,14_ProjectIndicators!$L$4:$L$1275,"Reported in Hub")</f>
        <v>0</v>
      </c>
      <c r="S82" s="3" t="n">
        <f aca="false">COUNTIFS(14_ProjectIndicators!$A$4:$A$1275,A82,14_ProjectIndicators!$L$4:$L$1275,"Possibly reported – check")</f>
        <v>0</v>
      </c>
      <c r="T82" s="3" t="n">
        <f aca="false">COUNTIFS(14_ProjectIndicators!$A$4:$A$1275,A82,14_ProjectIndicators!$L$4:$L$1275,"Not yet reported")</f>
        <v>4</v>
      </c>
      <c r="U82" s="3" t="s">
        <v>1396</v>
      </c>
      <c r="V82" s="3" t="s">
        <v>1824</v>
      </c>
      <c r="W82" s="28" t="s">
        <v>1825</v>
      </c>
    </row>
    <row r="83" customFormat="false" ht="23.85" hidden="false" customHeight="false" outlineLevel="0" collapsed="false">
      <c r="A83" s="3" t="n">
        <v>105042</v>
      </c>
      <c r="B83" s="3" t="s">
        <v>1826</v>
      </c>
      <c r="C83" s="3" t="s">
        <v>1552</v>
      </c>
      <c r="D83" s="3" t="s">
        <v>1537</v>
      </c>
      <c r="E83" s="3" t="s">
        <v>1827</v>
      </c>
      <c r="F83" s="3"/>
      <c r="G83" s="3" t="s">
        <v>1408</v>
      </c>
      <c r="H83" s="3" t="s">
        <v>1393</v>
      </c>
      <c r="I83" s="26" t="n">
        <v>10500000</v>
      </c>
      <c r="J83" s="27"/>
      <c r="K83" s="27"/>
      <c r="L83" s="3" t="s">
        <v>1553</v>
      </c>
      <c r="M83" s="3" t="s">
        <v>1395</v>
      </c>
      <c r="N83" s="3"/>
      <c r="O83" s="3" t="n">
        <f aca="false">COUNTIFS(14_ProjectIndicators!$A$4:$A$1275,A83,14_ProjectIndicators!$H$4:$H$1275,"Mandatory")</f>
        <v>0</v>
      </c>
      <c r="P83" s="3" t="n">
        <f aca="false">COUNTIFS(14_ProjectIndicators!$A$4:$A$1275,A83,14_ProjectIndicators!$H$4:$H$1275,"Required (activity)")</f>
        <v>0</v>
      </c>
      <c r="Q83" s="3" t="n">
        <f aca="false">COUNTIFS(14_ProjectIndicators!$A$4:$A$1275,A83,14_ProjectIndicators!$H$4:$H$1275,"Optional")</f>
        <v>0</v>
      </c>
      <c r="R83" s="3" t="n">
        <f aca="false">COUNTIFS(14_ProjectIndicators!$A$4:$A$1275,A83,14_ProjectIndicators!$L$4:$L$1275,"Reported in Hub")</f>
        <v>0</v>
      </c>
      <c r="S83" s="3" t="n">
        <f aca="false">COUNTIFS(14_ProjectIndicators!$A$4:$A$1275,A83,14_ProjectIndicators!$L$4:$L$1275,"Possibly reported – check")</f>
        <v>0</v>
      </c>
      <c r="T83" s="3" t="n">
        <f aca="false">COUNTIFS(14_ProjectIndicators!$A$4:$A$1275,A83,14_ProjectIndicators!$L$4:$L$1275,"Not yet reported")</f>
        <v>0</v>
      </c>
      <c r="U83" s="3" t="s">
        <v>1396</v>
      </c>
      <c r="V83" s="3" t="s">
        <v>1828</v>
      </c>
      <c r="W83" s="28" t="s">
        <v>1829</v>
      </c>
    </row>
    <row r="84" customFormat="false" ht="23.85" hidden="false" customHeight="false" outlineLevel="0" collapsed="false">
      <c r="A84" s="3" t="n">
        <v>117920</v>
      </c>
      <c r="B84" s="3" t="s">
        <v>1830</v>
      </c>
      <c r="C84" s="3" t="s">
        <v>1552</v>
      </c>
      <c r="D84" s="3" t="s">
        <v>1537</v>
      </c>
      <c r="E84" s="3" t="s">
        <v>1831</v>
      </c>
      <c r="F84" s="3" t="s">
        <v>1831</v>
      </c>
      <c r="G84" s="3" t="s">
        <v>1408</v>
      </c>
      <c r="H84" s="3" t="s">
        <v>1393</v>
      </c>
      <c r="I84" s="26" t="n">
        <v>5445605</v>
      </c>
      <c r="J84" s="27" t="n">
        <v>43734</v>
      </c>
      <c r="K84" s="27" t="n">
        <v>46081</v>
      </c>
      <c r="L84" s="3" t="s">
        <v>1553</v>
      </c>
      <c r="M84" s="3" t="s">
        <v>1395</v>
      </c>
      <c r="N84" s="3"/>
      <c r="O84" s="3" t="n">
        <f aca="false">COUNTIFS(14_ProjectIndicators!$A$4:$A$1275,A84,14_ProjectIndicators!$H$4:$H$1275,"Mandatory")</f>
        <v>0</v>
      </c>
      <c r="P84" s="3" t="n">
        <f aca="false">COUNTIFS(14_ProjectIndicators!$A$4:$A$1275,A84,14_ProjectIndicators!$H$4:$H$1275,"Required (activity)")</f>
        <v>0</v>
      </c>
      <c r="Q84" s="3" t="n">
        <f aca="false">COUNTIFS(14_ProjectIndicators!$A$4:$A$1275,A84,14_ProjectIndicators!$H$4:$H$1275,"Optional")</f>
        <v>0</v>
      </c>
      <c r="R84" s="3" t="n">
        <f aca="false">COUNTIFS(14_ProjectIndicators!$A$4:$A$1275,A84,14_ProjectIndicators!$L$4:$L$1275,"Reported in Hub")</f>
        <v>0</v>
      </c>
      <c r="S84" s="3" t="n">
        <f aca="false">COUNTIFS(14_ProjectIndicators!$A$4:$A$1275,A84,14_ProjectIndicators!$L$4:$L$1275,"Possibly reported – check")</f>
        <v>0</v>
      </c>
      <c r="T84" s="3" t="n">
        <f aca="false">COUNTIFS(14_ProjectIndicators!$A$4:$A$1275,A84,14_ProjectIndicators!$L$4:$L$1275,"Not yet reported")</f>
        <v>0</v>
      </c>
      <c r="U84" s="3" t="s">
        <v>1396</v>
      </c>
      <c r="V84" s="3" t="s">
        <v>1832</v>
      </c>
      <c r="W84" s="28" t="s">
        <v>1833</v>
      </c>
    </row>
    <row r="85" customFormat="false" ht="23.85" hidden="false" customHeight="false" outlineLevel="0" collapsed="false">
      <c r="A85" s="3" t="n">
        <v>141104</v>
      </c>
      <c r="B85" s="3" t="s">
        <v>1834</v>
      </c>
      <c r="C85" s="3" t="s">
        <v>1552</v>
      </c>
      <c r="D85" s="3" t="s">
        <v>1537</v>
      </c>
      <c r="E85" s="3" t="s">
        <v>1835</v>
      </c>
      <c r="F85" s="3"/>
      <c r="G85" s="3" t="s">
        <v>1408</v>
      </c>
      <c r="H85" s="3" t="s">
        <v>1421</v>
      </c>
      <c r="I85" s="26" t="n">
        <v>7500000</v>
      </c>
      <c r="J85" s="27"/>
      <c r="K85" s="27"/>
      <c r="L85" s="3" t="s">
        <v>1553</v>
      </c>
      <c r="M85" s="3" t="s">
        <v>1395</v>
      </c>
      <c r="N85" s="3"/>
      <c r="O85" s="3" t="n">
        <f aca="false">COUNTIFS(14_ProjectIndicators!$A$4:$A$1275,A85,14_ProjectIndicators!$H$4:$H$1275,"Mandatory")</f>
        <v>0</v>
      </c>
      <c r="P85" s="3" t="n">
        <f aca="false">COUNTIFS(14_ProjectIndicators!$A$4:$A$1275,A85,14_ProjectIndicators!$H$4:$H$1275,"Required (activity)")</f>
        <v>0</v>
      </c>
      <c r="Q85" s="3" t="n">
        <f aca="false">COUNTIFS(14_ProjectIndicators!$A$4:$A$1275,A85,14_ProjectIndicators!$H$4:$H$1275,"Optional")</f>
        <v>0</v>
      </c>
      <c r="R85" s="3" t="n">
        <f aca="false">COUNTIFS(14_ProjectIndicators!$A$4:$A$1275,A85,14_ProjectIndicators!$L$4:$L$1275,"Reported in Hub")</f>
        <v>0</v>
      </c>
      <c r="S85" s="3" t="n">
        <f aca="false">COUNTIFS(14_ProjectIndicators!$A$4:$A$1275,A85,14_ProjectIndicators!$L$4:$L$1275,"Possibly reported – check")</f>
        <v>0</v>
      </c>
      <c r="T85" s="3" t="n">
        <f aca="false">COUNTIFS(14_ProjectIndicators!$A$4:$A$1275,A85,14_ProjectIndicators!$L$4:$L$1275,"Not yet reported")</f>
        <v>0</v>
      </c>
      <c r="U85" s="3" t="s">
        <v>1396</v>
      </c>
      <c r="V85" s="3" t="s">
        <v>1828</v>
      </c>
      <c r="W85" s="28" t="s">
        <v>1836</v>
      </c>
    </row>
  </sheetData>
  <conditionalFormatting sqref="U4:U85">
    <cfRule type="cellIs" priority="2" operator="equal" aboveAverage="0" equalAverage="0" bottom="0" percent="0" rank="0" text="" dxfId="15">
      <formula>"Low"</formula>
    </cfRule>
    <cfRule type="cellIs" priority="3" operator="equal" aboveAverage="0" equalAverage="0" bottom="0" percent="0" rank="0" text="" dxfId="16">
      <formula>"Medium"</formula>
    </cfRule>
  </conditionalFormatting>
  <hyperlinks>
    <hyperlink ref="W4" r:id="rId1" display="https://mptf.undp.org/project/00102121"/>
    <hyperlink ref="W5" r:id="rId2" display="https://mptf.undp.org/project/00127867"/>
    <hyperlink ref="W6" r:id="rId3" display="https://mptf.undp.org/project/00140619"/>
    <hyperlink ref="W7" r:id="rId4" display="https://mptf.undp.org/project/00141105"/>
    <hyperlink ref="W8" r:id="rId5" display="https://mptf.undp.org/project/00141300"/>
    <hyperlink ref="W9" r:id="rId6" display="https://mptf.undp.org/project/00140915"/>
    <hyperlink ref="W10" r:id="rId7" display="https://mptf.undp.org/project/00141297"/>
    <hyperlink ref="W11" r:id="rId8" display="https://mptf.undp.org/project/00141343"/>
    <hyperlink ref="W12" r:id="rId9" display="https://mptf.undp.org/project/00102312"/>
    <hyperlink ref="W13" r:id="rId10" display="https://mptf.undp.org/project/00140410"/>
    <hyperlink ref="W14" r:id="rId11" display="https://mptf.undp.org/project/00140520"/>
    <hyperlink ref="W15" r:id="rId12" display="https://mptf.undp.org/project/00141291"/>
    <hyperlink ref="W16" r:id="rId13" display="https://mptf.undp.org/project/00103594"/>
    <hyperlink ref="W17" r:id="rId14" display="https://mptf.undp.org/project/00133387"/>
    <hyperlink ref="W18" r:id="rId15" display="https://mptf.undp.org/project/00141081"/>
    <hyperlink ref="W19" r:id="rId16" display="https://mptf.undp.org/project/00111269"/>
    <hyperlink ref="W20" r:id="rId17" display="https://mptf.undp.org/project/00122613"/>
    <hyperlink ref="W21" r:id="rId18" display="https://mptf.undp.org/project/00132798"/>
    <hyperlink ref="W22" r:id="rId19" display="https://mptf.undp.org/project/00133375"/>
    <hyperlink ref="W23" r:id="rId20" display="https://mptf.undp.org/project/00133386"/>
    <hyperlink ref="W24" r:id="rId21" display="https://mptf.undp.org/project/00133560"/>
    <hyperlink ref="W25" r:id="rId22" display="https://mptf.undp.org/project/00133561"/>
    <hyperlink ref="W26" r:id="rId23" display="https://mptf.undp.org/project/00140885"/>
    <hyperlink ref="W27" r:id="rId24" display="https://mptf.undp.org/project/00133419"/>
    <hyperlink ref="W28" r:id="rId25" display="https://mptf.undp.org/project/00103702"/>
    <hyperlink ref="W29" r:id="rId26" display="https://mptf.undp.org/project/00105662"/>
    <hyperlink ref="W30" r:id="rId27" display="https://mptf.undp.org/project/00141057"/>
    <hyperlink ref="W31" r:id="rId28" display="https://mptf.undp.org/project/00131425"/>
    <hyperlink ref="W32" r:id="rId29" display="https://mptf.undp.org/project/00133946"/>
    <hyperlink ref="W33" r:id="rId30" display="https://mptf.undp.org/project/00140783"/>
    <hyperlink ref="W34" r:id="rId31" display="https://mptf.undp.org/project/00141114"/>
    <hyperlink ref="W35" r:id="rId32" display="https://mptf.undp.org/project/00141415"/>
    <hyperlink ref="W36" r:id="rId33" display="https://mptf.undp.org/project/00123542"/>
    <hyperlink ref="W37" r:id="rId34" display="https://mptf.undp.org/project/00140486"/>
    <hyperlink ref="W38" r:id="rId35" display="https://mptf.undp.org/project/00141031"/>
    <hyperlink ref="W39" r:id="rId36" display="https://mptf.undp.org/project/00131426"/>
    <hyperlink ref="W40" r:id="rId37" display="https://mptf.undp.org/project/00131427"/>
    <hyperlink ref="W41" r:id="rId38" display="https://mptf.undp.org/project/00141054"/>
    <hyperlink ref="W42" r:id="rId39" display="https://mptf.undp.org/project/00141098"/>
    <hyperlink ref="W43" r:id="rId40" display="https://mptf.undp.org/project/0097460"/>
    <hyperlink ref="W44" r:id="rId41" display="https://mptf.undp.org/project/00130492"/>
    <hyperlink ref="W45" r:id="rId42" display="https://mptf.undp.org/project/00140280"/>
    <hyperlink ref="W46" r:id="rId43" display="https://mptf.undp.org/project/00140442"/>
    <hyperlink ref="W47" r:id="rId44" display="https://mptf.undp.org/project/00129333"/>
    <hyperlink ref="W48" r:id="rId45" display="https://mptf.undp.org/project/00129481"/>
    <hyperlink ref="W49" r:id="rId46" display="https://mptf.undp.org/project/00134411"/>
    <hyperlink ref="W50" r:id="rId47" display="https://mptf.undp.org/project/00102120"/>
    <hyperlink ref="W51" r:id="rId48" display="https://mptf.undp.org/project/00116876"/>
    <hyperlink ref="W52" r:id="rId49" display="https://mptf.undp.org/project/00103850"/>
    <hyperlink ref="W53" r:id="rId50" display="https://mptf.undp.org/project/00105031"/>
    <hyperlink ref="W54" r:id="rId51" display="https://mptf.undp.org/project/00107819"/>
    <hyperlink ref="W55" r:id="rId52" display="https://mptf.undp.org/project/00113547"/>
    <hyperlink ref="W56" r:id="rId53" display="https://mptf.undp.org/project/00117080"/>
    <hyperlink ref="W57" r:id="rId54" display="https://mptf.undp.org/project/00117600"/>
    <hyperlink ref="W58" r:id="rId55" display="https://mptf.undp.org/project/00120055"/>
    <hyperlink ref="W59" r:id="rId56" display="https://mptf.undp.org/project/00126783"/>
    <hyperlink ref="W60" r:id="rId57" display="https://mptf.undp.org/project/00140679"/>
    <hyperlink ref="W61" r:id="rId58" display="https://mptf.undp.org/project/00140884"/>
    <hyperlink ref="W62" r:id="rId59" display="https://mptf.undp.org/project/00141419"/>
    <hyperlink ref="W63" r:id="rId60" display="https://mptf.undp.org/project/00123066"/>
    <hyperlink ref="W64" r:id="rId61" display="https://mptf.undp.org/project/00140811"/>
    <hyperlink ref="W65" r:id="rId62" display="https://mptf.undp.org/project/00141182"/>
    <hyperlink ref="W66" r:id="rId63" display="https://mptf.undp.org/project/00113546"/>
    <hyperlink ref="W67" r:id="rId64" display="https://mptf.undp.org/project/00141417"/>
    <hyperlink ref="W68" r:id="rId65" display="https://mptf.undp.org/project/00103789"/>
    <hyperlink ref="W69" r:id="rId66" display="https://mptf.undp.org/project/00103801"/>
    <hyperlink ref="W70" r:id="rId67" display="https://mptf.undp.org/project/00103851"/>
    <hyperlink ref="W71" r:id="rId68" display="https://mptf.undp.org/project/00105282"/>
    <hyperlink ref="W72" r:id="rId69" display="https://mptf.undp.org/project/00105381"/>
    <hyperlink ref="W73" r:id="rId70" display="https://mptf.undp.org/project/00115700"/>
    <hyperlink ref="W74" r:id="rId71" display="https://mptf.undp.org/project/00116875"/>
    <hyperlink ref="W75" r:id="rId72" display="https://mptf.undp.org/project/00140631"/>
    <hyperlink ref="W76" r:id="rId73" display="https://mptf.undp.org/project/00141041"/>
    <hyperlink ref="W77" r:id="rId74" display="https://mptf.undp.org/project/00141061"/>
    <hyperlink ref="W78" r:id="rId75" display="https://mptf.undp.org/project/00141120"/>
    <hyperlink ref="W79" r:id="rId76" display="https://mptf.undp.org/project/00141161"/>
    <hyperlink ref="W80" r:id="rId77" display="https://mptf.undp.org/project/00141162"/>
    <hyperlink ref="W81" r:id="rId78" display="https://mptf.undp.org/project/00141166"/>
    <hyperlink ref="W82" r:id="rId79" display="https://mptf.undp.org/project/00141042"/>
    <hyperlink ref="W83" r:id="rId80" display="https://mptf.undp.org/project/00105042"/>
    <hyperlink ref="W84" r:id="rId81" display="https://mptf.undp.org/project/00117920"/>
    <hyperlink ref="W85" r:id="rId82" display="https://mptf.undp.org/project/0014110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83"/>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34"/>
    <col collapsed="false" customWidth="true" hidden="false" outlineLevel="0" max="4" min="4" style="0" width="11"/>
    <col collapsed="false" customWidth="true" hidden="false" outlineLevel="0" max="5" min="5" style="0" width="40"/>
    <col collapsed="false" customWidth="true" hidden="false" outlineLevel="0" max="6" min="6" style="0" width="10"/>
    <col collapsed="false" customWidth="true" hidden="false" outlineLevel="0" max="7" min="7" style="0" width="6"/>
    <col collapsed="false" customWidth="true" hidden="false" outlineLevel="0" max="8" min="8" style="0" width="12"/>
    <col collapsed="false" customWidth="true" hidden="false" outlineLevel="0" max="9" min="9" style="0" width="46"/>
    <col collapsed="false" customWidth="true" hidden="false" outlineLevel="0" max="11" min="10" style="0" width="10"/>
    <col collapsed="false" customWidth="true" hidden="false" outlineLevel="0" max="12" min="12" style="0" width="26"/>
  </cols>
  <sheetData>
    <row r="1" customFormat="false" ht="15" hidden="false" customHeight="false" outlineLevel="0" collapsed="false">
      <c r="A1" s="5" t="s">
        <v>1837</v>
      </c>
    </row>
    <row r="2" customFormat="false" ht="15" hidden="false" customHeight="false" outlineLevel="0" collapsed="false">
      <c r="A2" s="16" t="s">
        <v>1838</v>
      </c>
    </row>
    <row r="3" customFormat="false" ht="31.5" hidden="false" customHeight="true" outlineLevel="0" collapsed="false">
      <c r="A3" s="6" t="s">
        <v>1366</v>
      </c>
      <c r="B3" s="6" t="s">
        <v>1367</v>
      </c>
      <c r="C3" s="6" t="s">
        <v>1370</v>
      </c>
      <c r="D3" s="6" t="s">
        <v>224</v>
      </c>
      <c r="E3" s="6" t="s">
        <v>225</v>
      </c>
      <c r="F3" s="6" t="s">
        <v>57</v>
      </c>
      <c r="G3" s="6" t="s">
        <v>228</v>
      </c>
      <c r="H3" s="6" t="s">
        <v>1839</v>
      </c>
      <c r="I3" s="6" t="s">
        <v>1840</v>
      </c>
      <c r="J3" s="6" t="s">
        <v>1841</v>
      </c>
      <c r="K3" s="6" t="s">
        <v>1842</v>
      </c>
      <c r="L3" s="6" t="s">
        <v>1843</v>
      </c>
    </row>
    <row r="4" customFormat="false" ht="15" hidden="false" customHeight="false" outlineLevel="0" collapsed="false">
      <c r="A4" s="29" t="n">
        <v>102121</v>
      </c>
      <c r="B4" s="29" t="s">
        <v>1387</v>
      </c>
      <c r="C4" s="29" t="s">
        <v>1390</v>
      </c>
      <c r="D4" s="29" t="s">
        <v>265</v>
      </c>
      <c r="E4" s="29" t="s">
        <v>266</v>
      </c>
      <c r="F4" s="29" t="s">
        <v>69</v>
      </c>
      <c r="G4" s="29" t="s">
        <v>67</v>
      </c>
      <c r="H4" s="29" t="s">
        <v>1844</v>
      </c>
      <c r="I4" s="29" t="s">
        <v>1845</v>
      </c>
      <c r="J4" s="29" t="n">
        <v>0</v>
      </c>
      <c r="K4" s="29" t="n">
        <v>0</v>
      </c>
      <c r="L4" s="29" t="s">
        <v>1846</v>
      </c>
    </row>
    <row r="5" customFormat="false" ht="15" hidden="false" customHeight="false" outlineLevel="0" collapsed="false">
      <c r="A5" s="29" t="n">
        <v>102121</v>
      </c>
      <c r="B5" s="29" t="s">
        <v>1387</v>
      </c>
      <c r="C5" s="29" t="s">
        <v>1390</v>
      </c>
      <c r="D5" s="29" t="s">
        <v>291</v>
      </c>
      <c r="E5" s="29" t="s">
        <v>292</v>
      </c>
      <c r="F5" s="29" t="s">
        <v>69</v>
      </c>
      <c r="G5" s="29" t="s">
        <v>68</v>
      </c>
      <c r="H5" s="29" t="s">
        <v>1381</v>
      </c>
      <c r="I5" s="29" t="s">
        <v>1845</v>
      </c>
      <c r="J5" s="29" t="n">
        <v>0</v>
      </c>
      <c r="K5" s="29" t="n">
        <v>0</v>
      </c>
      <c r="L5" s="29" t="s">
        <v>1846</v>
      </c>
    </row>
    <row r="6" customFormat="false" ht="15" hidden="false" customHeight="false" outlineLevel="0" collapsed="false">
      <c r="A6" s="29" t="n">
        <v>127867</v>
      </c>
      <c r="B6" s="29" t="s">
        <v>1399</v>
      </c>
      <c r="C6" s="29" t="s">
        <v>1400</v>
      </c>
      <c r="D6" s="29" t="s">
        <v>265</v>
      </c>
      <c r="E6" s="29" t="s">
        <v>266</v>
      </c>
      <c r="F6" s="29" t="s">
        <v>69</v>
      </c>
      <c r="G6" s="29" t="s">
        <v>67</v>
      </c>
      <c r="H6" s="29" t="s">
        <v>1844</v>
      </c>
      <c r="I6" s="29" t="s">
        <v>1845</v>
      </c>
      <c r="J6" s="29" t="n">
        <v>0</v>
      </c>
      <c r="K6" s="29" t="n">
        <v>0</v>
      </c>
      <c r="L6" s="29" t="s">
        <v>1846</v>
      </c>
    </row>
    <row r="7" customFormat="false" ht="15" hidden="false" customHeight="false" outlineLevel="0" collapsed="false">
      <c r="A7" s="29" t="n">
        <v>127867</v>
      </c>
      <c r="B7" s="29" t="s">
        <v>1399</v>
      </c>
      <c r="C7" s="29" t="s">
        <v>1400</v>
      </c>
      <c r="D7" s="29" t="s">
        <v>291</v>
      </c>
      <c r="E7" s="29" t="s">
        <v>292</v>
      </c>
      <c r="F7" s="29" t="s">
        <v>69</v>
      </c>
      <c r="G7" s="29" t="s">
        <v>68</v>
      </c>
      <c r="H7" s="29" t="s">
        <v>1381</v>
      </c>
      <c r="I7" s="29" t="s">
        <v>1845</v>
      </c>
      <c r="J7" s="29" t="n">
        <v>0</v>
      </c>
      <c r="K7" s="29" t="n">
        <v>0</v>
      </c>
      <c r="L7" s="29" t="s">
        <v>1846</v>
      </c>
    </row>
    <row r="8" customFormat="false" ht="15" hidden="false" customHeight="false" outlineLevel="0" collapsed="false">
      <c r="A8" s="29" t="n">
        <v>140619</v>
      </c>
      <c r="B8" s="29" t="s">
        <v>1405</v>
      </c>
      <c r="C8" s="29" t="s">
        <v>1406</v>
      </c>
      <c r="D8" s="29" t="s">
        <v>265</v>
      </c>
      <c r="E8" s="29" t="s">
        <v>266</v>
      </c>
      <c r="F8" s="29" t="s">
        <v>69</v>
      </c>
      <c r="G8" s="29" t="s">
        <v>67</v>
      </c>
      <c r="H8" s="29" t="s">
        <v>1844</v>
      </c>
      <c r="I8" s="29" t="s">
        <v>1845</v>
      </c>
      <c r="J8" s="29" t="n">
        <v>0</v>
      </c>
      <c r="K8" s="29" t="n">
        <v>0</v>
      </c>
      <c r="L8" s="29" t="s">
        <v>1846</v>
      </c>
    </row>
    <row r="9" customFormat="false" ht="15" hidden="false" customHeight="false" outlineLevel="0" collapsed="false">
      <c r="A9" s="29" t="n">
        <v>140619</v>
      </c>
      <c r="B9" s="29" t="s">
        <v>1405</v>
      </c>
      <c r="C9" s="29" t="s">
        <v>1406</v>
      </c>
      <c r="D9" s="29" t="s">
        <v>291</v>
      </c>
      <c r="E9" s="29" t="s">
        <v>292</v>
      </c>
      <c r="F9" s="29" t="s">
        <v>69</v>
      </c>
      <c r="G9" s="29" t="s">
        <v>68</v>
      </c>
      <c r="H9" s="29" t="s">
        <v>1381</v>
      </c>
      <c r="I9" s="29" t="s">
        <v>1845</v>
      </c>
      <c r="J9" s="29" t="n">
        <v>0</v>
      </c>
      <c r="K9" s="29" t="n">
        <v>0</v>
      </c>
      <c r="L9" s="29" t="s">
        <v>1846</v>
      </c>
    </row>
    <row r="10" customFormat="false" ht="15" hidden="false" customHeight="false" outlineLevel="0" collapsed="false">
      <c r="A10" s="29" t="n">
        <v>141105</v>
      </c>
      <c r="B10" s="29" t="s">
        <v>1411</v>
      </c>
      <c r="C10" s="29" t="s">
        <v>1412</v>
      </c>
      <c r="D10" s="29" t="s">
        <v>265</v>
      </c>
      <c r="E10" s="29" t="s">
        <v>266</v>
      </c>
      <c r="F10" s="29" t="s">
        <v>69</v>
      </c>
      <c r="G10" s="29" t="s">
        <v>67</v>
      </c>
      <c r="H10" s="29" t="s">
        <v>1844</v>
      </c>
      <c r="I10" s="29" t="s">
        <v>1845</v>
      </c>
      <c r="J10" s="29" t="n">
        <v>0</v>
      </c>
      <c r="K10" s="29" t="n">
        <v>0</v>
      </c>
      <c r="L10" s="29" t="s">
        <v>1846</v>
      </c>
    </row>
    <row r="11" customFormat="false" ht="15" hidden="false" customHeight="false" outlineLevel="0" collapsed="false">
      <c r="A11" s="29" t="n">
        <v>141105</v>
      </c>
      <c r="B11" s="29" t="s">
        <v>1411</v>
      </c>
      <c r="C11" s="29" t="s">
        <v>1412</v>
      </c>
      <c r="D11" s="29" t="s">
        <v>291</v>
      </c>
      <c r="E11" s="29" t="s">
        <v>292</v>
      </c>
      <c r="F11" s="29" t="s">
        <v>69</v>
      </c>
      <c r="G11" s="29" t="s">
        <v>68</v>
      </c>
      <c r="H11" s="29" t="s">
        <v>1381</v>
      </c>
      <c r="I11" s="29" t="s">
        <v>1845</v>
      </c>
      <c r="J11" s="29" t="n">
        <v>0</v>
      </c>
      <c r="K11" s="29" t="n">
        <v>0</v>
      </c>
      <c r="L11" s="29" t="s">
        <v>1846</v>
      </c>
    </row>
    <row r="12" customFormat="false" ht="15" hidden="false" customHeight="false" outlineLevel="0" collapsed="false">
      <c r="A12" s="29" t="n">
        <v>141105</v>
      </c>
      <c r="B12" s="29" t="s">
        <v>1411</v>
      </c>
      <c r="C12" s="29" t="s">
        <v>1412</v>
      </c>
      <c r="D12" s="29" t="s">
        <v>508</v>
      </c>
      <c r="E12" s="29" t="s">
        <v>509</v>
      </c>
      <c r="F12" s="29" t="s">
        <v>88</v>
      </c>
      <c r="G12" s="29" t="s">
        <v>67</v>
      </c>
      <c r="H12" s="29" t="s">
        <v>1844</v>
      </c>
      <c r="I12" s="29" t="s">
        <v>1847</v>
      </c>
      <c r="J12" s="29" t="n">
        <v>0</v>
      </c>
      <c r="K12" s="29" t="n">
        <v>0</v>
      </c>
      <c r="L12" s="29" t="s">
        <v>1846</v>
      </c>
    </row>
    <row r="13" customFormat="false" ht="15" hidden="false" customHeight="false" outlineLevel="0" collapsed="false">
      <c r="A13" s="29" t="n">
        <v>141105</v>
      </c>
      <c r="B13" s="29" t="s">
        <v>1411</v>
      </c>
      <c r="C13" s="29" t="s">
        <v>1412</v>
      </c>
      <c r="D13" s="29" t="s">
        <v>515</v>
      </c>
      <c r="E13" s="29" t="s">
        <v>516</v>
      </c>
      <c r="F13" s="29" t="s">
        <v>88</v>
      </c>
      <c r="G13" s="29" t="s">
        <v>67</v>
      </c>
      <c r="H13" s="29" t="s">
        <v>1844</v>
      </c>
      <c r="I13" s="29" t="s">
        <v>1847</v>
      </c>
      <c r="J13" s="29" t="n">
        <v>0</v>
      </c>
      <c r="K13" s="29" t="n">
        <v>0</v>
      </c>
      <c r="L13" s="29" t="s">
        <v>1846</v>
      </c>
    </row>
    <row r="14" customFormat="false" ht="15" hidden="false" customHeight="false" outlineLevel="0" collapsed="false">
      <c r="A14" s="29" t="n">
        <v>141105</v>
      </c>
      <c r="B14" s="29" t="s">
        <v>1411</v>
      </c>
      <c r="C14" s="29" t="s">
        <v>1412</v>
      </c>
      <c r="D14" s="29" t="s">
        <v>530</v>
      </c>
      <c r="E14" s="29" t="s">
        <v>531</v>
      </c>
      <c r="F14" s="29" t="s">
        <v>88</v>
      </c>
      <c r="G14" s="29" t="s">
        <v>68</v>
      </c>
      <c r="H14" s="29" t="s">
        <v>1381</v>
      </c>
      <c r="I14" s="29" t="s">
        <v>1847</v>
      </c>
      <c r="J14" s="29" t="n">
        <v>0</v>
      </c>
      <c r="K14" s="29" t="n">
        <v>0</v>
      </c>
      <c r="L14" s="29" t="s">
        <v>1846</v>
      </c>
    </row>
    <row r="15" customFormat="false" ht="15" hidden="false" customHeight="false" outlineLevel="0" collapsed="false">
      <c r="A15" s="29" t="n">
        <v>141105</v>
      </c>
      <c r="B15" s="29" t="s">
        <v>1411</v>
      </c>
      <c r="C15" s="29" t="s">
        <v>1412</v>
      </c>
      <c r="D15" s="29" t="s">
        <v>536</v>
      </c>
      <c r="E15" s="29" t="s">
        <v>537</v>
      </c>
      <c r="F15" s="29" t="s">
        <v>88</v>
      </c>
      <c r="G15" s="29" t="s">
        <v>68</v>
      </c>
      <c r="H15" s="29" t="s">
        <v>1381</v>
      </c>
      <c r="I15" s="29" t="s">
        <v>1847</v>
      </c>
      <c r="J15" s="29" t="n">
        <v>0</v>
      </c>
      <c r="K15" s="29" t="n">
        <v>0</v>
      </c>
      <c r="L15" s="29" t="s">
        <v>1846</v>
      </c>
    </row>
    <row r="16" customFormat="false" ht="15" hidden="false" customHeight="false" outlineLevel="0" collapsed="false">
      <c r="A16" s="29" t="n">
        <v>141105</v>
      </c>
      <c r="B16" s="29" t="s">
        <v>1411</v>
      </c>
      <c r="C16" s="29" t="s">
        <v>1412</v>
      </c>
      <c r="D16" s="29" t="s">
        <v>543</v>
      </c>
      <c r="E16" s="29" t="s">
        <v>544</v>
      </c>
      <c r="F16" s="29" t="s">
        <v>88</v>
      </c>
      <c r="G16" s="29" t="s">
        <v>68</v>
      </c>
      <c r="H16" s="29" t="s">
        <v>1381</v>
      </c>
      <c r="I16" s="29" t="s">
        <v>1847</v>
      </c>
      <c r="J16" s="29" t="n">
        <v>0</v>
      </c>
      <c r="K16" s="29" t="n">
        <v>0</v>
      </c>
      <c r="L16" s="29" t="s">
        <v>1846</v>
      </c>
    </row>
    <row r="17" customFormat="false" ht="15" hidden="false" customHeight="false" outlineLevel="0" collapsed="false">
      <c r="A17" s="29" t="n">
        <v>141105</v>
      </c>
      <c r="B17" s="29" t="s">
        <v>1411</v>
      </c>
      <c r="C17" s="29" t="s">
        <v>1412</v>
      </c>
      <c r="D17" s="29" t="s">
        <v>551</v>
      </c>
      <c r="E17" s="29" t="s">
        <v>552</v>
      </c>
      <c r="F17" s="29" t="s">
        <v>88</v>
      </c>
      <c r="G17" s="29" t="s">
        <v>68</v>
      </c>
      <c r="H17" s="29" t="s">
        <v>1381</v>
      </c>
      <c r="I17" s="29" t="s">
        <v>1847</v>
      </c>
      <c r="J17" s="29" t="n">
        <v>0</v>
      </c>
      <c r="K17" s="29" t="n">
        <v>0</v>
      </c>
      <c r="L17" s="29" t="s">
        <v>1846</v>
      </c>
    </row>
    <row r="18" customFormat="false" ht="15" hidden="false" customHeight="false" outlineLevel="0" collapsed="false">
      <c r="A18" s="29" t="n">
        <v>141105</v>
      </c>
      <c r="B18" s="29" t="s">
        <v>1411</v>
      </c>
      <c r="C18" s="29" t="s">
        <v>1412</v>
      </c>
      <c r="D18" s="29" t="s">
        <v>572</v>
      </c>
      <c r="E18" s="29" t="s">
        <v>573</v>
      </c>
      <c r="F18" s="29" t="s">
        <v>88</v>
      </c>
      <c r="G18" s="29" t="s">
        <v>68</v>
      </c>
      <c r="H18" s="29" t="s">
        <v>1381</v>
      </c>
      <c r="I18" s="29" t="s">
        <v>1847</v>
      </c>
      <c r="J18" s="29" t="n">
        <v>0</v>
      </c>
      <c r="K18" s="29" t="n">
        <v>0</v>
      </c>
      <c r="L18" s="29" t="s">
        <v>1846</v>
      </c>
    </row>
    <row r="19" customFormat="false" ht="15" hidden="false" customHeight="false" outlineLevel="0" collapsed="false">
      <c r="A19" s="29" t="n">
        <v>141300</v>
      </c>
      <c r="B19" s="29" t="s">
        <v>1416</v>
      </c>
      <c r="C19" s="29" t="s">
        <v>1418</v>
      </c>
      <c r="D19" s="29" t="s">
        <v>247</v>
      </c>
      <c r="E19" s="29" t="s">
        <v>248</v>
      </c>
      <c r="F19" s="29" t="s">
        <v>69</v>
      </c>
      <c r="G19" s="29" t="s">
        <v>67</v>
      </c>
      <c r="H19" s="29" t="s">
        <v>1844</v>
      </c>
      <c r="I19" s="29" t="s">
        <v>1848</v>
      </c>
      <c r="J19" s="29" t="n">
        <v>0</v>
      </c>
      <c r="K19" s="29" t="n">
        <v>0</v>
      </c>
      <c r="L19" s="29" t="s">
        <v>1849</v>
      </c>
    </row>
    <row r="20" customFormat="false" ht="15" hidden="false" customHeight="false" outlineLevel="0" collapsed="false">
      <c r="A20" s="29" t="n">
        <v>141300</v>
      </c>
      <c r="B20" s="29" t="s">
        <v>1416</v>
      </c>
      <c r="C20" s="29" t="s">
        <v>1418</v>
      </c>
      <c r="D20" s="29" t="s">
        <v>277</v>
      </c>
      <c r="E20" s="29" t="s">
        <v>278</v>
      </c>
      <c r="F20" s="29" t="s">
        <v>69</v>
      </c>
      <c r="G20" s="29" t="s">
        <v>67</v>
      </c>
      <c r="H20" s="29" t="s">
        <v>1379</v>
      </c>
      <c r="I20" s="29" t="s">
        <v>1850</v>
      </c>
      <c r="J20" s="29" t="n">
        <v>0</v>
      </c>
      <c r="K20" s="29" t="n">
        <v>0</v>
      </c>
      <c r="L20" s="29" t="s">
        <v>1849</v>
      </c>
    </row>
    <row r="21" customFormat="false" ht="15" hidden="false" customHeight="false" outlineLevel="0" collapsed="false">
      <c r="A21" s="29" t="n">
        <v>141300</v>
      </c>
      <c r="B21" s="29" t="s">
        <v>1416</v>
      </c>
      <c r="C21" s="29" t="s">
        <v>1418</v>
      </c>
      <c r="D21" s="29" t="s">
        <v>297</v>
      </c>
      <c r="E21" s="29" t="s">
        <v>298</v>
      </c>
      <c r="F21" s="29" t="s">
        <v>69</v>
      </c>
      <c r="G21" s="29" t="s">
        <v>68</v>
      </c>
      <c r="H21" s="29" t="s">
        <v>1381</v>
      </c>
      <c r="I21" s="29" t="s">
        <v>1848</v>
      </c>
      <c r="J21" s="29" t="n">
        <v>0</v>
      </c>
      <c r="K21" s="29" t="n">
        <v>0</v>
      </c>
      <c r="L21" s="29" t="s">
        <v>1849</v>
      </c>
    </row>
    <row r="22" customFormat="false" ht="15" hidden="false" customHeight="false" outlineLevel="0" collapsed="false">
      <c r="A22" s="29" t="n">
        <v>141300</v>
      </c>
      <c r="B22" s="29" t="s">
        <v>1416</v>
      </c>
      <c r="C22" s="29" t="s">
        <v>1418</v>
      </c>
      <c r="D22" s="29" t="s">
        <v>304</v>
      </c>
      <c r="E22" s="29" t="s">
        <v>305</v>
      </c>
      <c r="F22" s="29" t="s">
        <v>69</v>
      </c>
      <c r="G22" s="29" t="s">
        <v>68</v>
      </c>
      <c r="H22" s="29" t="s">
        <v>1381</v>
      </c>
      <c r="I22" s="29" t="s">
        <v>1851</v>
      </c>
      <c r="J22" s="29" t="n">
        <v>0</v>
      </c>
      <c r="K22" s="29" t="n">
        <v>0</v>
      </c>
      <c r="L22" s="29" t="s">
        <v>1849</v>
      </c>
    </row>
    <row r="23" customFormat="false" ht="15" hidden="false" customHeight="false" outlineLevel="0" collapsed="false">
      <c r="A23" s="29" t="n">
        <v>141300</v>
      </c>
      <c r="B23" s="29" t="s">
        <v>1416</v>
      </c>
      <c r="C23" s="29" t="s">
        <v>1418</v>
      </c>
      <c r="D23" s="29" t="s">
        <v>311</v>
      </c>
      <c r="E23" s="29" t="s">
        <v>312</v>
      </c>
      <c r="F23" s="29" t="s">
        <v>69</v>
      </c>
      <c r="G23" s="29" t="s">
        <v>68</v>
      </c>
      <c r="H23" s="29" t="s">
        <v>1381</v>
      </c>
      <c r="I23" s="29" t="s">
        <v>1851</v>
      </c>
      <c r="J23" s="29" t="n">
        <v>0</v>
      </c>
      <c r="K23" s="29" t="n">
        <v>0</v>
      </c>
      <c r="L23" s="29" t="s">
        <v>1849</v>
      </c>
    </row>
    <row r="24" customFormat="false" ht="15" hidden="false" customHeight="false" outlineLevel="0" collapsed="false">
      <c r="A24" s="29" t="n">
        <v>141300</v>
      </c>
      <c r="B24" s="29" t="s">
        <v>1416</v>
      </c>
      <c r="C24" s="29" t="s">
        <v>1418</v>
      </c>
      <c r="D24" s="29" t="s">
        <v>325</v>
      </c>
      <c r="E24" s="29" t="s">
        <v>326</v>
      </c>
      <c r="F24" s="29" t="s">
        <v>76</v>
      </c>
      <c r="G24" s="29" t="s">
        <v>67</v>
      </c>
      <c r="H24" s="29" t="s">
        <v>1844</v>
      </c>
      <c r="I24" s="29" t="s">
        <v>1852</v>
      </c>
      <c r="J24" s="29" t="n">
        <v>0</v>
      </c>
      <c r="K24" s="29" t="n">
        <v>0</v>
      </c>
      <c r="L24" s="29" t="s">
        <v>1849</v>
      </c>
    </row>
    <row r="25" customFormat="false" ht="15" hidden="false" customHeight="false" outlineLevel="0" collapsed="false">
      <c r="A25" s="29" t="n">
        <v>141300</v>
      </c>
      <c r="B25" s="29" t="s">
        <v>1416</v>
      </c>
      <c r="C25" s="29" t="s">
        <v>1418</v>
      </c>
      <c r="D25" s="29" t="s">
        <v>336</v>
      </c>
      <c r="E25" s="29" t="s">
        <v>337</v>
      </c>
      <c r="F25" s="29" t="s">
        <v>76</v>
      </c>
      <c r="G25" s="29" t="s">
        <v>67</v>
      </c>
      <c r="H25" s="29" t="s">
        <v>1844</v>
      </c>
      <c r="I25" s="29" t="s">
        <v>1852</v>
      </c>
      <c r="J25" s="29" t="n">
        <v>0</v>
      </c>
      <c r="K25" s="29" t="n">
        <v>0</v>
      </c>
      <c r="L25" s="29" t="s">
        <v>1849</v>
      </c>
    </row>
    <row r="26" customFormat="false" ht="15" hidden="false" customHeight="false" outlineLevel="0" collapsed="false">
      <c r="A26" s="29" t="n">
        <v>141300</v>
      </c>
      <c r="B26" s="29" t="s">
        <v>1416</v>
      </c>
      <c r="C26" s="29" t="s">
        <v>1418</v>
      </c>
      <c r="D26" s="29" t="s">
        <v>353</v>
      </c>
      <c r="E26" s="29" t="s">
        <v>354</v>
      </c>
      <c r="F26" s="29" t="s">
        <v>76</v>
      </c>
      <c r="G26" s="29" t="s">
        <v>67</v>
      </c>
      <c r="H26" s="29" t="s">
        <v>1844</v>
      </c>
      <c r="I26" s="29" t="s">
        <v>1853</v>
      </c>
      <c r="J26" s="29" t="n">
        <v>0</v>
      </c>
      <c r="K26" s="29" t="n">
        <v>0</v>
      </c>
      <c r="L26" s="29" t="s">
        <v>1849</v>
      </c>
    </row>
    <row r="27" customFormat="false" ht="15" hidden="false" customHeight="false" outlineLevel="0" collapsed="false">
      <c r="A27" s="29" t="n">
        <v>141300</v>
      </c>
      <c r="B27" s="29" t="s">
        <v>1416</v>
      </c>
      <c r="C27" s="29" t="s">
        <v>1418</v>
      </c>
      <c r="D27" s="29" t="s">
        <v>387</v>
      </c>
      <c r="E27" s="29" t="s">
        <v>388</v>
      </c>
      <c r="F27" s="29" t="s">
        <v>76</v>
      </c>
      <c r="G27" s="29" t="s">
        <v>68</v>
      </c>
      <c r="H27" s="29" t="s">
        <v>1381</v>
      </c>
      <c r="I27" s="29" t="s">
        <v>1853</v>
      </c>
      <c r="J27" s="29" t="n">
        <v>0</v>
      </c>
      <c r="K27" s="29" t="n">
        <v>0</v>
      </c>
      <c r="L27" s="29" t="s">
        <v>1849</v>
      </c>
    </row>
    <row r="28" customFormat="false" ht="15" hidden="false" customHeight="false" outlineLevel="0" collapsed="false">
      <c r="A28" s="29" t="n">
        <v>141300</v>
      </c>
      <c r="B28" s="29" t="s">
        <v>1416</v>
      </c>
      <c r="C28" s="29" t="s">
        <v>1418</v>
      </c>
      <c r="D28" s="29" t="s">
        <v>396</v>
      </c>
      <c r="E28" s="29" t="s">
        <v>397</v>
      </c>
      <c r="F28" s="29" t="s">
        <v>76</v>
      </c>
      <c r="G28" s="29" t="s">
        <v>68</v>
      </c>
      <c r="H28" s="29" t="s">
        <v>1381</v>
      </c>
      <c r="I28" s="29" t="s">
        <v>1853</v>
      </c>
      <c r="J28" s="29" t="n">
        <v>0</v>
      </c>
      <c r="K28" s="29" t="n">
        <v>0</v>
      </c>
      <c r="L28" s="29" t="s">
        <v>1849</v>
      </c>
    </row>
    <row r="29" customFormat="false" ht="15" hidden="false" customHeight="false" outlineLevel="0" collapsed="false">
      <c r="A29" s="29" t="n">
        <v>141300</v>
      </c>
      <c r="B29" s="29" t="s">
        <v>1416</v>
      </c>
      <c r="C29" s="29" t="s">
        <v>1418</v>
      </c>
      <c r="D29" s="29" t="s">
        <v>403</v>
      </c>
      <c r="E29" s="29" t="s">
        <v>404</v>
      </c>
      <c r="F29" s="29" t="s">
        <v>76</v>
      </c>
      <c r="G29" s="29" t="s">
        <v>68</v>
      </c>
      <c r="H29" s="29" t="s">
        <v>1381</v>
      </c>
      <c r="I29" s="29" t="s">
        <v>1852</v>
      </c>
      <c r="J29" s="29" t="n">
        <v>0</v>
      </c>
      <c r="K29" s="29" t="n">
        <v>0</v>
      </c>
      <c r="L29" s="29" t="s">
        <v>1849</v>
      </c>
    </row>
    <row r="30" customFormat="false" ht="15" hidden="false" customHeight="false" outlineLevel="0" collapsed="false">
      <c r="A30" s="29" t="n">
        <v>141300</v>
      </c>
      <c r="B30" s="29" t="s">
        <v>1416</v>
      </c>
      <c r="C30" s="29" t="s">
        <v>1418</v>
      </c>
      <c r="D30" s="29" t="s">
        <v>428</v>
      </c>
      <c r="E30" s="29" t="s">
        <v>429</v>
      </c>
      <c r="F30" s="29" t="s">
        <v>76</v>
      </c>
      <c r="G30" s="29" t="s">
        <v>68</v>
      </c>
      <c r="H30" s="29" t="s">
        <v>1381</v>
      </c>
      <c r="I30" s="29" t="s">
        <v>1853</v>
      </c>
      <c r="J30" s="29" t="n">
        <v>0</v>
      </c>
      <c r="K30" s="29" t="n">
        <v>0</v>
      </c>
      <c r="L30" s="29" t="s">
        <v>1849</v>
      </c>
    </row>
    <row r="31" customFormat="false" ht="15" hidden="false" customHeight="false" outlineLevel="0" collapsed="false">
      <c r="A31" s="29" t="n">
        <v>141300</v>
      </c>
      <c r="B31" s="29" t="s">
        <v>1416</v>
      </c>
      <c r="C31" s="29" t="s">
        <v>1418</v>
      </c>
      <c r="D31" s="29" t="s">
        <v>433</v>
      </c>
      <c r="E31" s="29" t="s">
        <v>434</v>
      </c>
      <c r="F31" s="29" t="s">
        <v>82</v>
      </c>
      <c r="G31" s="29" t="s">
        <v>66</v>
      </c>
      <c r="H31" s="29" t="s">
        <v>1379</v>
      </c>
      <c r="I31" s="29" t="s">
        <v>1854</v>
      </c>
      <c r="J31" s="29" t="n">
        <v>0</v>
      </c>
      <c r="K31" s="29" t="n">
        <v>0</v>
      </c>
      <c r="L31" s="29" t="s">
        <v>1849</v>
      </c>
    </row>
    <row r="32" customFormat="false" ht="15" hidden="false" customHeight="false" outlineLevel="0" collapsed="false">
      <c r="A32" s="29" t="n">
        <v>141300</v>
      </c>
      <c r="B32" s="29" t="s">
        <v>1416</v>
      </c>
      <c r="C32" s="29" t="s">
        <v>1418</v>
      </c>
      <c r="D32" s="29" t="s">
        <v>451</v>
      </c>
      <c r="E32" s="29" t="s">
        <v>452</v>
      </c>
      <c r="F32" s="29" t="s">
        <v>82</v>
      </c>
      <c r="G32" s="29" t="s">
        <v>67</v>
      </c>
      <c r="H32" s="29" t="s">
        <v>1379</v>
      </c>
      <c r="I32" s="29" t="s">
        <v>1855</v>
      </c>
      <c r="J32" s="29" t="n">
        <v>0</v>
      </c>
      <c r="K32" s="29" t="n">
        <v>0</v>
      </c>
      <c r="L32" s="29" t="s">
        <v>1849</v>
      </c>
    </row>
    <row r="33" customFormat="false" ht="15" hidden="false" customHeight="false" outlineLevel="0" collapsed="false">
      <c r="A33" s="29" t="n">
        <v>141300</v>
      </c>
      <c r="B33" s="29" t="s">
        <v>1416</v>
      </c>
      <c r="C33" s="29" t="s">
        <v>1418</v>
      </c>
      <c r="D33" s="29" t="s">
        <v>459</v>
      </c>
      <c r="E33" s="29" t="s">
        <v>460</v>
      </c>
      <c r="F33" s="29" t="s">
        <v>82</v>
      </c>
      <c r="G33" s="29" t="s">
        <v>67</v>
      </c>
      <c r="H33" s="29" t="s">
        <v>1379</v>
      </c>
      <c r="I33" s="29" t="s">
        <v>1855</v>
      </c>
      <c r="J33" s="29" t="n">
        <v>0</v>
      </c>
      <c r="K33" s="29" t="n">
        <v>0</v>
      </c>
      <c r="L33" s="29" t="s">
        <v>1849</v>
      </c>
    </row>
    <row r="34" customFormat="false" ht="15" hidden="false" customHeight="false" outlineLevel="0" collapsed="false">
      <c r="A34" s="29" t="n">
        <v>141300</v>
      </c>
      <c r="B34" s="29" t="s">
        <v>1416</v>
      </c>
      <c r="C34" s="29" t="s">
        <v>1418</v>
      </c>
      <c r="D34" s="29" t="s">
        <v>466</v>
      </c>
      <c r="E34" s="29" t="s">
        <v>467</v>
      </c>
      <c r="F34" s="29" t="s">
        <v>82</v>
      </c>
      <c r="G34" s="29" t="s">
        <v>67</v>
      </c>
      <c r="H34" s="29" t="s">
        <v>1379</v>
      </c>
      <c r="I34" s="29" t="s">
        <v>1855</v>
      </c>
      <c r="J34" s="29" t="n">
        <v>0</v>
      </c>
      <c r="K34" s="29" t="n">
        <v>0</v>
      </c>
      <c r="L34" s="29" t="s">
        <v>1849</v>
      </c>
    </row>
    <row r="35" customFormat="false" ht="15" hidden="false" customHeight="false" outlineLevel="0" collapsed="false">
      <c r="A35" s="29" t="n">
        <v>141300</v>
      </c>
      <c r="B35" s="29" t="s">
        <v>1416</v>
      </c>
      <c r="C35" s="29" t="s">
        <v>1418</v>
      </c>
      <c r="D35" s="29" t="s">
        <v>508</v>
      </c>
      <c r="E35" s="29" t="s">
        <v>509</v>
      </c>
      <c r="F35" s="29" t="s">
        <v>88</v>
      </c>
      <c r="G35" s="29" t="s">
        <v>67</v>
      </c>
      <c r="H35" s="29" t="s">
        <v>1379</v>
      </c>
      <c r="I35" s="29" t="s">
        <v>1850</v>
      </c>
      <c r="J35" s="29" t="n">
        <v>0</v>
      </c>
      <c r="K35" s="29" t="n">
        <v>0</v>
      </c>
      <c r="L35" s="29" t="s">
        <v>1849</v>
      </c>
    </row>
    <row r="36" customFormat="false" ht="15" hidden="false" customHeight="false" outlineLevel="0" collapsed="false">
      <c r="A36" s="29" t="n">
        <v>141300</v>
      </c>
      <c r="B36" s="29" t="s">
        <v>1416</v>
      </c>
      <c r="C36" s="29" t="s">
        <v>1418</v>
      </c>
      <c r="D36" s="29" t="s">
        <v>515</v>
      </c>
      <c r="E36" s="29" t="s">
        <v>516</v>
      </c>
      <c r="F36" s="29" t="s">
        <v>88</v>
      </c>
      <c r="G36" s="29" t="s">
        <v>67</v>
      </c>
      <c r="H36" s="29" t="s">
        <v>1379</v>
      </c>
      <c r="I36" s="29" t="s">
        <v>1850</v>
      </c>
      <c r="J36" s="29" t="n">
        <v>0</v>
      </c>
      <c r="K36" s="29" t="n">
        <v>0</v>
      </c>
      <c r="L36" s="29" t="s">
        <v>1849</v>
      </c>
    </row>
    <row r="37" customFormat="false" ht="15" hidden="false" customHeight="false" outlineLevel="0" collapsed="false">
      <c r="A37" s="29" t="n">
        <v>141300</v>
      </c>
      <c r="B37" s="29" t="s">
        <v>1416</v>
      </c>
      <c r="C37" s="29" t="s">
        <v>1418</v>
      </c>
      <c r="D37" s="29" t="s">
        <v>523</v>
      </c>
      <c r="E37" s="29" t="s">
        <v>524</v>
      </c>
      <c r="F37" s="29" t="s">
        <v>88</v>
      </c>
      <c r="G37" s="29" t="s">
        <v>67</v>
      </c>
      <c r="H37" s="29" t="s">
        <v>1844</v>
      </c>
      <c r="I37" s="29" t="s">
        <v>1856</v>
      </c>
      <c r="J37" s="29" t="n">
        <v>0</v>
      </c>
      <c r="K37" s="29" t="n">
        <v>0</v>
      </c>
      <c r="L37" s="29" t="s">
        <v>1849</v>
      </c>
    </row>
    <row r="38" customFormat="false" ht="15" hidden="false" customHeight="false" outlineLevel="0" collapsed="false">
      <c r="A38" s="29" t="n">
        <v>141300</v>
      </c>
      <c r="B38" s="29" t="s">
        <v>1416</v>
      </c>
      <c r="C38" s="29" t="s">
        <v>1418</v>
      </c>
      <c r="D38" s="29" t="s">
        <v>530</v>
      </c>
      <c r="E38" s="29" t="s">
        <v>531</v>
      </c>
      <c r="F38" s="29" t="s">
        <v>88</v>
      </c>
      <c r="G38" s="29" t="s">
        <v>68</v>
      </c>
      <c r="H38" s="29" t="s">
        <v>1381</v>
      </c>
      <c r="I38" s="29" t="s">
        <v>1847</v>
      </c>
      <c r="J38" s="29" t="n">
        <v>0</v>
      </c>
      <c r="K38" s="29" t="n">
        <v>0</v>
      </c>
      <c r="L38" s="29" t="s">
        <v>1849</v>
      </c>
    </row>
    <row r="39" customFormat="false" ht="15" hidden="false" customHeight="false" outlineLevel="0" collapsed="false">
      <c r="A39" s="29" t="n">
        <v>141300</v>
      </c>
      <c r="B39" s="29" t="s">
        <v>1416</v>
      </c>
      <c r="C39" s="29" t="s">
        <v>1418</v>
      </c>
      <c r="D39" s="29" t="s">
        <v>536</v>
      </c>
      <c r="E39" s="29" t="s">
        <v>537</v>
      </c>
      <c r="F39" s="29" t="s">
        <v>88</v>
      </c>
      <c r="G39" s="29" t="s">
        <v>68</v>
      </c>
      <c r="H39" s="29" t="s">
        <v>1381</v>
      </c>
      <c r="I39" s="29" t="s">
        <v>1847</v>
      </c>
      <c r="J39" s="29" t="n">
        <v>0</v>
      </c>
      <c r="K39" s="29" t="n">
        <v>0</v>
      </c>
      <c r="L39" s="29" t="s">
        <v>1849</v>
      </c>
    </row>
    <row r="40" customFormat="false" ht="15" hidden="false" customHeight="false" outlineLevel="0" collapsed="false">
      <c r="A40" s="29" t="n">
        <v>141300</v>
      </c>
      <c r="B40" s="29" t="s">
        <v>1416</v>
      </c>
      <c r="C40" s="29" t="s">
        <v>1418</v>
      </c>
      <c r="D40" s="29" t="s">
        <v>543</v>
      </c>
      <c r="E40" s="29" t="s">
        <v>544</v>
      </c>
      <c r="F40" s="29" t="s">
        <v>88</v>
      </c>
      <c r="G40" s="29" t="s">
        <v>68</v>
      </c>
      <c r="H40" s="29" t="s">
        <v>1381</v>
      </c>
      <c r="I40" s="29" t="s">
        <v>1847</v>
      </c>
      <c r="J40" s="29" t="n">
        <v>0</v>
      </c>
      <c r="K40" s="29" t="n">
        <v>0</v>
      </c>
      <c r="L40" s="29" t="s">
        <v>1849</v>
      </c>
    </row>
    <row r="41" customFormat="false" ht="15" hidden="false" customHeight="false" outlineLevel="0" collapsed="false">
      <c r="A41" s="29" t="n">
        <v>141300</v>
      </c>
      <c r="B41" s="29" t="s">
        <v>1416</v>
      </c>
      <c r="C41" s="29" t="s">
        <v>1418</v>
      </c>
      <c r="D41" s="29" t="s">
        <v>551</v>
      </c>
      <c r="E41" s="29" t="s">
        <v>552</v>
      </c>
      <c r="F41" s="29" t="s">
        <v>88</v>
      </c>
      <c r="G41" s="29" t="s">
        <v>68</v>
      </c>
      <c r="H41" s="29" t="s">
        <v>1381</v>
      </c>
      <c r="I41" s="29" t="s">
        <v>1857</v>
      </c>
      <c r="J41" s="29" t="n">
        <v>0</v>
      </c>
      <c r="K41" s="29" t="n">
        <v>0</v>
      </c>
      <c r="L41" s="29" t="s">
        <v>1849</v>
      </c>
    </row>
    <row r="42" customFormat="false" ht="15" hidden="false" customHeight="false" outlineLevel="0" collapsed="false">
      <c r="A42" s="29" t="n">
        <v>141300</v>
      </c>
      <c r="B42" s="29" t="s">
        <v>1416</v>
      </c>
      <c r="C42" s="29" t="s">
        <v>1418</v>
      </c>
      <c r="D42" s="29" t="s">
        <v>558</v>
      </c>
      <c r="E42" s="29" t="s">
        <v>559</v>
      </c>
      <c r="F42" s="29" t="s">
        <v>88</v>
      </c>
      <c r="G42" s="29" t="s">
        <v>68</v>
      </c>
      <c r="H42" s="29" t="s">
        <v>1381</v>
      </c>
      <c r="I42" s="29" t="s">
        <v>1856</v>
      </c>
      <c r="J42" s="29" t="n">
        <v>0</v>
      </c>
      <c r="K42" s="29" t="n">
        <v>0</v>
      </c>
      <c r="L42" s="29" t="s">
        <v>1849</v>
      </c>
    </row>
    <row r="43" customFormat="false" ht="15" hidden="false" customHeight="false" outlineLevel="0" collapsed="false">
      <c r="A43" s="29" t="n">
        <v>141300</v>
      </c>
      <c r="B43" s="29" t="s">
        <v>1416</v>
      </c>
      <c r="C43" s="29" t="s">
        <v>1418</v>
      </c>
      <c r="D43" s="29" t="s">
        <v>565</v>
      </c>
      <c r="E43" s="29" t="s">
        <v>566</v>
      </c>
      <c r="F43" s="29" t="s">
        <v>88</v>
      </c>
      <c r="G43" s="29" t="s">
        <v>68</v>
      </c>
      <c r="H43" s="29" t="s">
        <v>1381</v>
      </c>
      <c r="I43" s="29" t="s">
        <v>1856</v>
      </c>
      <c r="J43" s="29" t="n">
        <v>0</v>
      </c>
      <c r="K43" s="29" t="n">
        <v>0</v>
      </c>
      <c r="L43" s="29" t="s">
        <v>1849</v>
      </c>
    </row>
    <row r="44" customFormat="false" ht="15" hidden="false" customHeight="false" outlineLevel="0" collapsed="false">
      <c r="A44" s="29" t="n">
        <v>141300</v>
      </c>
      <c r="B44" s="29" t="s">
        <v>1416</v>
      </c>
      <c r="C44" s="29" t="s">
        <v>1418</v>
      </c>
      <c r="D44" s="29" t="s">
        <v>572</v>
      </c>
      <c r="E44" s="29" t="s">
        <v>573</v>
      </c>
      <c r="F44" s="29" t="s">
        <v>88</v>
      </c>
      <c r="G44" s="29" t="s">
        <v>68</v>
      </c>
      <c r="H44" s="29" t="s">
        <v>1381</v>
      </c>
      <c r="I44" s="29" t="s">
        <v>1847</v>
      </c>
      <c r="J44" s="29" t="n">
        <v>0</v>
      </c>
      <c r="K44" s="29" t="n">
        <v>0</v>
      </c>
      <c r="L44" s="29" t="s">
        <v>1849</v>
      </c>
    </row>
    <row r="45" customFormat="false" ht="15" hidden="false" customHeight="false" outlineLevel="0" collapsed="false">
      <c r="A45" s="29" t="n">
        <v>141300</v>
      </c>
      <c r="B45" s="29" t="s">
        <v>1416</v>
      </c>
      <c r="C45" s="29" t="s">
        <v>1418</v>
      </c>
      <c r="D45" s="29" t="s">
        <v>581</v>
      </c>
      <c r="E45" s="29" t="s">
        <v>582</v>
      </c>
      <c r="F45" s="29" t="s">
        <v>93</v>
      </c>
      <c r="G45" s="29" t="s">
        <v>67</v>
      </c>
      <c r="H45" s="29" t="s">
        <v>1844</v>
      </c>
      <c r="I45" s="29" t="s">
        <v>1858</v>
      </c>
      <c r="J45" s="29" t="n">
        <v>0</v>
      </c>
      <c r="K45" s="29" t="n">
        <v>0</v>
      </c>
      <c r="L45" s="29" t="s">
        <v>1849</v>
      </c>
    </row>
    <row r="46" customFormat="false" ht="15" hidden="false" customHeight="false" outlineLevel="0" collapsed="false">
      <c r="A46" s="29" t="n">
        <v>141300</v>
      </c>
      <c r="B46" s="29" t="s">
        <v>1416</v>
      </c>
      <c r="C46" s="29" t="s">
        <v>1418</v>
      </c>
      <c r="D46" s="29" t="s">
        <v>590</v>
      </c>
      <c r="E46" s="29" t="s">
        <v>591</v>
      </c>
      <c r="F46" s="29" t="s">
        <v>93</v>
      </c>
      <c r="G46" s="29" t="s">
        <v>67</v>
      </c>
      <c r="H46" s="29" t="s">
        <v>1844</v>
      </c>
      <c r="I46" s="29" t="s">
        <v>1859</v>
      </c>
      <c r="J46" s="29" t="n">
        <v>0</v>
      </c>
      <c r="K46" s="29" t="n">
        <v>0</v>
      </c>
      <c r="L46" s="29" t="s">
        <v>1849</v>
      </c>
    </row>
    <row r="47" customFormat="false" ht="15" hidden="false" customHeight="false" outlineLevel="0" collapsed="false">
      <c r="A47" s="29" t="n">
        <v>141300</v>
      </c>
      <c r="B47" s="29" t="s">
        <v>1416</v>
      </c>
      <c r="C47" s="29" t="s">
        <v>1418</v>
      </c>
      <c r="D47" s="29" t="s">
        <v>597</v>
      </c>
      <c r="E47" s="29" t="s">
        <v>598</v>
      </c>
      <c r="F47" s="29" t="s">
        <v>93</v>
      </c>
      <c r="G47" s="29" t="s">
        <v>67</v>
      </c>
      <c r="H47" s="29" t="s">
        <v>1844</v>
      </c>
      <c r="I47" s="29" t="s">
        <v>1859</v>
      </c>
      <c r="J47" s="29" t="n">
        <v>0</v>
      </c>
      <c r="K47" s="29" t="n">
        <v>0</v>
      </c>
      <c r="L47" s="29" t="s">
        <v>1849</v>
      </c>
    </row>
    <row r="48" customFormat="false" ht="15" hidden="false" customHeight="false" outlineLevel="0" collapsed="false">
      <c r="A48" s="29" t="n">
        <v>141300</v>
      </c>
      <c r="B48" s="29" t="s">
        <v>1416</v>
      </c>
      <c r="C48" s="29" t="s">
        <v>1418</v>
      </c>
      <c r="D48" s="29" t="s">
        <v>604</v>
      </c>
      <c r="E48" s="29" t="s">
        <v>605</v>
      </c>
      <c r="F48" s="29" t="s">
        <v>93</v>
      </c>
      <c r="G48" s="29" t="s">
        <v>68</v>
      </c>
      <c r="H48" s="29" t="s">
        <v>1381</v>
      </c>
      <c r="I48" s="29" t="s">
        <v>1859</v>
      </c>
      <c r="J48" s="29" t="n">
        <v>0</v>
      </c>
      <c r="K48" s="29" t="n">
        <v>0</v>
      </c>
      <c r="L48" s="29" t="s">
        <v>1849</v>
      </c>
    </row>
    <row r="49" customFormat="false" ht="15" hidden="false" customHeight="false" outlineLevel="0" collapsed="false">
      <c r="A49" s="29" t="n">
        <v>141300</v>
      </c>
      <c r="B49" s="29" t="s">
        <v>1416</v>
      </c>
      <c r="C49" s="29" t="s">
        <v>1418</v>
      </c>
      <c r="D49" s="29" t="s">
        <v>612</v>
      </c>
      <c r="E49" s="29" t="s">
        <v>613</v>
      </c>
      <c r="F49" s="29" t="s">
        <v>93</v>
      </c>
      <c r="G49" s="29" t="s">
        <v>68</v>
      </c>
      <c r="H49" s="29" t="s">
        <v>1381</v>
      </c>
      <c r="I49" s="29" t="s">
        <v>1859</v>
      </c>
      <c r="J49" s="29" t="n">
        <v>0</v>
      </c>
      <c r="K49" s="29" t="n">
        <v>0</v>
      </c>
      <c r="L49" s="29" t="s">
        <v>1849</v>
      </c>
    </row>
    <row r="50" customFormat="false" ht="15" hidden="false" customHeight="false" outlineLevel="0" collapsed="false">
      <c r="A50" s="29" t="n">
        <v>141300</v>
      </c>
      <c r="B50" s="29" t="s">
        <v>1416</v>
      </c>
      <c r="C50" s="29" t="s">
        <v>1418</v>
      </c>
      <c r="D50" s="29" t="s">
        <v>618</v>
      </c>
      <c r="E50" s="29" t="s">
        <v>619</v>
      </c>
      <c r="F50" s="29" t="s">
        <v>93</v>
      </c>
      <c r="G50" s="29" t="s">
        <v>68</v>
      </c>
      <c r="H50" s="29" t="s">
        <v>1381</v>
      </c>
      <c r="I50" s="29" t="s">
        <v>1859</v>
      </c>
      <c r="J50" s="29" t="n">
        <v>0</v>
      </c>
      <c r="K50" s="29" t="n">
        <v>0</v>
      </c>
      <c r="L50" s="29" t="s">
        <v>1849</v>
      </c>
    </row>
    <row r="51" customFormat="false" ht="15" hidden="false" customHeight="false" outlineLevel="0" collapsed="false">
      <c r="A51" s="29" t="n">
        <v>141300</v>
      </c>
      <c r="B51" s="29" t="s">
        <v>1416</v>
      </c>
      <c r="C51" s="29" t="s">
        <v>1418</v>
      </c>
      <c r="D51" s="29" t="s">
        <v>627</v>
      </c>
      <c r="E51" s="29" t="s">
        <v>628</v>
      </c>
      <c r="F51" s="29" t="s">
        <v>93</v>
      </c>
      <c r="G51" s="29" t="s">
        <v>68</v>
      </c>
      <c r="H51" s="29" t="s">
        <v>1381</v>
      </c>
      <c r="I51" s="29" t="s">
        <v>1858</v>
      </c>
      <c r="J51" s="29" t="n">
        <v>0</v>
      </c>
      <c r="K51" s="29" t="n">
        <v>0</v>
      </c>
      <c r="L51" s="29" t="s">
        <v>1849</v>
      </c>
    </row>
    <row r="52" customFormat="false" ht="15" hidden="false" customHeight="false" outlineLevel="0" collapsed="false">
      <c r="A52" s="29" t="n">
        <v>141300</v>
      </c>
      <c r="B52" s="29" t="s">
        <v>1416</v>
      </c>
      <c r="C52" s="29" t="s">
        <v>1418</v>
      </c>
      <c r="D52" s="29" t="s">
        <v>636</v>
      </c>
      <c r="E52" s="29" t="s">
        <v>637</v>
      </c>
      <c r="F52" s="29" t="s">
        <v>93</v>
      </c>
      <c r="G52" s="29" t="s">
        <v>68</v>
      </c>
      <c r="H52" s="29" t="s">
        <v>1381</v>
      </c>
      <c r="I52" s="29" t="s">
        <v>1858</v>
      </c>
      <c r="J52" s="29" t="n">
        <v>0</v>
      </c>
      <c r="K52" s="29" t="n">
        <v>0</v>
      </c>
      <c r="L52" s="29" t="s">
        <v>1849</v>
      </c>
    </row>
    <row r="53" customFormat="false" ht="15" hidden="false" customHeight="false" outlineLevel="0" collapsed="false">
      <c r="A53" s="29" t="n">
        <v>141300</v>
      </c>
      <c r="B53" s="29" t="s">
        <v>1416</v>
      </c>
      <c r="C53" s="29" t="s">
        <v>1418</v>
      </c>
      <c r="D53" s="29" t="s">
        <v>668</v>
      </c>
      <c r="E53" s="29" t="s">
        <v>669</v>
      </c>
      <c r="F53" s="29" t="s">
        <v>105</v>
      </c>
      <c r="G53" s="29" t="s">
        <v>66</v>
      </c>
      <c r="H53" s="29" t="s">
        <v>1379</v>
      </c>
      <c r="I53" s="29" t="s">
        <v>1854</v>
      </c>
      <c r="J53" s="29" t="n">
        <v>0</v>
      </c>
      <c r="K53" s="29" t="n">
        <v>0</v>
      </c>
      <c r="L53" s="29" t="s">
        <v>1849</v>
      </c>
    </row>
    <row r="54" customFormat="false" ht="15" hidden="false" customHeight="false" outlineLevel="0" collapsed="false">
      <c r="A54" s="29" t="n">
        <v>141300</v>
      </c>
      <c r="B54" s="29" t="s">
        <v>1416</v>
      </c>
      <c r="C54" s="29" t="s">
        <v>1418</v>
      </c>
      <c r="D54" s="29" t="s">
        <v>680</v>
      </c>
      <c r="E54" s="29" t="s">
        <v>681</v>
      </c>
      <c r="F54" s="29" t="s">
        <v>105</v>
      </c>
      <c r="G54" s="29" t="s">
        <v>66</v>
      </c>
      <c r="H54" s="29" t="s">
        <v>1379</v>
      </c>
      <c r="I54" s="29" t="s">
        <v>1854</v>
      </c>
      <c r="J54" s="29" t="n">
        <v>0</v>
      </c>
      <c r="K54" s="29" t="n">
        <v>0</v>
      </c>
      <c r="L54" s="29" t="s">
        <v>1849</v>
      </c>
    </row>
    <row r="55" customFormat="false" ht="15" hidden="false" customHeight="false" outlineLevel="0" collapsed="false">
      <c r="A55" s="29" t="n">
        <v>141300</v>
      </c>
      <c r="B55" s="29" t="s">
        <v>1416</v>
      </c>
      <c r="C55" s="29" t="s">
        <v>1418</v>
      </c>
      <c r="D55" s="29" t="s">
        <v>711</v>
      </c>
      <c r="E55" s="29" t="s">
        <v>712</v>
      </c>
      <c r="F55" s="29" t="s">
        <v>116</v>
      </c>
      <c r="G55" s="29" t="s">
        <v>66</v>
      </c>
      <c r="H55" s="29" t="s">
        <v>1379</v>
      </c>
      <c r="I55" s="29" t="s">
        <v>1854</v>
      </c>
      <c r="J55" s="29" t="n">
        <v>0</v>
      </c>
      <c r="K55" s="29" t="n">
        <v>0</v>
      </c>
      <c r="L55" s="29" t="s">
        <v>1849</v>
      </c>
    </row>
    <row r="56" customFormat="false" ht="15" hidden="false" customHeight="false" outlineLevel="0" collapsed="false">
      <c r="A56" s="29" t="n">
        <v>141300</v>
      </c>
      <c r="B56" s="29" t="s">
        <v>1416</v>
      </c>
      <c r="C56" s="29" t="s">
        <v>1418</v>
      </c>
      <c r="D56" s="29" t="s">
        <v>721</v>
      </c>
      <c r="E56" s="29" t="s">
        <v>722</v>
      </c>
      <c r="F56" s="29" t="s">
        <v>116</v>
      </c>
      <c r="G56" s="29" t="s">
        <v>66</v>
      </c>
      <c r="H56" s="29" t="s">
        <v>1379</v>
      </c>
      <c r="I56" s="29" t="s">
        <v>1854</v>
      </c>
      <c r="J56" s="29" t="n">
        <v>0</v>
      </c>
      <c r="K56" s="29" t="n">
        <v>0</v>
      </c>
      <c r="L56" s="29" t="s">
        <v>1849</v>
      </c>
    </row>
    <row r="57" customFormat="false" ht="15" hidden="false" customHeight="false" outlineLevel="0" collapsed="false">
      <c r="A57" s="29" t="n">
        <v>141300</v>
      </c>
      <c r="B57" s="29" t="s">
        <v>1416</v>
      </c>
      <c r="C57" s="29" t="s">
        <v>1418</v>
      </c>
      <c r="D57" s="29" t="s">
        <v>745</v>
      </c>
      <c r="E57" s="29" t="s">
        <v>746</v>
      </c>
      <c r="F57" s="29" t="s">
        <v>116</v>
      </c>
      <c r="G57" s="29" t="s">
        <v>67</v>
      </c>
      <c r="H57" s="29" t="s">
        <v>1844</v>
      </c>
      <c r="I57" s="29" t="s">
        <v>1860</v>
      </c>
      <c r="J57" s="29" t="n">
        <v>0</v>
      </c>
      <c r="K57" s="29" t="n">
        <v>0</v>
      </c>
      <c r="L57" s="29" t="s">
        <v>1849</v>
      </c>
    </row>
    <row r="58" customFormat="false" ht="15" hidden="false" customHeight="false" outlineLevel="0" collapsed="false">
      <c r="A58" s="29" t="n">
        <v>141300</v>
      </c>
      <c r="B58" s="29" t="s">
        <v>1416</v>
      </c>
      <c r="C58" s="29" t="s">
        <v>1418</v>
      </c>
      <c r="D58" s="29" t="s">
        <v>753</v>
      </c>
      <c r="E58" s="29" t="s">
        <v>754</v>
      </c>
      <c r="F58" s="29" t="s">
        <v>116</v>
      </c>
      <c r="G58" s="29" t="s">
        <v>68</v>
      </c>
      <c r="H58" s="29" t="s">
        <v>1381</v>
      </c>
      <c r="I58" s="29" t="s">
        <v>1860</v>
      </c>
      <c r="J58" s="29" t="n">
        <v>0</v>
      </c>
      <c r="K58" s="29" t="n">
        <v>0</v>
      </c>
      <c r="L58" s="29" t="s">
        <v>1849</v>
      </c>
    </row>
    <row r="59" customFormat="false" ht="15" hidden="false" customHeight="false" outlineLevel="0" collapsed="false">
      <c r="A59" s="29" t="n">
        <v>140915</v>
      </c>
      <c r="B59" s="29" t="s">
        <v>1428</v>
      </c>
      <c r="C59" s="29" t="s">
        <v>1429</v>
      </c>
      <c r="D59" s="29" t="s">
        <v>247</v>
      </c>
      <c r="E59" s="29" t="s">
        <v>248</v>
      </c>
      <c r="F59" s="29" t="s">
        <v>69</v>
      </c>
      <c r="G59" s="29" t="s">
        <v>67</v>
      </c>
      <c r="H59" s="29" t="s">
        <v>1844</v>
      </c>
      <c r="I59" s="29" t="s">
        <v>1848</v>
      </c>
      <c r="J59" s="29" t="n">
        <v>0</v>
      </c>
      <c r="K59" s="29" t="n">
        <v>0</v>
      </c>
      <c r="L59" s="29" t="s">
        <v>1849</v>
      </c>
    </row>
    <row r="60" customFormat="false" ht="15" hidden="false" customHeight="false" outlineLevel="0" collapsed="false">
      <c r="A60" s="29" t="n">
        <v>140915</v>
      </c>
      <c r="B60" s="29" t="s">
        <v>1428</v>
      </c>
      <c r="C60" s="29" t="s">
        <v>1429</v>
      </c>
      <c r="D60" s="29" t="s">
        <v>297</v>
      </c>
      <c r="E60" s="29" t="s">
        <v>298</v>
      </c>
      <c r="F60" s="29" t="s">
        <v>69</v>
      </c>
      <c r="G60" s="29" t="s">
        <v>68</v>
      </c>
      <c r="H60" s="29" t="s">
        <v>1381</v>
      </c>
      <c r="I60" s="29" t="s">
        <v>1848</v>
      </c>
      <c r="J60" s="29" t="n">
        <v>0</v>
      </c>
      <c r="K60" s="29" t="n">
        <v>0</v>
      </c>
      <c r="L60" s="29" t="s">
        <v>1849</v>
      </c>
    </row>
    <row r="61" customFormat="false" ht="15" hidden="false" customHeight="false" outlineLevel="0" collapsed="false">
      <c r="A61" s="29" t="n">
        <v>140915</v>
      </c>
      <c r="B61" s="29" t="s">
        <v>1428</v>
      </c>
      <c r="C61" s="29" t="s">
        <v>1429</v>
      </c>
      <c r="D61" s="29" t="s">
        <v>433</v>
      </c>
      <c r="E61" s="29" t="s">
        <v>434</v>
      </c>
      <c r="F61" s="29" t="s">
        <v>82</v>
      </c>
      <c r="G61" s="29" t="s">
        <v>66</v>
      </c>
      <c r="H61" s="29" t="s">
        <v>1379</v>
      </c>
      <c r="I61" s="29" t="s">
        <v>1861</v>
      </c>
      <c r="J61" s="29" t="n">
        <v>0</v>
      </c>
      <c r="K61" s="29" t="n">
        <v>0</v>
      </c>
      <c r="L61" s="29" t="s">
        <v>1849</v>
      </c>
    </row>
    <row r="62" customFormat="false" ht="15" hidden="false" customHeight="false" outlineLevel="0" collapsed="false">
      <c r="A62" s="29" t="n">
        <v>140915</v>
      </c>
      <c r="B62" s="29" t="s">
        <v>1428</v>
      </c>
      <c r="C62" s="29" t="s">
        <v>1429</v>
      </c>
      <c r="D62" s="29" t="s">
        <v>443</v>
      </c>
      <c r="E62" s="29" t="s">
        <v>444</v>
      </c>
      <c r="F62" s="29" t="s">
        <v>82</v>
      </c>
      <c r="G62" s="29" t="s">
        <v>67</v>
      </c>
      <c r="H62" s="29" t="s">
        <v>1379</v>
      </c>
      <c r="I62" s="29" t="s">
        <v>1861</v>
      </c>
      <c r="J62" s="29" t="n">
        <v>0</v>
      </c>
      <c r="K62" s="29" t="n">
        <v>0</v>
      </c>
      <c r="L62" s="29" t="s">
        <v>1849</v>
      </c>
    </row>
    <row r="63" customFormat="false" ht="15" hidden="false" customHeight="false" outlineLevel="0" collapsed="false">
      <c r="A63" s="29" t="n">
        <v>140915</v>
      </c>
      <c r="B63" s="29" t="s">
        <v>1428</v>
      </c>
      <c r="C63" s="29" t="s">
        <v>1429</v>
      </c>
      <c r="D63" s="29" t="s">
        <v>472</v>
      </c>
      <c r="E63" s="29" t="s">
        <v>473</v>
      </c>
      <c r="F63" s="29" t="s">
        <v>82</v>
      </c>
      <c r="G63" s="29" t="s">
        <v>67</v>
      </c>
      <c r="H63" s="29" t="s">
        <v>1379</v>
      </c>
      <c r="I63" s="29" t="s">
        <v>1861</v>
      </c>
      <c r="J63" s="29" t="n">
        <v>0</v>
      </c>
      <c r="K63" s="29" t="n">
        <v>0</v>
      </c>
      <c r="L63" s="29" t="s">
        <v>1849</v>
      </c>
    </row>
    <row r="64" customFormat="false" ht="15" hidden="false" customHeight="false" outlineLevel="0" collapsed="false">
      <c r="A64" s="29" t="n">
        <v>140915</v>
      </c>
      <c r="B64" s="29" t="s">
        <v>1428</v>
      </c>
      <c r="C64" s="29" t="s">
        <v>1429</v>
      </c>
      <c r="D64" s="29" t="s">
        <v>477</v>
      </c>
      <c r="E64" s="29" t="s">
        <v>478</v>
      </c>
      <c r="F64" s="29" t="s">
        <v>82</v>
      </c>
      <c r="G64" s="29" t="s">
        <v>67</v>
      </c>
      <c r="H64" s="29" t="s">
        <v>1379</v>
      </c>
      <c r="I64" s="29" t="s">
        <v>1861</v>
      </c>
      <c r="J64" s="29" t="n">
        <v>0</v>
      </c>
      <c r="K64" s="29" t="n">
        <v>0</v>
      </c>
      <c r="L64" s="29" t="s">
        <v>1849</v>
      </c>
    </row>
    <row r="65" customFormat="false" ht="15" hidden="false" customHeight="false" outlineLevel="0" collapsed="false">
      <c r="A65" s="29" t="n">
        <v>140915</v>
      </c>
      <c r="B65" s="29" t="s">
        <v>1428</v>
      </c>
      <c r="C65" s="29" t="s">
        <v>1429</v>
      </c>
      <c r="D65" s="29" t="s">
        <v>486</v>
      </c>
      <c r="E65" s="29" t="s">
        <v>487</v>
      </c>
      <c r="F65" s="29" t="s">
        <v>82</v>
      </c>
      <c r="G65" s="29" t="s">
        <v>67</v>
      </c>
      <c r="H65" s="29" t="s">
        <v>1844</v>
      </c>
      <c r="I65" s="29" t="s">
        <v>1862</v>
      </c>
      <c r="J65" s="29" t="n">
        <v>0</v>
      </c>
      <c r="K65" s="29" t="n">
        <v>0</v>
      </c>
      <c r="L65" s="29" t="s">
        <v>1849</v>
      </c>
    </row>
    <row r="66" customFormat="false" ht="15" hidden="false" customHeight="false" outlineLevel="0" collapsed="false">
      <c r="A66" s="29" t="n">
        <v>140915</v>
      </c>
      <c r="B66" s="29" t="s">
        <v>1428</v>
      </c>
      <c r="C66" s="29" t="s">
        <v>1429</v>
      </c>
      <c r="D66" s="29" t="s">
        <v>500</v>
      </c>
      <c r="E66" s="29" t="s">
        <v>501</v>
      </c>
      <c r="F66" s="29" t="s">
        <v>82</v>
      </c>
      <c r="G66" s="29" t="s">
        <v>68</v>
      </c>
      <c r="H66" s="29" t="s">
        <v>1381</v>
      </c>
      <c r="I66" s="29" t="s">
        <v>1862</v>
      </c>
      <c r="J66" s="29" t="n">
        <v>0</v>
      </c>
      <c r="K66" s="29" t="n">
        <v>0</v>
      </c>
      <c r="L66" s="29" t="s">
        <v>1849</v>
      </c>
    </row>
    <row r="67" customFormat="false" ht="15" hidden="false" customHeight="false" outlineLevel="0" collapsed="false">
      <c r="A67" s="29" t="n">
        <v>140915</v>
      </c>
      <c r="B67" s="29" t="s">
        <v>1428</v>
      </c>
      <c r="C67" s="29" t="s">
        <v>1429</v>
      </c>
      <c r="D67" s="29" t="s">
        <v>590</v>
      </c>
      <c r="E67" s="29" t="s">
        <v>591</v>
      </c>
      <c r="F67" s="29" t="s">
        <v>93</v>
      </c>
      <c r="G67" s="29" t="s">
        <v>67</v>
      </c>
      <c r="H67" s="29" t="s">
        <v>1844</v>
      </c>
      <c r="I67" s="29" t="s">
        <v>1859</v>
      </c>
      <c r="J67" s="29" t="n">
        <v>0</v>
      </c>
      <c r="K67" s="29" t="n">
        <v>0</v>
      </c>
      <c r="L67" s="29" t="s">
        <v>1849</v>
      </c>
    </row>
    <row r="68" customFormat="false" ht="15" hidden="false" customHeight="false" outlineLevel="0" collapsed="false">
      <c r="A68" s="29" t="n">
        <v>140915</v>
      </c>
      <c r="B68" s="29" t="s">
        <v>1428</v>
      </c>
      <c r="C68" s="29" t="s">
        <v>1429</v>
      </c>
      <c r="D68" s="29" t="s">
        <v>597</v>
      </c>
      <c r="E68" s="29" t="s">
        <v>598</v>
      </c>
      <c r="F68" s="29" t="s">
        <v>93</v>
      </c>
      <c r="G68" s="29" t="s">
        <v>67</v>
      </c>
      <c r="H68" s="29" t="s">
        <v>1844</v>
      </c>
      <c r="I68" s="29" t="s">
        <v>1859</v>
      </c>
      <c r="J68" s="29" t="n">
        <v>0</v>
      </c>
      <c r="K68" s="29" t="n">
        <v>0</v>
      </c>
      <c r="L68" s="29" t="s">
        <v>1849</v>
      </c>
    </row>
    <row r="69" customFormat="false" ht="15" hidden="false" customHeight="false" outlineLevel="0" collapsed="false">
      <c r="A69" s="29" t="n">
        <v>140915</v>
      </c>
      <c r="B69" s="29" t="s">
        <v>1428</v>
      </c>
      <c r="C69" s="29" t="s">
        <v>1429</v>
      </c>
      <c r="D69" s="29" t="s">
        <v>604</v>
      </c>
      <c r="E69" s="29" t="s">
        <v>605</v>
      </c>
      <c r="F69" s="29" t="s">
        <v>93</v>
      </c>
      <c r="G69" s="29" t="s">
        <v>68</v>
      </c>
      <c r="H69" s="29" t="s">
        <v>1381</v>
      </c>
      <c r="I69" s="29" t="s">
        <v>1859</v>
      </c>
      <c r="J69" s="29" t="n">
        <v>0</v>
      </c>
      <c r="K69" s="29" t="n">
        <v>0</v>
      </c>
      <c r="L69" s="29" t="s">
        <v>1849</v>
      </c>
    </row>
    <row r="70" customFormat="false" ht="15" hidden="false" customHeight="false" outlineLevel="0" collapsed="false">
      <c r="A70" s="29" t="n">
        <v>140915</v>
      </c>
      <c r="B70" s="29" t="s">
        <v>1428</v>
      </c>
      <c r="C70" s="29" t="s">
        <v>1429</v>
      </c>
      <c r="D70" s="29" t="s">
        <v>612</v>
      </c>
      <c r="E70" s="29" t="s">
        <v>613</v>
      </c>
      <c r="F70" s="29" t="s">
        <v>93</v>
      </c>
      <c r="G70" s="29" t="s">
        <v>68</v>
      </c>
      <c r="H70" s="29" t="s">
        <v>1381</v>
      </c>
      <c r="I70" s="29" t="s">
        <v>1859</v>
      </c>
      <c r="J70" s="29" t="n">
        <v>0</v>
      </c>
      <c r="K70" s="29" t="n">
        <v>0</v>
      </c>
      <c r="L70" s="29" t="s">
        <v>1849</v>
      </c>
    </row>
    <row r="71" customFormat="false" ht="15" hidden="false" customHeight="false" outlineLevel="0" collapsed="false">
      <c r="A71" s="29" t="n">
        <v>140915</v>
      </c>
      <c r="B71" s="29" t="s">
        <v>1428</v>
      </c>
      <c r="C71" s="29" t="s">
        <v>1429</v>
      </c>
      <c r="D71" s="29" t="s">
        <v>618</v>
      </c>
      <c r="E71" s="29" t="s">
        <v>619</v>
      </c>
      <c r="F71" s="29" t="s">
        <v>93</v>
      </c>
      <c r="G71" s="29" t="s">
        <v>68</v>
      </c>
      <c r="H71" s="29" t="s">
        <v>1381</v>
      </c>
      <c r="I71" s="29" t="s">
        <v>1859</v>
      </c>
      <c r="J71" s="29" t="n">
        <v>0</v>
      </c>
      <c r="K71" s="29" t="n">
        <v>0</v>
      </c>
      <c r="L71" s="29" t="s">
        <v>1849</v>
      </c>
    </row>
    <row r="72" customFormat="false" ht="15" hidden="false" customHeight="false" outlineLevel="0" collapsed="false">
      <c r="A72" s="29" t="n">
        <v>140915</v>
      </c>
      <c r="B72" s="29" t="s">
        <v>1428</v>
      </c>
      <c r="C72" s="29" t="s">
        <v>1429</v>
      </c>
      <c r="D72" s="29" t="s">
        <v>668</v>
      </c>
      <c r="E72" s="29" t="s">
        <v>669</v>
      </c>
      <c r="F72" s="29" t="s">
        <v>105</v>
      </c>
      <c r="G72" s="29" t="s">
        <v>66</v>
      </c>
      <c r="H72" s="29" t="s">
        <v>1379</v>
      </c>
      <c r="I72" s="29" t="s">
        <v>1861</v>
      </c>
      <c r="J72" s="29" t="n">
        <v>0</v>
      </c>
      <c r="K72" s="29" t="n">
        <v>0</v>
      </c>
      <c r="L72" s="29" t="s">
        <v>1849</v>
      </c>
    </row>
    <row r="73" customFormat="false" ht="15" hidden="false" customHeight="false" outlineLevel="0" collapsed="false">
      <c r="A73" s="29" t="n">
        <v>140915</v>
      </c>
      <c r="B73" s="29" t="s">
        <v>1428</v>
      </c>
      <c r="C73" s="29" t="s">
        <v>1429</v>
      </c>
      <c r="D73" s="29" t="s">
        <v>680</v>
      </c>
      <c r="E73" s="29" t="s">
        <v>681</v>
      </c>
      <c r="F73" s="29" t="s">
        <v>105</v>
      </c>
      <c r="G73" s="29" t="s">
        <v>66</v>
      </c>
      <c r="H73" s="29" t="s">
        <v>1379</v>
      </c>
      <c r="I73" s="29" t="s">
        <v>1861</v>
      </c>
      <c r="J73" s="29" t="n">
        <v>0</v>
      </c>
      <c r="K73" s="29" t="n">
        <v>0</v>
      </c>
      <c r="L73" s="29" t="s">
        <v>1849</v>
      </c>
    </row>
    <row r="74" customFormat="false" ht="15" hidden="false" customHeight="false" outlineLevel="0" collapsed="false">
      <c r="A74" s="29" t="n">
        <v>140915</v>
      </c>
      <c r="B74" s="29" t="s">
        <v>1428</v>
      </c>
      <c r="C74" s="29" t="s">
        <v>1429</v>
      </c>
      <c r="D74" s="29" t="s">
        <v>711</v>
      </c>
      <c r="E74" s="29" t="s">
        <v>712</v>
      </c>
      <c r="F74" s="29" t="s">
        <v>116</v>
      </c>
      <c r="G74" s="29" t="s">
        <v>66</v>
      </c>
      <c r="H74" s="29" t="s">
        <v>1379</v>
      </c>
      <c r="I74" s="29" t="s">
        <v>1861</v>
      </c>
      <c r="J74" s="29" t="n">
        <v>0</v>
      </c>
      <c r="K74" s="29" t="n">
        <v>0</v>
      </c>
      <c r="L74" s="29" t="s">
        <v>1849</v>
      </c>
    </row>
    <row r="75" customFormat="false" ht="15" hidden="false" customHeight="false" outlineLevel="0" collapsed="false">
      <c r="A75" s="29" t="n">
        <v>140915</v>
      </c>
      <c r="B75" s="29" t="s">
        <v>1428</v>
      </c>
      <c r="C75" s="29" t="s">
        <v>1429</v>
      </c>
      <c r="D75" s="29" t="s">
        <v>721</v>
      </c>
      <c r="E75" s="29" t="s">
        <v>722</v>
      </c>
      <c r="F75" s="29" t="s">
        <v>116</v>
      </c>
      <c r="G75" s="29" t="s">
        <v>66</v>
      </c>
      <c r="H75" s="29" t="s">
        <v>1379</v>
      </c>
      <c r="I75" s="29" t="s">
        <v>1861</v>
      </c>
      <c r="J75" s="29" t="n">
        <v>0</v>
      </c>
      <c r="K75" s="29" t="n">
        <v>0</v>
      </c>
      <c r="L75" s="29" t="s">
        <v>1849</v>
      </c>
    </row>
    <row r="76" customFormat="false" ht="15" hidden="false" customHeight="false" outlineLevel="0" collapsed="false">
      <c r="A76" s="29" t="n">
        <v>140915</v>
      </c>
      <c r="B76" s="29" t="s">
        <v>1428</v>
      </c>
      <c r="C76" s="29" t="s">
        <v>1429</v>
      </c>
      <c r="D76" s="29" t="s">
        <v>745</v>
      </c>
      <c r="E76" s="29" t="s">
        <v>746</v>
      </c>
      <c r="F76" s="29" t="s">
        <v>116</v>
      </c>
      <c r="G76" s="29" t="s">
        <v>67</v>
      </c>
      <c r="H76" s="29" t="s">
        <v>1844</v>
      </c>
      <c r="I76" s="29" t="s">
        <v>1860</v>
      </c>
      <c r="J76" s="29" t="n">
        <v>0</v>
      </c>
      <c r="K76" s="29" t="n">
        <v>0</v>
      </c>
      <c r="L76" s="29" t="s">
        <v>1849</v>
      </c>
    </row>
    <row r="77" customFormat="false" ht="15" hidden="false" customHeight="false" outlineLevel="0" collapsed="false">
      <c r="A77" s="29" t="n">
        <v>140915</v>
      </c>
      <c r="B77" s="29" t="s">
        <v>1428</v>
      </c>
      <c r="C77" s="29" t="s">
        <v>1429</v>
      </c>
      <c r="D77" s="29" t="s">
        <v>753</v>
      </c>
      <c r="E77" s="29" t="s">
        <v>754</v>
      </c>
      <c r="F77" s="29" t="s">
        <v>116</v>
      </c>
      <c r="G77" s="29" t="s">
        <v>68</v>
      </c>
      <c r="H77" s="29" t="s">
        <v>1381</v>
      </c>
      <c r="I77" s="29" t="s">
        <v>1860</v>
      </c>
      <c r="J77" s="29" t="n">
        <v>0</v>
      </c>
      <c r="K77" s="29" t="n">
        <v>0</v>
      </c>
      <c r="L77" s="29" t="s">
        <v>1849</v>
      </c>
    </row>
    <row r="78" customFormat="false" ht="15" hidden="false" customHeight="false" outlineLevel="0" collapsed="false">
      <c r="A78" s="29" t="n">
        <v>141297</v>
      </c>
      <c r="B78" s="29" t="s">
        <v>1436</v>
      </c>
      <c r="C78" s="29" t="s">
        <v>1437</v>
      </c>
      <c r="D78" s="29" t="s">
        <v>247</v>
      </c>
      <c r="E78" s="29" t="s">
        <v>248</v>
      </c>
      <c r="F78" s="29" t="s">
        <v>69</v>
      </c>
      <c r="G78" s="29" t="s">
        <v>67</v>
      </c>
      <c r="H78" s="29" t="s">
        <v>1844</v>
      </c>
      <c r="I78" s="29" t="s">
        <v>1848</v>
      </c>
      <c r="J78" s="29" t="n">
        <v>0</v>
      </c>
      <c r="K78" s="29" t="n">
        <v>0</v>
      </c>
      <c r="L78" s="29" t="s">
        <v>1849</v>
      </c>
    </row>
    <row r="79" customFormat="false" ht="15" hidden="false" customHeight="false" outlineLevel="0" collapsed="false">
      <c r="A79" s="29" t="n">
        <v>141297</v>
      </c>
      <c r="B79" s="29" t="s">
        <v>1436</v>
      </c>
      <c r="C79" s="29" t="s">
        <v>1437</v>
      </c>
      <c r="D79" s="29" t="s">
        <v>265</v>
      </c>
      <c r="E79" s="29" t="s">
        <v>266</v>
      </c>
      <c r="F79" s="29" t="s">
        <v>69</v>
      </c>
      <c r="G79" s="29" t="s">
        <v>67</v>
      </c>
      <c r="H79" s="29" t="s">
        <v>1379</v>
      </c>
      <c r="I79" s="29" t="s">
        <v>1863</v>
      </c>
      <c r="J79" s="29" t="n">
        <v>0</v>
      </c>
      <c r="K79" s="29" t="n">
        <v>0</v>
      </c>
      <c r="L79" s="29" t="s">
        <v>1849</v>
      </c>
    </row>
    <row r="80" customFormat="false" ht="15" hidden="false" customHeight="false" outlineLevel="0" collapsed="false">
      <c r="A80" s="29" t="n">
        <v>141297</v>
      </c>
      <c r="B80" s="29" t="s">
        <v>1436</v>
      </c>
      <c r="C80" s="29" t="s">
        <v>1437</v>
      </c>
      <c r="D80" s="29" t="s">
        <v>285</v>
      </c>
      <c r="E80" s="29" t="s">
        <v>286</v>
      </c>
      <c r="F80" s="29" t="s">
        <v>69</v>
      </c>
      <c r="G80" s="29" t="s">
        <v>68</v>
      </c>
      <c r="H80" s="29" t="s">
        <v>1381</v>
      </c>
      <c r="I80" s="29" t="s">
        <v>1864</v>
      </c>
      <c r="J80" s="29" t="n">
        <v>0</v>
      </c>
      <c r="K80" s="29" t="n">
        <v>0</v>
      </c>
      <c r="L80" s="29" t="s">
        <v>1849</v>
      </c>
    </row>
    <row r="81" customFormat="false" ht="15" hidden="false" customHeight="false" outlineLevel="0" collapsed="false">
      <c r="A81" s="29" t="n">
        <v>141297</v>
      </c>
      <c r="B81" s="29" t="s">
        <v>1436</v>
      </c>
      <c r="C81" s="29" t="s">
        <v>1437</v>
      </c>
      <c r="D81" s="29" t="s">
        <v>291</v>
      </c>
      <c r="E81" s="29" t="s">
        <v>292</v>
      </c>
      <c r="F81" s="29" t="s">
        <v>69</v>
      </c>
      <c r="G81" s="29" t="s">
        <v>68</v>
      </c>
      <c r="H81" s="29" t="s">
        <v>1381</v>
      </c>
      <c r="I81" s="29" t="s">
        <v>1865</v>
      </c>
      <c r="J81" s="29" t="n">
        <v>0</v>
      </c>
      <c r="K81" s="29" t="n">
        <v>0</v>
      </c>
      <c r="L81" s="29" t="s">
        <v>1849</v>
      </c>
    </row>
    <row r="82" customFormat="false" ht="15" hidden="false" customHeight="false" outlineLevel="0" collapsed="false">
      <c r="A82" s="29" t="n">
        <v>141297</v>
      </c>
      <c r="B82" s="29" t="s">
        <v>1436</v>
      </c>
      <c r="C82" s="29" t="s">
        <v>1437</v>
      </c>
      <c r="D82" s="29" t="s">
        <v>297</v>
      </c>
      <c r="E82" s="29" t="s">
        <v>298</v>
      </c>
      <c r="F82" s="29" t="s">
        <v>69</v>
      </c>
      <c r="G82" s="29" t="s">
        <v>68</v>
      </c>
      <c r="H82" s="29" t="s">
        <v>1381</v>
      </c>
      <c r="I82" s="29" t="s">
        <v>1848</v>
      </c>
      <c r="J82" s="29" t="n">
        <v>0</v>
      </c>
      <c r="K82" s="29" t="n">
        <v>0</v>
      </c>
      <c r="L82" s="29" t="s">
        <v>1849</v>
      </c>
    </row>
    <row r="83" customFormat="false" ht="15" hidden="false" customHeight="false" outlineLevel="0" collapsed="false">
      <c r="A83" s="29" t="n">
        <v>141297</v>
      </c>
      <c r="B83" s="29" t="s">
        <v>1436</v>
      </c>
      <c r="C83" s="29" t="s">
        <v>1437</v>
      </c>
      <c r="D83" s="29" t="s">
        <v>433</v>
      </c>
      <c r="E83" s="29" t="s">
        <v>434</v>
      </c>
      <c r="F83" s="29" t="s">
        <v>82</v>
      </c>
      <c r="G83" s="29" t="s">
        <v>66</v>
      </c>
      <c r="H83" s="29" t="s">
        <v>1379</v>
      </c>
      <c r="I83" s="29" t="s">
        <v>1863</v>
      </c>
      <c r="J83" s="29" t="n">
        <v>0</v>
      </c>
      <c r="K83" s="29" t="n">
        <v>0</v>
      </c>
      <c r="L83" s="29" t="s">
        <v>1849</v>
      </c>
    </row>
    <row r="84" customFormat="false" ht="15" hidden="false" customHeight="false" outlineLevel="0" collapsed="false">
      <c r="A84" s="29" t="n">
        <v>141297</v>
      </c>
      <c r="B84" s="29" t="s">
        <v>1436</v>
      </c>
      <c r="C84" s="29" t="s">
        <v>1437</v>
      </c>
      <c r="D84" s="29" t="s">
        <v>668</v>
      </c>
      <c r="E84" s="29" t="s">
        <v>669</v>
      </c>
      <c r="F84" s="29" t="s">
        <v>105</v>
      </c>
      <c r="G84" s="29" t="s">
        <v>66</v>
      </c>
      <c r="H84" s="29" t="s">
        <v>1379</v>
      </c>
      <c r="I84" s="29" t="s">
        <v>1863</v>
      </c>
      <c r="J84" s="29" t="n">
        <v>0</v>
      </c>
      <c r="K84" s="29" t="n">
        <v>0</v>
      </c>
      <c r="L84" s="29" t="s">
        <v>1849</v>
      </c>
    </row>
    <row r="85" customFormat="false" ht="15" hidden="false" customHeight="false" outlineLevel="0" collapsed="false">
      <c r="A85" s="29" t="n">
        <v>141297</v>
      </c>
      <c r="B85" s="29" t="s">
        <v>1436</v>
      </c>
      <c r="C85" s="29" t="s">
        <v>1437</v>
      </c>
      <c r="D85" s="29" t="s">
        <v>680</v>
      </c>
      <c r="E85" s="29" t="s">
        <v>681</v>
      </c>
      <c r="F85" s="29" t="s">
        <v>105</v>
      </c>
      <c r="G85" s="29" t="s">
        <v>66</v>
      </c>
      <c r="H85" s="29" t="s">
        <v>1379</v>
      </c>
      <c r="I85" s="29" t="s">
        <v>1863</v>
      </c>
      <c r="J85" s="29" t="n">
        <v>0</v>
      </c>
      <c r="K85" s="29" t="n">
        <v>0</v>
      </c>
      <c r="L85" s="29" t="s">
        <v>1849</v>
      </c>
    </row>
    <row r="86" customFormat="false" ht="15" hidden="false" customHeight="false" outlineLevel="0" collapsed="false">
      <c r="A86" s="29" t="n">
        <v>141297</v>
      </c>
      <c r="B86" s="29" t="s">
        <v>1436</v>
      </c>
      <c r="C86" s="29" t="s">
        <v>1437</v>
      </c>
      <c r="D86" s="29" t="s">
        <v>711</v>
      </c>
      <c r="E86" s="29" t="s">
        <v>712</v>
      </c>
      <c r="F86" s="29" t="s">
        <v>116</v>
      </c>
      <c r="G86" s="29" t="s">
        <v>66</v>
      </c>
      <c r="H86" s="29" t="s">
        <v>1379</v>
      </c>
      <c r="I86" s="29" t="s">
        <v>1863</v>
      </c>
      <c r="J86" s="29" t="n">
        <v>0</v>
      </c>
      <c r="K86" s="29" t="n">
        <v>0</v>
      </c>
      <c r="L86" s="29" t="s">
        <v>1849</v>
      </c>
    </row>
    <row r="87" customFormat="false" ht="15" hidden="false" customHeight="false" outlineLevel="0" collapsed="false">
      <c r="A87" s="29" t="n">
        <v>141343</v>
      </c>
      <c r="B87" s="29" t="s">
        <v>1444</v>
      </c>
      <c r="C87" s="29" t="s">
        <v>1445</v>
      </c>
      <c r="D87" s="29" t="s">
        <v>247</v>
      </c>
      <c r="E87" s="29" t="s">
        <v>248</v>
      </c>
      <c r="F87" s="29" t="s">
        <v>69</v>
      </c>
      <c r="G87" s="29" t="s">
        <v>67</v>
      </c>
      <c r="H87" s="29" t="s">
        <v>1844</v>
      </c>
      <c r="I87" s="29" t="s">
        <v>1848</v>
      </c>
      <c r="J87" s="29" t="n">
        <v>0</v>
      </c>
      <c r="K87" s="29" t="n">
        <v>0</v>
      </c>
      <c r="L87" s="29" t="s">
        <v>1849</v>
      </c>
    </row>
    <row r="88" customFormat="false" ht="15" hidden="false" customHeight="false" outlineLevel="0" collapsed="false">
      <c r="A88" s="29" t="n">
        <v>141343</v>
      </c>
      <c r="B88" s="29" t="s">
        <v>1444</v>
      </c>
      <c r="C88" s="29" t="s">
        <v>1445</v>
      </c>
      <c r="D88" s="29" t="s">
        <v>265</v>
      </c>
      <c r="E88" s="29" t="s">
        <v>266</v>
      </c>
      <c r="F88" s="29" t="s">
        <v>69</v>
      </c>
      <c r="G88" s="29" t="s">
        <v>67</v>
      </c>
      <c r="H88" s="29" t="s">
        <v>1379</v>
      </c>
      <c r="I88" s="29" t="s">
        <v>1863</v>
      </c>
      <c r="J88" s="29" t="n">
        <v>0</v>
      </c>
      <c r="K88" s="29" t="n">
        <v>0</v>
      </c>
      <c r="L88" s="29" t="s">
        <v>1849</v>
      </c>
    </row>
    <row r="89" customFormat="false" ht="15" hidden="false" customHeight="false" outlineLevel="0" collapsed="false">
      <c r="A89" s="29" t="n">
        <v>141343</v>
      </c>
      <c r="B89" s="29" t="s">
        <v>1444</v>
      </c>
      <c r="C89" s="29" t="s">
        <v>1445</v>
      </c>
      <c r="D89" s="29" t="s">
        <v>291</v>
      </c>
      <c r="E89" s="29" t="s">
        <v>292</v>
      </c>
      <c r="F89" s="29" t="s">
        <v>69</v>
      </c>
      <c r="G89" s="29" t="s">
        <v>68</v>
      </c>
      <c r="H89" s="29" t="s">
        <v>1381</v>
      </c>
      <c r="I89" s="29" t="s">
        <v>1845</v>
      </c>
      <c r="J89" s="29" t="n">
        <v>0</v>
      </c>
      <c r="K89" s="29" t="n">
        <v>0</v>
      </c>
      <c r="L89" s="29" t="s">
        <v>1849</v>
      </c>
    </row>
    <row r="90" customFormat="false" ht="15" hidden="false" customHeight="false" outlineLevel="0" collapsed="false">
      <c r="A90" s="29" t="n">
        <v>141343</v>
      </c>
      <c r="B90" s="29" t="s">
        <v>1444</v>
      </c>
      <c r="C90" s="29" t="s">
        <v>1445</v>
      </c>
      <c r="D90" s="29" t="s">
        <v>297</v>
      </c>
      <c r="E90" s="29" t="s">
        <v>298</v>
      </c>
      <c r="F90" s="29" t="s">
        <v>69</v>
      </c>
      <c r="G90" s="29" t="s">
        <v>68</v>
      </c>
      <c r="H90" s="29" t="s">
        <v>1381</v>
      </c>
      <c r="I90" s="29" t="s">
        <v>1848</v>
      </c>
      <c r="J90" s="29" t="n">
        <v>0</v>
      </c>
      <c r="K90" s="29" t="n">
        <v>0</v>
      </c>
      <c r="L90" s="29" t="s">
        <v>1849</v>
      </c>
    </row>
    <row r="91" customFormat="false" ht="15" hidden="false" customHeight="false" outlineLevel="0" collapsed="false">
      <c r="A91" s="29" t="n">
        <v>141343</v>
      </c>
      <c r="B91" s="29" t="s">
        <v>1444</v>
      </c>
      <c r="C91" s="29" t="s">
        <v>1445</v>
      </c>
      <c r="D91" s="29" t="s">
        <v>433</v>
      </c>
      <c r="E91" s="29" t="s">
        <v>434</v>
      </c>
      <c r="F91" s="29" t="s">
        <v>82</v>
      </c>
      <c r="G91" s="29" t="s">
        <v>66</v>
      </c>
      <c r="H91" s="29" t="s">
        <v>1379</v>
      </c>
      <c r="I91" s="29" t="s">
        <v>1863</v>
      </c>
      <c r="J91" s="29" t="n">
        <v>0</v>
      </c>
      <c r="K91" s="29" t="n">
        <v>0</v>
      </c>
      <c r="L91" s="29" t="s">
        <v>1849</v>
      </c>
    </row>
    <row r="92" customFormat="false" ht="15" hidden="false" customHeight="false" outlineLevel="0" collapsed="false">
      <c r="A92" s="29" t="n">
        <v>141343</v>
      </c>
      <c r="B92" s="29" t="s">
        <v>1444</v>
      </c>
      <c r="C92" s="29" t="s">
        <v>1445</v>
      </c>
      <c r="D92" s="29" t="s">
        <v>508</v>
      </c>
      <c r="E92" s="29" t="s">
        <v>509</v>
      </c>
      <c r="F92" s="29" t="s">
        <v>88</v>
      </c>
      <c r="G92" s="29" t="s">
        <v>67</v>
      </c>
      <c r="H92" s="29" t="s">
        <v>1844</v>
      </c>
      <c r="I92" s="29" t="s">
        <v>1847</v>
      </c>
      <c r="J92" s="29" t="n">
        <v>0</v>
      </c>
      <c r="K92" s="29" t="n">
        <v>0</v>
      </c>
      <c r="L92" s="29" t="s">
        <v>1849</v>
      </c>
    </row>
    <row r="93" customFormat="false" ht="15" hidden="false" customHeight="false" outlineLevel="0" collapsed="false">
      <c r="A93" s="29" t="n">
        <v>141343</v>
      </c>
      <c r="B93" s="29" t="s">
        <v>1444</v>
      </c>
      <c r="C93" s="29" t="s">
        <v>1445</v>
      </c>
      <c r="D93" s="29" t="s">
        <v>515</v>
      </c>
      <c r="E93" s="29" t="s">
        <v>516</v>
      </c>
      <c r="F93" s="29" t="s">
        <v>88</v>
      </c>
      <c r="G93" s="29" t="s">
        <v>67</v>
      </c>
      <c r="H93" s="29" t="s">
        <v>1844</v>
      </c>
      <c r="I93" s="29" t="s">
        <v>1847</v>
      </c>
      <c r="J93" s="29" t="n">
        <v>0</v>
      </c>
      <c r="K93" s="29" t="n">
        <v>0</v>
      </c>
      <c r="L93" s="29" t="s">
        <v>1849</v>
      </c>
    </row>
    <row r="94" customFormat="false" ht="15" hidden="false" customHeight="false" outlineLevel="0" collapsed="false">
      <c r="A94" s="29" t="n">
        <v>141343</v>
      </c>
      <c r="B94" s="29" t="s">
        <v>1444</v>
      </c>
      <c r="C94" s="29" t="s">
        <v>1445</v>
      </c>
      <c r="D94" s="29" t="s">
        <v>530</v>
      </c>
      <c r="E94" s="29" t="s">
        <v>531</v>
      </c>
      <c r="F94" s="29" t="s">
        <v>88</v>
      </c>
      <c r="G94" s="29" t="s">
        <v>68</v>
      </c>
      <c r="H94" s="29" t="s">
        <v>1381</v>
      </c>
      <c r="I94" s="29" t="s">
        <v>1847</v>
      </c>
      <c r="J94" s="29" t="n">
        <v>0</v>
      </c>
      <c r="K94" s="29" t="n">
        <v>0</v>
      </c>
      <c r="L94" s="29" t="s">
        <v>1849</v>
      </c>
    </row>
    <row r="95" customFormat="false" ht="15" hidden="false" customHeight="false" outlineLevel="0" collapsed="false">
      <c r="A95" s="29" t="n">
        <v>141343</v>
      </c>
      <c r="B95" s="29" t="s">
        <v>1444</v>
      </c>
      <c r="C95" s="29" t="s">
        <v>1445</v>
      </c>
      <c r="D95" s="29" t="s">
        <v>536</v>
      </c>
      <c r="E95" s="29" t="s">
        <v>537</v>
      </c>
      <c r="F95" s="29" t="s">
        <v>88</v>
      </c>
      <c r="G95" s="29" t="s">
        <v>68</v>
      </c>
      <c r="H95" s="29" t="s">
        <v>1381</v>
      </c>
      <c r="I95" s="29" t="s">
        <v>1847</v>
      </c>
      <c r="J95" s="29" t="n">
        <v>0</v>
      </c>
      <c r="K95" s="29" t="n">
        <v>0</v>
      </c>
      <c r="L95" s="29" t="s">
        <v>1849</v>
      </c>
    </row>
    <row r="96" customFormat="false" ht="15" hidden="false" customHeight="false" outlineLevel="0" collapsed="false">
      <c r="A96" s="29" t="n">
        <v>141343</v>
      </c>
      <c r="B96" s="29" t="s">
        <v>1444</v>
      </c>
      <c r="C96" s="29" t="s">
        <v>1445</v>
      </c>
      <c r="D96" s="29" t="s">
        <v>543</v>
      </c>
      <c r="E96" s="29" t="s">
        <v>544</v>
      </c>
      <c r="F96" s="29" t="s">
        <v>88</v>
      </c>
      <c r="G96" s="29" t="s">
        <v>68</v>
      </c>
      <c r="H96" s="29" t="s">
        <v>1381</v>
      </c>
      <c r="I96" s="29" t="s">
        <v>1847</v>
      </c>
      <c r="J96" s="29" t="n">
        <v>0</v>
      </c>
      <c r="K96" s="29" t="n">
        <v>0</v>
      </c>
      <c r="L96" s="29" t="s">
        <v>1849</v>
      </c>
    </row>
    <row r="97" customFormat="false" ht="15" hidden="false" customHeight="false" outlineLevel="0" collapsed="false">
      <c r="A97" s="29" t="n">
        <v>141343</v>
      </c>
      <c r="B97" s="29" t="s">
        <v>1444</v>
      </c>
      <c r="C97" s="29" t="s">
        <v>1445</v>
      </c>
      <c r="D97" s="29" t="s">
        <v>551</v>
      </c>
      <c r="E97" s="29" t="s">
        <v>552</v>
      </c>
      <c r="F97" s="29" t="s">
        <v>88</v>
      </c>
      <c r="G97" s="29" t="s">
        <v>68</v>
      </c>
      <c r="H97" s="29" t="s">
        <v>1381</v>
      </c>
      <c r="I97" s="29" t="s">
        <v>1847</v>
      </c>
      <c r="J97" s="29" t="n">
        <v>0</v>
      </c>
      <c r="K97" s="29" t="n">
        <v>0</v>
      </c>
      <c r="L97" s="29" t="s">
        <v>1849</v>
      </c>
    </row>
    <row r="98" customFormat="false" ht="15" hidden="false" customHeight="false" outlineLevel="0" collapsed="false">
      <c r="A98" s="29" t="n">
        <v>141343</v>
      </c>
      <c r="B98" s="29" t="s">
        <v>1444</v>
      </c>
      <c r="C98" s="29" t="s">
        <v>1445</v>
      </c>
      <c r="D98" s="29" t="s">
        <v>572</v>
      </c>
      <c r="E98" s="29" t="s">
        <v>573</v>
      </c>
      <c r="F98" s="29" t="s">
        <v>88</v>
      </c>
      <c r="G98" s="29" t="s">
        <v>68</v>
      </c>
      <c r="H98" s="29" t="s">
        <v>1381</v>
      </c>
      <c r="I98" s="29" t="s">
        <v>1847</v>
      </c>
      <c r="J98" s="29" t="n">
        <v>0</v>
      </c>
      <c r="K98" s="29" t="n">
        <v>0</v>
      </c>
      <c r="L98" s="29" t="s">
        <v>1849</v>
      </c>
    </row>
    <row r="99" customFormat="false" ht="15" hidden="false" customHeight="false" outlineLevel="0" collapsed="false">
      <c r="A99" s="29" t="n">
        <v>141343</v>
      </c>
      <c r="B99" s="29" t="s">
        <v>1444</v>
      </c>
      <c r="C99" s="29" t="s">
        <v>1445</v>
      </c>
      <c r="D99" s="29" t="s">
        <v>668</v>
      </c>
      <c r="E99" s="29" t="s">
        <v>669</v>
      </c>
      <c r="F99" s="29" t="s">
        <v>105</v>
      </c>
      <c r="G99" s="29" t="s">
        <v>66</v>
      </c>
      <c r="H99" s="29" t="s">
        <v>1379</v>
      </c>
      <c r="I99" s="29" t="s">
        <v>1863</v>
      </c>
      <c r="J99" s="29" t="n">
        <v>0</v>
      </c>
      <c r="K99" s="29" t="n">
        <v>0</v>
      </c>
      <c r="L99" s="29" t="s">
        <v>1849</v>
      </c>
    </row>
    <row r="100" customFormat="false" ht="15" hidden="false" customHeight="false" outlineLevel="0" collapsed="false">
      <c r="A100" s="29" t="n">
        <v>141343</v>
      </c>
      <c r="B100" s="29" t="s">
        <v>1444</v>
      </c>
      <c r="C100" s="29" t="s">
        <v>1445</v>
      </c>
      <c r="D100" s="29" t="s">
        <v>680</v>
      </c>
      <c r="E100" s="29" t="s">
        <v>681</v>
      </c>
      <c r="F100" s="29" t="s">
        <v>105</v>
      </c>
      <c r="G100" s="29" t="s">
        <v>66</v>
      </c>
      <c r="H100" s="29" t="s">
        <v>1379</v>
      </c>
      <c r="I100" s="29" t="s">
        <v>1863</v>
      </c>
      <c r="J100" s="29" t="n">
        <v>0</v>
      </c>
      <c r="K100" s="29" t="n">
        <v>0</v>
      </c>
      <c r="L100" s="29" t="s">
        <v>1849</v>
      </c>
    </row>
    <row r="101" customFormat="false" ht="15" hidden="false" customHeight="false" outlineLevel="0" collapsed="false">
      <c r="A101" s="29" t="n">
        <v>141343</v>
      </c>
      <c r="B101" s="29" t="s">
        <v>1444</v>
      </c>
      <c r="C101" s="29" t="s">
        <v>1445</v>
      </c>
      <c r="D101" s="29" t="s">
        <v>711</v>
      </c>
      <c r="E101" s="29" t="s">
        <v>712</v>
      </c>
      <c r="F101" s="29" t="s">
        <v>116</v>
      </c>
      <c r="G101" s="29" t="s">
        <v>66</v>
      </c>
      <c r="H101" s="29" t="s">
        <v>1379</v>
      </c>
      <c r="I101" s="29" t="s">
        <v>1863</v>
      </c>
      <c r="J101" s="29" t="n">
        <v>0</v>
      </c>
      <c r="K101" s="29" t="n">
        <v>0</v>
      </c>
      <c r="L101" s="29" t="s">
        <v>1849</v>
      </c>
    </row>
    <row r="102" customFormat="false" ht="15" hidden="false" customHeight="false" outlineLevel="0" collapsed="false">
      <c r="A102" s="29" t="n">
        <v>102312</v>
      </c>
      <c r="B102" s="29" t="s">
        <v>1450</v>
      </c>
      <c r="C102" s="29" t="s">
        <v>1451</v>
      </c>
      <c r="D102" s="29" t="s">
        <v>265</v>
      </c>
      <c r="E102" s="29" t="s">
        <v>266</v>
      </c>
      <c r="F102" s="29" t="s">
        <v>69</v>
      </c>
      <c r="G102" s="29" t="s">
        <v>67</v>
      </c>
      <c r="H102" s="29" t="s">
        <v>1844</v>
      </c>
      <c r="I102" s="29" t="s">
        <v>1845</v>
      </c>
      <c r="J102" s="29" t="n">
        <v>0</v>
      </c>
      <c r="K102" s="29" t="n">
        <v>0</v>
      </c>
      <c r="L102" s="29" t="s">
        <v>1846</v>
      </c>
    </row>
    <row r="103" customFormat="false" ht="15" hidden="false" customHeight="false" outlineLevel="0" collapsed="false">
      <c r="A103" s="29" t="n">
        <v>102312</v>
      </c>
      <c r="B103" s="29" t="s">
        <v>1450</v>
      </c>
      <c r="C103" s="29" t="s">
        <v>1451</v>
      </c>
      <c r="D103" s="29" t="s">
        <v>291</v>
      </c>
      <c r="E103" s="29" t="s">
        <v>292</v>
      </c>
      <c r="F103" s="29" t="s">
        <v>69</v>
      </c>
      <c r="G103" s="29" t="s">
        <v>68</v>
      </c>
      <c r="H103" s="29" t="s">
        <v>1381</v>
      </c>
      <c r="I103" s="29" t="s">
        <v>1845</v>
      </c>
      <c r="J103" s="29" t="n">
        <v>0</v>
      </c>
      <c r="K103" s="29" t="n">
        <v>0</v>
      </c>
      <c r="L103" s="29" t="s">
        <v>1846</v>
      </c>
    </row>
    <row r="104" customFormat="false" ht="15" hidden="false" customHeight="false" outlineLevel="0" collapsed="false">
      <c r="A104" s="29" t="n">
        <v>140410</v>
      </c>
      <c r="B104" s="29" t="s">
        <v>1456</v>
      </c>
      <c r="C104" s="29" t="s">
        <v>1457</v>
      </c>
      <c r="D104" s="29" t="s">
        <v>247</v>
      </c>
      <c r="E104" s="29" t="s">
        <v>248</v>
      </c>
      <c r="F104" s="29" t="s">
        <v>69</v>
      </c>
      <c r="G104" s="29" t="s">
        <v>67</v>
      </c>
      <c r="H104" s="29" t="s">
        <v>1844</v>
      </c>
      <c r="I104" s="29" t="s">
        <v>1848</v>
      </c>
      <c r="J104" s="29" t="n">
        <v>0</v>
      </c>
      <c r="K104" s="29" t="n">
        <v>1</v>
      </c>
      <c r="L104" s="29" t="s">
        <v>1866</v>
      </c>
    </row>
    <row r="105" customFormat="false" ht="15" hidden="false" customHeight="false" outlineLevel="0" collapsed="false">
      <c r="A105" s="29" t="n">
        <v>140410</v>
      </c>
      <c r="B105" s="29" t="s">
        <v>1456</v>
      </c>
      <c r="C105" s="29" t="s">
        <v>1457</v>
      </c>
      <c r="D105" s="29" t="s">
        <v>265</v>
      </c>
      <c r="E105" s="29" t="s">
        <v>266</v>
      </c>
      <c r="F105" s="29" t="s">
        <v>69</v>
      </c>
      <c r="G105" s="29" t="s">
        <v>67</v>
      </c>
      <c r="H105" s="29" t="s">
        <v>1844</v>
      </c>
      <c r="I105" s="29" t="s">
        <v>1845</v>
      </c>
      <c r="J105" s="29" t="n">
        <v>1</v>
      </c>
      <c r="K105" s="29" t="n">
        <v>4</v>
      </c>
      <c r="L105" s="29" t="s">
        <v>1867</v>
      </c>
    </row>
    <row r="106" customFormat="false" ht="15" hidden="false" customHeight="false" outlineLevel="0" collapsed="false">
      <c r="A106" s="29" t="n">
        <v>140410</v>
      </c>
      <c r="B106" s="29" t="s">
        <v>1456</v>
      </c>
      <c r="C106" s="29" t="s">
        <v>1457</v>
      </c>
      <c r="D106" s="29" t="s">
        <v>285</v>
      </c>
      <c r="E106" s="29" t="s">
        <v>286</v>
      </c>
      <c r="F106" s="29" t="s">
        <v>69</v>
      </c>
      <c r="G106" s="29" t="s">
        <v>68</v>
      </c>
      <c r="H106" s="29" t="s">
        <v>1381</v>
      </c>
      <c r="I106" s="29" t="s">
        <v>1864</v>
      </c>
      <c r="J106" s="29" t="n">
        <v>0</v>
      </c>
      <c r="K106" s="29" t="n">
        <v>0</v>
      </c>
      <c r="L106" s="29" t="s">
        <v>1849</v>
      </c>
    </row>
    <row r="107" customFormat="false" ht="15" hidden="false" customHeight="false" outlineLevel="0" collapsed="false">
      <c r="A107" s="29" t="n">
        <v>140410</v>
      </c>
      <c r="B107" s="29" t="s">
        <v>1456</v>
      </c>
      <c r="C107" s="29" t="s">
        <v>1457</v>
      </c>
      <c r="D107" s="29" t="s">
        <v>291</v>
      </c>
      <c r="E107" s="29" t="s">
        <v>292</v>
      </c>
      <c r="F107" s="29" t="s">
        <v>69</v>
      </c>
      <c r="G107" s="29" t="s">
        <v>68</v>
      </c>
      <c r="H107" s="29" t="s">
        <v>1381</v>
      </c>
      <c r="I107" s="29" t="s">
        <v>1865</v>
      </c>
      <c r="J107" s="29" t="n">
        <v>0</v>
      </c>
      <c r="K107" s="29" t="n">
        <v>0</v>
      </c>
      <c r="L107" s="29" t="s">
        <v>1849</v>
      </c>
    </row>
    <row r="108" customFormat="false" ht="15" hidden="false" customHeight="false" outlineLevel="0" collapsed="false">
      <c r="A108" s="29" t="n">
        <v>140410</v>
      </c>
      <c r="B108" s="29" t="s">
        <v>1456</v>
      </c>
      <c r="C108" s="29" t="s">
        <v>1457</v>
      </c>
      <c r="D108" s="29" t="s">
        <v>297</v>
      </c>
      <c r="E108" s="29" t="s">
        <v>298</v>
      </c>
      <c r="F108" s="29" t="s">
        <v>69</v>
      </c>
      <c r="G108" s="29" t="s">
        <v>68</v>
      </c>
      <c r="H108" s="29" t="s">
        <v>1381</v>
      </c>
      <c r="I108" s="29" t="s">
        <v>1848</v>
      </c>
      <c r="J108" s="29" t="n">
        <v>0</v>
      </c>
      <c r="K108" s="29" t="n">
        <v>0</v>
      </c>
      <c r="L108" s="29" t="s">
        <v>1849</v>
      </c>
    </row>
    <row r="109" customFormat="false" ht="15" hidden="false" customHeight="false" outlineLevel="0" collapsed="false">
      <c r="A109" s="29" t="n">
        <v>140520</v>
      </c>
      <c r="B109" s="29" t="s">
        <v>1461</v>
      </c>
      <c r="C109" s="29" t="s">
        <v>1462</v>
      </c>
      <c r="D109" s="29" t="s">
        <v>443</v>
      </c>
      <c r="E109" s="29" t="s">
        <v>444</v>
      </c>
      <c r="F109" s="29" t="s">
        <v>82</v>
      </c>
      <c r="G109" s="29" t="s">
        <v>67</v>
      </c>
      <c r="H109" s="29" t="s">
        <v>1844</v>
      </c>
      <c r="I109" s="29" t="s">
        <v>1868</v>
      </c>
      <c r="J109" s="29" t="n">
        <v>0</v>
      </c>
      <c r="K109" s="29" t="n">
        <v>0</v>
      </c>
      <c r="L109" s="29" t="s">
        <v>1846</v>
      </c>
    </row>
    <row r="110" customFormat="false" ht="15" hidden="false" customHeight="false" outlineLevel="0" collapsed="false">
      <c r="A110" s="29" t="n">
        <v>140520</v>
      </c>
      <c r="B110" s="29" t="s">
        <v>1461</v>
      </c>
      <c r="C110" s="29" t="s">
        <v>1462</v>
      </c>
      <c r="D110" s="29" t="s">
        <v>472</v>
      </c>
      <c r="E110" s="29" t="s">
        <v>473</v>
      </c>
      <c r="F110" s="29" t="s">
        <v>82</v>
      </c>
      <c r="G110" s="29" t="s">
        <v>67</v>
      </c>
      <c r="H110" s="29" t="s">
        <v>1844</v>
      </c>
      <c r="I110" s="29" t="s">
        <v>1868</v>
      </c>
      <c r="J110" s="29" t="n">
        <v>0</v>
      </c>
      <c r="K110" s="29" t="n">
        <v>0</v>
      </c>
      <c r="L110" s="29" t="s">
        <v>1846</v>
      </c>
    </row>
    <row r="111" customFormat="false" ht="15" hidden="false" customHeight="false" outlineLevel="0" collapsed="false">
      <c r="A111" s="29" t="n">
        <v>140520</v>
      </c>
      <c r="B111" s="29" t="s">
        <v>1461</v>
      </c>
      <c r="C111" s="29" t="s">
        <v>1462</v>
      </c>
      <c r="D111" s="29" t="s">
        <v>477</v>
      </c>
      <c r="E111" s="29" t="s">
        <v>478</v>
      </c>
      <c r="F111" s="29" t="s">
        <v>82</v>
      </c>
      <c r="G111" s="29" t="s">
        <v>67</v>
      </c>
      <c r="H111" s="29" t="s">
        <v>1844</v>
      </c>
      <c r="I111" s="29" t="s">
        <v>1868</v>
      </c>
      <c r="J111" s="29" t="n">
        <v>0</v>
      </c>
      <c r="K111" s="29" t="n">
        <v>0</v>
      </c>
      <c r="L111" s="29" t="s">
        <v>1846</v>
      </c>
    </row>
    <row r="112" customFormat="false" ht="15" hidden="false" customHeight="false" outlineLevel="0" collapsed="false">
      <c r="A112" s="29" t="n">
        <v>140520</v>
      </c>
      <c r="B112" s="29" t="s">
        <v>1461</v>
      </c>
      <c r="C112" s="29" t="s">
        <v>1462</v>
      </c>
      <c r="D112" s="29" t="s">
        <v>486</v>
      </c>
      <c r="E112" s="29" t="s">
        <v>487</v>
      </c>
      <c r="F112" s="29" t="s">
        <v>82</v>
      </c>
      <c r="G112" s="29" t="s">
        <v>67</v>
      </c>
      <c r="H112" s="29" t="s">
        <v>1844</v>
      </c>
      <c r="I112" s="29" t="s">
        <v>1862</v>
      </c>
      <c r="J112" s="29" t="n">
        <v>0</v>
      </c>
      <c r="K112" s="29" t="n">
        <v>0</v>
      </c>
      <c r="L112" s="29" t="s">
        <v>1846</v>
      </c>
    </row>
    <row r="113" customFormat="false" ht="15" hidden="false" customHeight="false" outlineLevel="0" collapsed="false">
      <c r="A113" s="29" t="n">
        <v>140520</v>
      </c>
      <c r="B113" s="29" t="s">
        <v>1461</v>
      </c>
      <c r="C113" s="29" t="s">
        <v>1462</v>
      </c>
      <c r="D113" s="29" t="s">
        <v>500</v>
      </c>
      <c r="E113" s="29" t="s">
        <v>501</v>
      </c>
      <c r="F113" s="29" t="s">
        <v>82</v>
      </c>
      <c r="G113" s="29" t="s">
        <v>68</v>
      </c>
      <c r="H113" s="29" t="s">
        <v>1381</v>
      </c>
      <c r="I113" s="29" t="s">
        <v>1862</v>
      </c>
      <c r="J113" s="29" t="n">
        <v>0</v>
      </c>
      <c r="K113" s="29" t="n">
        <v>0</v>
      </c>
      <c r="L113" s="29" t="s">
        <v>1846</v>
      </c>
    </row>
    <row r="114" customFormat="false" ht="15" hidden="false" customHeight="false" outlineLevel="0" collapsed="false">
      <c r="A114" s="29" t="n">
        <v>141291</v>
      </c>
      <c r="B114" s="29" t="s">
        <v>1467</v>
      </c>
      <c r="C114" s="29" t="s">
        <v>1468</v>
      </c>
      <c r="D114" s="29" t="s">
        <v>451</v>
      </c>
      <c r="E114" s="29" t="s">
        <v>452</v>
      </c>
      <c r="F114" s="29" t="s">
        <v>82</v>
      </c>
      <c r="G114" s="29" t="s">
        <v>67</v>
      </c>
      <c r="H114" s="29" t="s">
        <v>1844</v>
      </c>
      <c r="I114" s="29" t="s">
        <v>1869</v>
      </c>
      <c r="J114" s="29" t="n">
        <v>0</v>
      </c>
      <c r="K114" s="29" t="n">
        <v>0</v>
      </c>
      <c r="L114" s="29" t="s">
        <v>1849</v>
      </c>
    </row>
    <row r="115" customFormat="false" ht="15" hidden="false" customHeight="false" outlineLevel="0" collapsed="false">
      <c r="A115" s="29" t="n">
        <v>141291</v>
      </c>
      <c r="B115" s="29" t="s">
        <v>1467</v>
      </c>
      <c r="C115" s="29" t="s">
        <v>1468</v>
      </c>
      <c r="D115" s="29" t="s">
        <v>459</v>
      </c>
      <c r="E115" s="29" t="s">
        <v>460</v>
      </c>
      <c r="F115" s="29" t="s">
        <v>82</v>
      </c>
      <c r="G115" s="29" t="s">
        <v>67</v>
      </c>
      <c r="H115" s="29" t="s">
        <v>1844</v>
      </c>
      <c r="I115" s="29" t="s">
        <v>1869</v>
      </c>
      <c r="J115" s="29" t="n">
        <v>0</v>
      </c>
      <c r="K115" s="29" t="n">
        <v>0</v>
      </c>
      <c r="L115" s="29" t="s">
        <v>1849</v>
      </c>
    </row>
    <row r="116" customFormat="false" ht="15" hidden="false" customHeight="false" outlineLevel="0" collapsed="false">
      <c r="A116" s="29" t="n">
        <v>141291</v>
      </c>
      <c r="B116" s="29" t="s">
        <v>1467</v>
      </c>
      <c r="C116" s="29" t="s">
        <v>1468</v>
      </c>
      <c r="D116" s="29" t="s">
        <v>466</v>
      </c>
      <c r="E116" s="29" t="s">
        <v>467</v>
      </c>
      <c r="F116" s="29" t="s">
        <v>82</v>
      </c>
      <c r="G116" s="29" t="s">
        <v>67</v>
      </c>
      <c r="H116" s="29" t="s">
        <v>1844</v>
      </c>
      <c r="I116" s="29" t="s">
        <v>1869</v>
      </c>
      <c r="J116" s="29" t="n">
        <v>0</v>
      </c>
      <c r="K116" s="29" t="n">
        <v>0</v>
      </c>
      <c r="L116" s="29" t="s">
        <v>1849</v>
      </c>
    </row>
    <row r="117" customFormat="false" ht="15" hidden="false" customHeight="false" outlineLevel="0" collapsed="false">
      <c r="A117" s="29" t="n">
        <v>141291</v>
      </c>
      <c r="B117" s="29" t="s">
        <v>1467</v>
      </c>
      <c r="C117" s="29" t="s">
        <v>1468</v>
      </c>
      <c r="D117" s="29" t="s">
        <v>486</v>
      </c>
      <c r="E117" s="29" t="s">
        <v>487</v>
      </c>
      <c r="F117" s="29" t="s">
        <v>82</v>
      </c>
      <c r="G117" s="29" t="s">
        <v>67</v>
      </c>
      <c r="H117" s="29" t="s">
        <v>1844</v>
      </c>
      <c r="I117" s="29" t="s">
        <v>1862</v>
      </c>
      <c r="J117" s="29" t="n">
        <v>0</v>
      </c>
      <c r="K117" s="29" t="n">
        <v>0</v>
      </c>
      <c r="L117" s="29" t="s">
        <v>1849</v>
      </c>
    </row>
    <row r="118" customFormat="false" ht="15" hidden="false" customHeight="false" outlineLevel="0" collapsed="false">
      <c r="A118" s="29" t="n">
        <v>141291</v>
      </c>
      <c r="B118" s="29" t="s">
        <v>1467</v>
      </c>
      <c r="C118" s="29" t="s">
        <v>1468</v>
      </c>
      <c r="D118" s="29" t="s">
        <v>500</v>
      </c>
      <c r="E118" s="29" t="s">
        <v>501</v>
      </c>
      <c r="F118" s="29" t="s">
        <v>82</v>
      </c>
      <c r="G118" s="29" t="s">
        <v>68</v>
      </c>
      <c r="H118" s="29" t="s">
        <v>1381</v>
      </c>
      <c r="I118" s="29" t="s">
        <v>1862</v>
      </c>
      <c r="J118" s="29" t="n">
        <v>0</v>
      </c>
      <c r="K118" s="29" t="n">
        <v>0</v>
      </c>
      <c r="L118" s="29" t="s">
        <v>1849</v>
      </c>
    </row>
    <row r="119" customFormat="false" ht="15" hidden="false" customHeight="false" outlineLevel="0" collapsed="false">
      <c r="A119" s="29" t="n">
        <v>141291</v>
      </c>
      <c r="B119" s="29" t="s">
        <v>1467</v>
      </c>
      <c r="C119" s="29" t="s">
        <v>1468</v>
      </c>
      <c r="D119" s="29" t="s">
        <v>590</v>
      </c>
      <c r="E119" s="29" t="s">
        <v>591</v>
      </c>
      <c r="F119" s="29" t="s">
        <v>93</v>
      </c>
      <c r="G119" s="29" t="s">
        <v>67</v>
      </c>
      <c r="H119" s="29" t="s">
        <v>1844</v>
      </c>
      <c r="I119" s="29" t="s">
        <v>1859</v>
      </c>
      <c r="J119" s="29" t="n">
        <v>0</v>
      </c>
      <c r="K119" s="29" t="n">
        <v>0</v>
      </c>
      <c r="L119" s="29" t="s">
        <v>1849</v>
      </c>
    </row>
    <row r="120" customFormat="false" ht="15" hidden="false" customHeight="false" outlineLevel="0" collapsed="false">
      <c r="A120" s="29" t="n">
        <v>141291</v>
      </c>
      <c r="B120" s="29" t="s">
        <v>1467</v>
      </c>
      <c r="C120" s="29" t="s">
        <v>1468</v>
      </c>
      <c r="D120" s="29" t="s">
        <v>597</v>
      </c>
      <c r="E120" s="29" t="s">
        <v>598</v>
      </c>
      <c r="F120" s="29" t="s">
        <v>93</v>
      </c>
      <c r="G120" s="29" t="s">
        <v>67</v>
      </c>
      <c r="H120" s="29" t="s">
        <v>1844</v>
      </c>
      <c r="I120" s="29" t="s">
        <v>1859</v>
      </c>
      <c r="J120" s="29" t="n">
        <v>0</v>
      </c>
      <c r="K120" s="29" t="n">
        <v>0</v>
      </c>
      <c r="L120" s="29" t="s">
        <v>1849</v>
      </c>
    </row>
    <row r="121" customFormat="false" ht="15" hidden="false" customHeight="false" outlineLevel="0" collapsed="false">
      <c r="A121" s="29" t="n">
        <v>141291</v>
      </c>
      <c r="B121" s="29" t="s">
        <v>1467</v>
      </c>
      <c r="C121" s="29" t="s">
        <v>1468</v>
      </c>
      <c r="D121" s="29" t="s">
        <v>604</v>
      </c>
      <c r="E121" s="29" t="s">
        <v>605</v>
      </c>
      <c r="F121" s="29" t="s">
        <v>93</v>
      </c>
      <c r="G121" s="29" t="s">
        <v>68</v>
      </c>
      <c r="H121" s="29" t="s">
        <v>1381</v>
      </c>
      <c r="I121" s="29" t="s">
        <v>1859</v>
      </c>
      <c r="J121" s="29" t="n">
        <v>0</v>
      </c>
      <c r="K121" s="29" t="n">
        <v>0</v>
      </c>
      <c r="L121" s="29" t="s">
        <v>1849</v>
      </c>
    </row>
    <row r="122" customFormat="false" ht="15" hidden="false" customHeight="false" outlineLevel="0" collapsed="false">
      <c r="A122" s="29" t="n">
        <v>141291</v>
      </c>
      <c r="B122" s="29" t="s">
        <v>1467</v>
      </c>
      <c r="C122" s="29" t="s">
        <v>1468</v>
      </c>
      <c r="D122" s="29" t="s">
        <v>612</v>
      </c>
      <c r="E122" s="29" t="s">
        <v>613</v>
      </c>
      <c r="F122" s="29" t="s">
        <v>93</v>
      </c>
      <c r="G122" s="29" t="s">
        <v>68</v>
      </c>
      <c r="H122" s="29" t="s">
        <v>1381</v>
      </c>
      <c r="I122" s="29" t="s">
        <v>1859</v>
      </c>
      <c r="J122" s="29" t="n">
        <v>0</v>
      </c>
      <c r="K122" s="29" t="n">
        <v>0</v>
      </c>
      <c r="L122" s="29" t="s">
        <v>1849</v>
      </c>
    </row>
    <row r="123" customFormat="false" ht="15" hidden="false" customHeight="false" outlineLevel="0" collapsed="false">
      <c r="A123" s="29" t="n">
        <v>141291</v>
      </c>
      <c r="B123" s="29" t="s">
        <v>1467</v>
      </c>
      <c r="C123" s="29" t="s">
        <v>1468</v>
      </c>
      <c r="D123" s="29" t="s">
        <v>618</v>
      </c>
      <c r="E123" s="29" t="s">
        <v>619</v>
      </c>
      <c r="F123" s="29" t="s">
        <v>93</v>
      </c>
      <c r="G123" s="29" t="s">
        <v>68</v>
      </c>
      <c r="H123" s="29" t="s">
        <v>1381</v>
      </c>
      <c r="I123" s="29" t="s">
        <v>1859</v>
      </c>
      <c r="J123" s="29" t="n">
        <v>0</v>
      </c>
      <c r="K123" s="29" t="n">
        <v>0</v>
      </c>
      <c r="L123" s="29" t="s">
        <v>1849</v>
      </c>
    </row>
    <row r="124" customFormat="false" ht="15" hidden="false" customHeight="false" outlineLevel="0" collapsed="false">
      <c r="A124" s="29" t="n">
        <v>103594</v>
      </c>
      <c r="B124" s="29" t="s">
        <v>1472</v>
      </c>
      <c r="C124" s="29" t="s">
        <v>1474</v>
      </c>
      <c r="D124" s="29" t="s">
        <v>265</v>
      </c>
      <c r="E124" s="29" t="s">
        <v>266</v>
      </c>
      <c r="F124" s="29" t="s">
        <v>69</v>
      </c>
      <c r="G124" s="29" t="s">
        <v>67</v>
      </c>
      <c r="H124" s="29" t="s">
        <v>1844</v>
      </c>
      <c r="I124" s="29" t="s">
        <v>1845</v>
      </c>
      <c r="J124" s="29" t="n">
        <v>0</v>
      </c>
      <c r="K124" s="29" t="n">
        <v>0</v>
      </c>
      <c r="L124" s="29" t="s">
        <v>1846</v>
      </c>
    </row>
    <row r="125" customFormat="false" ht="15" hidden="false" customHeight="false" outlineLevel="0" collapsed="false">
      <c r="A125" s="29" t="n">
        <v>103594</v>
      </c>
      <c r="B125" s="29" t="s">
        <v>1472</v>
      </c>
      <c r="C125" s="29" t="s">
        <v>1474</v>
      </c>
      <c r="D125" s="29" t="s">
        <v>291</v>
      </c>
      <c r="E125" s="29" t="s">
        <v>292</v>
      </c>
      <c r="F125" s="29" t="s">
        <v>69</v>
      </c>
      <c r="G125" s="29" t="s">
        <v>68</v>
      </c>
      <c r="H125" s="29" t="s">
        <v>1381</v>
      </c>
      <c r="I125" s="29" t="s">
        <v>1845</v>
      </c>
      <c r="J125" s="29" t="n">
        <v>0</v>
      </c>
      <c r="K125" s="29" t="n">
        <v>0</v>
      </c>
      <c r="L125" s="29" t="s">
        <v>1846</v>
      </c>
    </row>
    <row r="126" customFormat="false" ht="15" hidden="false" customHeight="false" outlineLevel="0" collapsed="false">
      <c r="A126" s="29" t="n">
        <v>133387</v>
      </c>
      <c r="B126" s="29" t="s">
        <v>1479</v>
      </c>
      <c r="C126" s="29" t="s">
        <v>1481</v>
      </c>
      <c r="D126" s="29" t="s">
        <v>247</v>
      </c>
      <c r="E126" s="29" t="s">
        <v>248</v>
      </c>
      <c r="F126" s="29" t="s">
        <v>69</v>
      </c>
      <c r="G126" s="29" t="s">
        <v>67</v>
      </c>
      <c r="H126" s="29" t="s">
        <v>1844</v>
      </c>
      <c r="I126" s="29" t="s">
        <v>1848</v>
      </c>
      <c r="J126" s="29" t="n">
        <v>0</v>
      </c>
      <c r="K126" s="29" t="n">
        <v>0</v>
      </c>
      <c r="L126" s="29" t="s">
        <v>1849</v>
      </c>
    </row>
    <row r="127" customFormat="false" ht="15" hidden="false" customHeight="false" outlineLevel="0" collapsed="false">
      <c r="A127" s="29" t="n">
        <v>133387</v>
      </c>
      <c r="B127" s="29" t="s">
        <v>1479</v>
      </c>
      <c r="C127" s="29" t="s">
        <v>1481</v>
      </c>
      <c r="D127" s="29" t="s">
        <v>277</v>
      </c>
      <c r="E127" s="29" t="s">
        <v>278</v>
      </c>
      <c r="F127" s="29" t="s">
        <v>69</v>
      </c>
      <c r="G127" s="29" t="s">
        <v>67</v>
      </c>
      <c r="H127" s="29" t="s">
        <v>1379</v>
      </c>
      <c r="I127" s="29" t="s">
        <v>1850</v>
      </c>
      <c r="J127" s="29" t="n">
        <v>0</v>
      </c>
      <c r="K127" s="29" t="n">
        <v>0</v>
      </c>
      <c r="L127" s="29" t="s">
        <v>1849</v>
      </c>
    </row>
    <row r="128" customFormat="false" ht="15" hidden="false" customHeight="false" outlineLevel="0" collapsed="false">
      <c r="A128" s="29" t="n">
        <v>133387</v>
      </c>
      <c r="B128" s="29" t="s">
        <v>1479</v>
      </c>
      <c r="C128" s="29" t="s">
        <v>1481</v>
      </c>
      <c r="D128" s="29" t="s">
        <v>297</v>
      </c>
      <c r="E128" s="29" t="s">
        <v>298</v>
      </c>
      <c r="F128" s="29" t="s">
        <v>69</v>
      </c>
      <c r="G128" s="29" t="s">
        <v>68</v>
      </c>
      <c r="H128" s="29" t="s">
        <v>1381</v>
      </c>
      <c r="I128" s="29" t="s">
        <v>1848</v>
      </c>
      <c r="J128" s="29" t="n">
        <v>0</v>
      </c>
      <c r="K128" s="29" t="n">
        <v>0</v>
      </c>
      <c r="L128" s="29" t="s">
        <v>1849</v>
      </c>
    </row>
    <row r="129" customFormat="false" ht="15" hidden="false" customHeight="false" outlineLevel="0" collapsed="false">
      <c r="A129" s="29" t="n">
        <v>133387</v>
      </c>
      <c r="B129" s="29" t="s">
        <v>1479</v>
      </c>
      <c r="C129" s="29" t="s">
        <v>1481</v>
      </c>
      <c r="D129" s="29" t="s">
        <v>325</v>
      </c>
      <c r="E129" s="29" t="s">
        <v>326</v>
      </c>
      <c r="F129" s="29" t="s">
        <v>76</v>
      </c>
      <c r="G129" s="29" t="s">
        <v>67</v>
      </c>
      <c r="H129" s="29" t="s">
        <v>1844</v>
      </c>
      <c r="I129" s="29" t="s">
        <v>1852</v>
      </c>
      <c r="J129" s="29" t="n">
        <v>0</v>
      </c>
      <c r="K129" s="29" t="n">
        <v>0</v>
      </c>
      <c r="L129" s="29" t="s">
        <v>1849</v>
      </c>
    </row>
    <row r="130" customFormat="false" ht="15" hidden="false" customHeight="false" outlineLevel="0" collapsed="false">
      <c r="A130" s="29" t="n">
        <v>133387</v>
      </c>
      <c r="B130" s="29" t="s">
        <v>1479</v>
      </c>
      <c r="C130" s="29" t="s">
        <v>1481</v>
      </c>
      <c r="D130" s="29" t="s">
        <v>336</v>
      </c>
      <c r="E130" s="29" t="s">
        <v>337</v>
      </c>
      <c r="F130" s="29" t="s">
        <v>76</v>
      </c>
      <c r="G130" s="29" t="s">
        <v>67</v>
      </c>
      <c r="H130" s="29" t="s">
        <v>1844</v>
      </c>
      <c r="I130" s="29" t="s">
        <v>1852</v>
      </c>
      <c r="J130" s="29" t="n">
        <v>0</v>
      </c>
      <c r="K130" s="29" t="n">
        <v>26</v>
      </c>
      <c r="L130" s="29" t="s">
        <v>1866</v>
      </c>
    </row>
    <row r="131" customFormat="false" ht="15" hidden="false" customHeight="false" outlineLevel="0" collapsed="false">
      <c r="A131" s="29" t="n">
        <v>133387</v>
      </c>
      <c r="B131" s="29" t="s">
        <v>1479</v>
      </c>
      <c r="C131" s="29" t="s">
        <v>1481</v>
      </c>
      <c r="D131" s="29" t="s">
        <v>353</v>
      </c>
      <c r="E131" s="29" t="s">
        <v>354</v>
      </c>
      <c r="F131" s="29" t="s">
        <v>76</v>
      </c>
      <c r="G131" s="29" t="s">
        <v>67</v>
      </c>
      <c r="H131" s="29" t="s">
        <v>1844</v>
      </c>
      <c r="I131" s="29" t="s">
        <v>1853</v>
      </c>
      <c r="J131" s="29" t="n">
        <v>0</v>
      </c>
      <c r="K131" s="29" t="n">
        <v>26</v>
      </c>
      <c r="L131" s="29" t="s">
        <v>1866</v>
      </c>
    </row>
    <row r="132" customFormat="false" ht="15" hidden="false" customHeight="false" outlineLevel="0" collapsed="false">
      <c r="A132" s="29" t="n">
        <v>133387</v>
      </c>
      <c r="B132" s="29" t="s">
        <v>1479</v>
      </c>
      <c r="C132" s="29" t="s">
        <v>1481</v>
      </c>
      <c r="D132" s="29" t="s">
        <v>387</v>
      </c>
      <c r="E132" s="29" t="s">
        <v>388</v>
      </c>
      <c r="F132" s="29" t="s">
        <v>76</v>
      </c>
      <c r="G132" s="29" t="s">
        <v>68</v>
      </c>
      <c r="H132" s="29" t="s">
        <v>1381</v>
      </c>
      <c r="I132" s="29" t="s">
        <v>1853</v>
      </c>
      <c r="J132" s="29" t="n">
        <v>0</v>
      </c>
      <c r="K132" s="29" t="n">
        <v>0</v>
      </c>
      <c r="L132" s="29" t="s">
        <v>1849</v>
      </c>
    </row>
    <row r="133" customFormat="false" ht="15" hidden="false" customHeight="false" outlineLevel="0" collapsed="false">
      <c r="A133" s="29" t="n">
        <v>133387</v>
      </c>
      <c r="B133" s="29" t="s">
        <v>1479</v>
      </c>
      <c r="C133" s="29" t="s">
        <v>1481</v>
      </c>
      <c r="D133" s="29" t="s">
        <v>396</v>
      </c>
      <c r="E133" s="29" t="s">
        <v>397</v>
      </c>
      <c r="F133" s="29" t="s">
        <v>76</v>
      </c>
      <c r="G133" s="29" t="s">
        <v>68</v>
      </c>
      <c r="H133" s="29" t="s">
        <v>1381</v>
      </c>
      <c r="I133" s="29" t="s">
        <v>1853</v>
      </c>
      <c r="J133" s="29" t="n">
        <v>0</v>
      </c>
      <c r="K133" s="29" t="n">
        <v>0</v>
      </c>
      <c r="L133" s="29" t="s">
        <v>1849</v>
      </c>
    </row>
    <row r="134" customFormat="false" ht="15" hidden="false" customHeight="false" outlineLevel="0" collapsed="false">
      <c r="A134" s="29" t="n">
        <v>133387</v>
      </c>
      <c r="B134" s="29" t="s">
        <v>1479</v>
      </c>
      <c r="C134" s="29" t="s">
        <v>1481</v>
      </c>
      <c r="D134" s="29" t="s">
        <v>403</v>
      </c>
      <c r="E134" s="29" t="s">
        <v>404</v>
      </c>
      <c r="F134" s="29" t="s">
        <v>76</v>
      </c>
      <c r="G134" s="29" t="s">
        <v>68</v>
      </c>
      <c r="H134" s="29" t="s">
        <v>1381</v>
      </c>
      <c r="I134" s="29" t="s">
        <v>1852</v>
      </c>
      <c r="J134" s="29" t="n">
        <v>0</v>
      </c>
      <c r="K134" s="29" t="n">
        <v>0</v>
      </c>
      <c r="L134" s="29" t="s">
        <v>1849</v>
      </c>
    </row>
    <row r="135" customFormat="false" ht="15" hidden="false" customHeight="false" outlineLevel="0" collapsed="false">
      <c r="A135" s="29" t="n">
        <v>133387</v>
      </c>
      <c r="B135" s="29" t="s">
        <v>1479</v>
      </c>
      <c r="C135" s="29" t="s">
        <v>1481</v>
      </c>
      <c r="D135" s="29" t="s">
        <v>428</v>
      </c>
      <c r="E135" s="29" t="s">
        <v>429</v>
      </c>
      <c r="F135" s="29" t="s">
        <v>76</v>
      </c>
      <c r="G135" s="29" t="s">
        <v>68</v>
      </c>
      <c r="H135" s="29" t="s">
        <v>1381</v>
      </c>
      <c r="I135" s="29" t="s">
        <v>1853</v>
      </c>
      <c r="J135" s="29" t="n">
        <v>0</v>
      </c>
      <c r="K135" s="29" t="n">
        <v>0</v>
      </c>
      <c r="L135" s="29" t="s">
        <v>1849</v>
      </c>
    </row>
    <row r="136" customFormat="false" ht="15" hidden="false" customHeight="false" outlineLevel="0" collapsed="false">
      <c r="A136" s="29" t="n">
        <v>133387</v>
      </c>
      <c r="B136" s="29" t="s">
        <v>1479</v>
      </c>
      <c r="C136" s="29" t="s">
        <v>1481</v>
      </c>
      <c r="D136" s="29" t="s">
        <v>433</v>
      </c>
      <c r="E136" s="29" t="s">
        <v>434</v>
      </c>
      <c r="F136" s="29" t="s">
        <v>82</v>
      </c>
      <c r="G136" s="29" t="s">
        <v>66</v>
      </c>
      <c r="H136" s="29" t="s">
        <v>1379</v>
      </c>
      <c r="I136" s="29" t="s">
        <v>1850</v>
      </c>
      <c r="J136" s="29" t="n">
        <v>0</v>
      </c>
      <c r="K136" s="29" t="n">
        <v>0</v>
      </c>
      <c r="L136" s="29" t="s">
        <v>1849</v>
      </c>
    </row>
    <row r="137" customFormat="false" ht="15" hidden="false" customHeight="false" outlineLevel="0" collapsed="false">
      <c r="A137" s="29" t="n">
        <v>133387</v>
      </c>
      <c r="B137" s="29" t="s">
        <v>1479</v>
      </c>
      <c r="C137" s="29" t="s">
        <v>1481</v>
      </c>
      <c r="D137" s="29" t="s">
        <v>508</v>
      </c>
      <c r="E137" s="29" t="s">
        <v>509</v>
      </c>
      <c r="F137" s="29" t="s">
        <v>88</v>
      </c>
      <c r="G137" s="29" t="s">
        <v>67</v>
      </c>
      <c r="H137" s="29" t="s">
        <v>1379</v>
      </c>
      <c r="I137" s="29" t="s">
        <v>1850</v>
      </c>
      <c r="J137" s="29" t="n">
        <v>0</v>
      </c>
      <c r="K137" s="29" t="n">
        <v>1</v>
      </c>
      <c r="L137" s="29" t="s">
        <v>1866</v>
      </c>
    </row>
    <row r="138" customFormat="false" ht="15" hidden="false" customHeight="false" outlineLevel="0" collapsed="false">
      <c r="A138" s="29" t="n">
        <v>133387</v>
      </c>
      <c r="B138" s="29" t="s">
        <v>1479</v>
      </c>
      <c r="C138" s="29" t="s">
        <v>1481</v>
      </c>
      <c r="D138" s="29" t="s">
        <v>515</v>
      </c>
      <c r="E138" s="29" t="s">
        <v>516</v>
      </c>
      <c r="F138" s="29" t="s">
        <v>88</v>
      </c>
      <c r="G138" s="29" t="s">
        <v>67</v>
      </c>
      <c r="H138" s="29" t="s">
        <v>1379</v>
      </c>
      <c r="I138" s="29" t="s">
        <v>1850</v>
      </c>
      <c r="J138" s="29" t="n">
        <v>0</v>
      </c>
      <c r="K138" s="29" t="n">
        <v>0</v>
      </c>
      <c r="L138" s="29" t="s">
        <v>1849</v>
      </c>
    </row>
    <row r="139" customFormat="false" ht="15" hidden="false" customHeight="false" outlineLevel="0" collapsed="false">
      <c r="A139" s="29" t="n">
        <v>133387</v>
      </c>
      <c r="B139" s="29" t="s">
        <v>1479</v>
      </c>
      <c r="C139" s="29" t="s">
        <v>1481</v>
      </c>
      <c r="D139" s="29" t="s">
        <v>668</v>
      </c>
      <c r="E139" s="29" t="s">
        <v>669</v>
      </c>
      <c r="F139" s="29" t="s">
        <v>105</v>
      </c>
      <c r="G139" s="29" t="s">
        <v>66</v>
      </c>
      <c r="H139" s="29" t="s">
        <v>1379</v>
      </c>
      <c r="I139" s="29" t="s">
        <v>1850</v>
      </c>
      <c r="J139" s="29" t="n">
        <v>0</v>
      </c>
      <c r="K139" s="29" t="n">
        <v>0</v>
      </c>
      <c r="L139" s="29" t="s">
        <v>1849</v>
      </c>
    </row>
    <row r="140" customFormat="false" ht="15" hidden="false" customHeight="false" outlineLevel="0" collapsed="false">
      <c r="A140" s="29" t="n">
        <v>133387</v>
      </c>
      <c r="B140" s="29" t="s">
        <v>1479</v>
      </c>
      <c r="C140" s="29" t="s">
        <v>1481</v>
      </c>
      <c r="D140" s="29" t="s">
        <v>680</v>
      </c>
      <c r="E140" s="29" t="s">
        <v>681</v>
      </c>
      <c r="F140" s="29" t="s">
        <v>105</v>
      </c>
      <c r="G140" s="29" t="s">
        <v>66</v>
      </c>
      <c r="H140" s="29" t="s">
        <v>1379</v>
      </c>
      <c r="I140" s="29" t="s">
        <v>1850</v>
      </c>
      <c r="J140" s="29" t="n">
        <v>0</v>
      </c>
      <c r="K140" s="29" t="n">
        <v>0</v>
      </c>
      <c r="L140" s="29" t="s">
        <v>1849</v>
      </c>
    </row>
    <row r="141" customFormat="false" ht="15" hidden="false" customHeight="false" outlineLevel="0" collapsed="false">
      <c r="A141" s="29" t="n">
        <v>133387</v>
      </c>
      <c r="B141" s="29" t="s">
        <v>1479</v>
      </c>
      <c r="C141" s="29" t="s">
        <v>1481</v>
      </c>
      <c r="D141" s="29" t="s">
        <v>699</v>
      </c>
      <c r="E141" s="29" t="s">
        <v>700</v>
      </c>
      <c r="F141" s="29" t="s">
        <v>110</v>
      </c>
      <c r="G141" s="29" t="s">
        <v>68</v>
      </c>
      <c r="H141" s="29" t="s">
        <v>1381</v>
      </c>
      <c r="I141" s="29" t="s">
        <v>1870</v>
      </c>
      <c r="J141" s="29" t="n">
        <v>0</v>
      </c>
      <c r="K141" s="29" t="n">
        <v>0</v>
      </c>
      <c r="L141" s="29" t="s">
        <v>1849</v>
      </c>
    </row>
    <row r="142" customFormat="false" ht="15" hidden="false" customHeight="false" outlineLevel="0" collapsed="false">
      <c r="A142" s="29" t="n">
        <v>133387</v>
      </c>
      <c r="B142" s="29" t="s">
        <v>1479</v>
      </c>
      <c r="C142" s="29" t="s">
        <v>1481</v>
      </c>
      <c r="D142" s="29" t="s">
        <v>711</v>
      </c>
      <c r="E142" s="29" t="s">
        <v>712</v>
      </c>
      <c r="F142" s="29" t="s">
        <v>116</v>
      </c>
      <c r="G142" s="29" t="s">
        <v>66</v>
      </c>
      <c r="H142" s="29" t="s">
        <v>1379</v>
      </c>
      <c r="I142" s="29" t="s">
        <v>1850</v>
      </c>
      <c r="J142" s="29" t="n">
        <v>0</v>
      </c>
      <c r="K142" s="29" t="n">
        <v>1</v>
      </c>
      <c r="L142" s="29" t="s">
        <v>1866</v>
      </c>
    </row>
    <row r="143" customFormat="false" ht="15" hidden="false" customHeight="false" outlineLevel="0" collapsed="false">
      <c r="A143" s="29" t="n">
        <v>133387</v>
      </c>
      <c r="B143" s="29" t="s">
        <v>1479</v>
      </c>
      <c r="C143" s="29" t="s">
        <v>1481</v>
      </c>
      <c r="D143" s="29" t="s">
        <v>721</v>
      </c>
      <c r="E143" s="29" t="s">
        <v>722</v>
      </c>
      <c r="F143" s="29" t="s">
        <v>116</v>
      </c>
      <c r="G143" s="29" t="s">
        <v>66</v>
      </c>
      <c r="H143" s="29" t="s">
        <v>1379</v>
      </c>
      <c r="I143" s="29" t="s">
        <v>1850</v>
      </c>
      <c r="J143" s="29" t="n">
        <v>0</v>
      </c>
      <c r="K143" s="29" t="n">
        <v>0</v>
      </c>
      <c r="L143" s="29" t="s">
        <v>1849</v>
      </c>
    </row>
    <row r="144" customFormat="false" ht="15" hidden="false" customHeight="false" outlineLevel="0" collapsed="false">
      <c r="A144" s="29" t="n">
        <v>133387</v>
      </c>
      <c r="B144" s="29" t="s">
        <v>1479</v>
      </c>
      <c r="C144" s="29" t="s">
        <v>1481</v>
      </c>
      <c r="D144" s="29" t="s">
        <v>745</v>
      </c>
      <c r="E144" s="29" t="s">
        <v>746</v>
      </c>
      <c r="F144" s="29" t="s">
        <v>116</v>
      </c>
      <c r="G144" s="29" t="s">
        <v>67</v>
      </c>
      <c r="H144" s="29" t="s">
        <v>1844</v>
      </c>
      <c r="I144" s="29" t="s">
        <v>1860</v>
      </c>
      <c r="J144" s="29" t="n">
        <v>0</v>
      </c>
      <c r="K144" s="29" t="n">
        <v>0</v>
      </c>
      <c r="L144" s="29" t="s">
        <v>1849</v>
      </c>
    </row>
    <row r="145" customFormat="false" ht="15" hidden="false" customHeight="false" outlineLevel="0" collapsed="false">
      <c r="A145" s="29" t="n">
        <v>133387</v>
      </c>
      <c r="B145" s="29" t="s">
        <v>1479</v>
      </c>
      <c r="C145" s="29" t="s">
        <v>1481</v>
      </c>
      <c r="D145" s="29" t="s">
        <v>753</v>
      </c>
      <c r="E145" s="29" t="s">
        <v>754</v>
      </c>
      <c r="F145" s="29" t="s">
        <v>116</v>
      </c>
      <c r="G145" s="29" t="s">
        <v>68</v>
      </c>
      <c r="H145" s="29" t="s">
        <v>1381</v>
      </c>
      <c r="I145" s="29" t="s">
        <v>1860</v>
      </c>
      <c r="J145" s="29" t="n">
        <v>0</v>
      </c>
      <c r="K145" s="29" t="n">
        <v>0</v>
      </c>
      <c r="L145" s="29" t="s">
        <v>1849</v>
      </c>
    </row>
    <row r="146" customFormat="false" ht="15" hidden="false" customHeight="false" outlineLevel="0" collapsed="false">
      <c r="A146" s="29" t="n">
        <v>141081</v>
      </c>
      <c r="B146" s="29" t="s">
        <v>1488</v>
      </c>
      <c r="C146" s="29" t="s">
        <v>1489</v>
      </c>
      <c r="D146" s="29" t="s">
        <v>247</v>
      </c>
      <c r="E146" s="29" t="s">
        <v>248</v>
      </c>
      <c r="F146" s="29" t="s">
        <v>69</v>
      </c>
      <c r="G146" s="29" t="s">
        <v>67</v>
      </c>
      <c r="H146" s="29" t="s">
        <v>1844</v>
      </c>
      <c r="I146" s="29" t="s">
        <v>1848</v>
      </c>
      <c r="J146" s="29" t="n">
        <v>0</v>
      </c>
      <c r="K146" s="29" t="n">
        <v>0</v>
      </c>
      <c r="L146" s="29" t="s">
        <v>1849</v>
      </c>
    </row>
    <row r="147" customFormat="false" ht="15" hidden="false" customHeight="false" outlineLevel="0" collapsed="false">
      <c r="A147" s="29" t="n">
        <v>141081</v>
      </c>
      <c r="B147" s="29" t="s">
        <v>1488</v>
      </c>
      <c r="C147" s="29" t="s">
        <v>1489</v>
      </c>
      <c r="D147" s="29" t="s">
        <v>277</v>
      </c>
      <c r="E147" s="29" t="s">
        <v>278</v>
      </c>
      <c r="F147" s="29" t="s">
        <v>69</v>
      </c>
      <c r="G147" s="29" t="s">
        <v>67</v>
      </c>
      <c r="H147" s="29" t="s">
        <v>1379</v>
      </c>
      <c r="I147" s="29" t="s">
        <v>1850</v>
      </c>
      <c r="J147" s="29" t="n">
        <v>0</v>
      </c>
      <c r="K147" s="29" t="n">
        <v>0</v>
      </c>
      <c r="L147" s="29" t="s">
        <v>1849</v>
      </c>
    </row>
    <row r="148" customFormat="false" ht="15" hidden="false" customHeight="false" outlineLevel="0" collapsed="false">
      <c r="A148" s="29" t="n">
        <v>141081</v>
      </c>
      <c r="B148" s="29" t="s">
        <v>1488</v>
      </c>
      <c r="C148" s="29" t="s">
        <v>1489</v>
      </c>
      <c r="D148" s="29" t="s">
        <v>297</v>
      </c>
      <c r="E148" s="29" t="s">
        <v>298</v>
      </c>
      <c r="F148" s="29" t="s">
        <v>69</v>
      </c>
      <c r="G148" s="29" t="s">
        <v>68</v>
      </c>
      <c r="H148" s="29" t="s">
        <v>1381</v>
      </c>
      <c r="I148" s="29" t="s">
        <v>1848</v>
      </c>
      <c r="J148" s="29" t="n">
        <v>0</v>
      </c>
      <c r="K148" s="29" t="n">
        <v>1</v>
      </c>
      <c r="L148" s="29" t="s">
        <v>1866</v>
      </c>
    </row>
    <row r="149" customFormat="false" ht="15" hidden="false" customHeight="false" outlineLevel="0" collapsed="false">
      <c r="A149" s="29" t="n">
        <v>141081</v>
      </c>
      <c r="B149" s="29" t="s">
        <v>1488</v>
      </c>
      <c r="C149" s="29" t="s">
        <v>1489</v>
      </c>
      <c r="D149" s="29" t="s">
        <v>353</v>
      </c>
      <c r="E149" s="29" t="s">
        <v>354</v>
      </c>
      <c r="F149" s="29" t="s">
        <v>76</v>
      </c>
      <c r="G149" s="29" t="s">
        <v>67</v>
      </c>
      <c r="H149" s="29" t="s">
        <v>1844</v>
      </c>
      <c r="I149" s="29" t="s">
        <v>1853</v>
      </c>
      <c r="J149" s="29" t="n">
        <v>0</v>
      </c>
      <c r="K149" s="29" t="n">
        <v>0</v>
      </c>
      <c r="L149" s="29" t="s">
        <v>1849</v>
      </c>
    </row>
    <row r="150" customFormat="false" ht="15" hidden="false" customHeight="false" outlineLevel="0" collapsed="false">
      <c r="A150" s="29" t="n">
        <v>141081</v>
      </c>
      <c r="B150" s="29" t="s">
        <v>1488</v>
      </c>
      <c r="C150" s="29" t="s">
        <v>1489</v>
      </c>
      <c r="D150" s="29" t="s">
        <v>387</v>
      </c>
      <c r="E150" s="29" t="s">
        <v>388</v>
      </c>
      <c r="F150" s="29" t="s">
        <v>76</v>
      </c>
      <c r="G150" s="29" t="s">
        <v>68</v>
      </c>
      <c r="H150" s="29" t="s">
        <v>1381</v>
      </c>
      <c r="I150" s="29" t="s">
        <v>1853</v>
      </c>
      <c r="J150" s="29" t="n">
        <v>0</v>
      </c>
      <c r="K150" s="29" t="n">
        <v>0</v>
      </c>
      <c r="L150" s="29" t="s">
        <v>1849</v>
      </c>
    </row>
    <row r="151" customFormat="false" ht="15" hidden="false" customHeight="false" outlineLevel="0" collapsed="false">
      <c r="A151" s="29" t="n">
        <v>141081</v>
      </c>
      <c r="B151" s="29" t="s">
        <v>1488</v>
      </c>
      <c r="C151" s="29" t="s">
        <v>1489</v>
      </c>
      <c r="D151" s="29" t="s">
        <v>396</v>
      </c>
      <c r="E151" s="29" t="s">
        <v>397</v>
      </c>
      <c r="F151" s="29" t="s">
        <v>76</v>
      </c>
      <c r="G151" s="29" t="s">
        <v>68</v>
      </c>
      <c r="H151" s="29" t="s">
        <v>1381</v>
      </c>
      <c r="I151" s="29" t="s">
        <v>1853</v>
      </c>
      <c r="J151" s="29" t="n">
        <v>0</v>
      </c>
      <c r="K151" s="29" t="n">
        <v>0</v>
      </c>
      <c r="L151" s="29" t="s">
        <v>1849</v>
      </c>
    </row>
    <row r="152" customFormat="false" ht="15" hidden="false" customHeight="false" outlineLevel="0" collapsed="false">
      <c r="A152" s="29" t="n">
        <v>141081</v>
      </c>
      <c r="B152" s="29" t="s">
        <v>1488</v>
      </c>
      <c r="C152" s="29" t="s">
        <v>1489</v>
      </c>
      <c r="D152" s="29" t="s">
        <v>417</v>
      </c>
      <c r="E152" s="29" t="s">
        <v>418</v>
      </c>
      <c r="F152" s="29" t="s">
        <v>76</v>
      </c>
      <c r="G152" s="29" t="s">
        <v>68</v>
      </c>
      <c r="H152" s="29" t="s">
        <v>1381</v>
      </c>
      <c r="I152" s="29" t="s">
        <v>1871</v>
      </c>
      <c r="J152" s="29" t="n">
        <v>0</v>
      </c>
      <c r="K152" s="29" t="n">
        <v>18</v>
      </c>
      <c r="L152" s="29" t="s">
        <v>1866</v>
      </c>
    </row>
    <row r="153" customFormat="false" ht="15" hidden="false" customHeight="false" outlineLevel="0" collapsed="false">
      <c r="A153" s="29" t="n">
        <v>141081</v>
      </c>
      <c r="B153" s="29" t="s">
        <v>1488</v>
      </c>
      <c r="C153" s="29" t="s">
        <v>1489</v>
      </c>
      <c r="D153" s="29" t="s">
        <v>422</v>
      </c>
      <c r="E153" s="29" t="s">
        <v>423</v>
      </c>
      <c r="F153" s="29" t="s">
        <v>76</v>
      </c>
      <c r="G153" s="29" t="s">
        <v>68</v>
      </c>
      <c r="H153" s="29" t="s">
        <v>1381</v>
      </c>
      <c r="I153" s="29" t="s">
        <v>1871</v>
      </c>
      <c r="J153" s="29" t="n">
        <v>0</v>
      </c>
      <c r="K153" s="29" t="n">
        <v>17</v>
      </c>
      <c r="L153" s="29" t="s">
        <v>1866</v>
      </c>
    </row>
    <row r="154" customFormat="false" ht="15" hidden="false" customHeight="false" outlineLevel="0" collapsed="false">
      <c r="A154" s="29" t="n">
        <v>141081</v>
      </c>
      <c r="B154" s="29" t="s">
        <v>1488</v>
      </c>
      <c r="C154" s="29" t="s">
        <v>1489</v>
      </c>
      <c r="D154" s="29" t="s">
        <v>428</v>
      </c>
      <c r="E154" s="29" t="s">
        <v>429</v>
      </c>
      <c r="F154" s="29" t="s">
        <v>76</v>
      </c>
      <c r="G154" s="29" t="s">
        <v>68</v>
      </c>
      <c r="H154" s="29" t="s">
        <v>1381</v>
      </c>
      <c r="I154" s="29" t="s">
        <v>1853</v>
      </c>
      <c r="J154" s="29" t="n">
        <v>0</v>
      </c>
      <c r="K154" s="29" t="n">
        <v>0</v>
      </c>
      <c r="L154" s="29" t="s">
        <v>1849</v>
      </c>
    </row>
    <row r="155" customFormat="false" ht="15" hidden="false" customHeight="false" outlineLevel="0" collapsed="false">
      <c r="A155" s="29" t="n">
        <v>141081</v>
      </c>
      <c r="B155" s="29" t="s">
        <v>1488</v>
      </c>
      <c r="C155" s="29" t="s">
        <v>1489</v>
      </c>
      <c r="D155" s="29" t="s">
        <v>433</v>
      </c>
      <c r="E155" s="29" t="s">
        <v>434</v>
      </c>
      <c r="F155" s="29" t="s">
        <v>82</v>
      </c>
      <c r="G155" s="29" t="s">
        <v>66</v>
      </c>
      <c r="H155" s="29" t="s">
        <v>1379</v>
      </c>
      <c r="I155" s="29" t="s">
        <v>1850</v>
      </c>
      <c r="J155" s="29" t="n">
        <v>0</v>
      </c>
      <c r="K155" s="29" t="n">
        <v>0</v>
      </c>
      <c r="L155" s="29" t="s">
        <v>1849</v>
      </c>
    </row>
    <row r="156" customFormat="false" ht="15" hidden="false" customHeight="false" outlineLevel="0" collapsed="false">
      <c r="A156" s="29" t="n">
        <v>141081</v>
      </c>
      <c r="B156" s="29" t="s">
        <v>1488</v>
      </c>
      <c r="C156" s="29" t="s">
        <v>1489</v>
      </c>
      <c r="D156" s="29" t="s">
        <v>508</v>
      </c>
      <c r="E156" s="29" t="s">
        <v>509</v>
      </c>
      <c r="F156" s="29" t="s">
        <v>88</v>
      </c>
      <c r="G156" s="29" t="s">
        <v>67</v>
      </c>
      <c r="H156" s="29" t="s">
        <v>1379</v>
      </c>
      <c r="I156" s="29" t="s">
        <v>1850</v>
      </c>
      <c r="J156" s="29" t="n">
        <v>0</v>
      </c>
      <c r="K156" s="29" t="n">
        <v>0</v>
      </c>
      <c r="L156" s="29" t="s">
        <v>1849</v>
      </c>
    </row>
    <row r="157" customFormat="false" ht="15" hidden="false" customHeight="false" outlineLevel="0" collapsed="false">
      <c r="A157" s="29" t="n">
        <v>141081</v>
      </c>
      <c r="B157" s="29" t="s">
        <v>1488</v>
      </c>
      <c r="C157" s="29" t="s">
        <v>1489</v>
      </c>
      <c r="D157" s="29" t="s">
        <v>515</v>
      </c>
      <c r="E157" s="29" t="s">
        <v>516</v>
      </c>
      <c r="F157" s="29" t="s">
        <v>88</v>
      </c>
      <c r="G157" s="29" t="s">
        <v>67</v>
      </c>
      <c r="H157" s="29" t="s">
        <v>1379</v>
      </c>
      <c r="I157" s="29" t="s">
        <v>1850</v>
      </c>
      <c r="J157" s="29" t="n">
        <v>0</v>
      </c>
      <c r="K157" s="29" t="n">
        <v>0</v>
      </c>
      <c r="L157" s="29" t="s">
        <v>1849</v>
      </c>
    </row>
    <row r="158" customFormat="false" ht="15" hidden="false" customHeight="false" outlineLevel="0" collapsed="false">
      <c r="A158" s="29" t="n">
        <v>141081</v>
      </c>
      <c r="B158" s="29" t="s">
        <v>1488</v>
      </c>
      <c r="C158" s="29" t="s">
        <v>1489</v>
      </c>
      <c r="D158" s="29" t="s">
        <v>668</v>
      </c>
      <c r="E158" s="29" t="s">
        <v>669</v>
      </c>
      <c r="F158" s="29" t="s">
        <v>105</v>
      </c>
      <c r="G158" s="29" t="s">
        <v>66</v>
      </c>
      <c r="H158" s="29" t="s">
        <v>1379</v>
      </c>
      <c r="I158" s="29" t="s">
        <v>1850</v>
      </c>
      <c r="J158" s="29" t="n">
        <v>0</v>
      </c>
      <c r="K158" s="29" t="n">
        <v>0</v>
      </c>
      <c r="L158" s="29" t="s">
        <v>1849</v>
      </c>
    </row>
    <row r="159" customFormat="false" ht="15" hidden="false" customHeight="false" outlineLevel="0" collapsed="false">
      <c r="A159" s="29" t="n">
        <v>141081</v>
      </c>
      <c r="B159" s="29" t="s">
        <v>1488</v>
      </c>
      <c r="C159" s="29" t="s">
        <v>1489</v>
      </c>
      <c r="D159" s="29" t="s">
        <v>680</v>
      </c>
      <c r="E159" s="29" t="s">
        <v>681</v>
      </c>
      <c r="F159" s="29" t="s">
        <v>105</v>
      </c>
      <c r="G159" s="29" t="s">
        <v>66</v>
      </c>
      <c r="H159" s="29" t="s">
        <v>1379</v>
      </c>
      <c r="I159" s="29" t="s">
        <v>1850</v>
      </c>
      <c r="J159" s="29" t="n">
        <v>0</v>
      </c>
      <c r="K159" s="29" t="n">
        <v>0</v>
      </c>
      <c r="L159" s="29" t="s">
        <v>1849</v>
      </c>
    </row>
    <row r="160" customFormat="false" ht="15" hidden="false" customHeight="false" outlineLevel="0" collapsed="false">
      <c r="A160" s="29" t="n">
        <v>141081</v>
      </c>
      <c r="B160" s="29" t="s">
        <v>1488</v>
      </c>
      <c r="C160" s="29" t="s">
        <v>1489</v>
      </c>
      <c r="D160" s="29" t="s">
        <v>699</v>
      </c>
      <c r="E160" s="29" t="s">
        <v>700</v>
      </c>
      <c r="F160" s="29" t="s">
        <v>110</v>
      </c>
      <c r="G160" s="29" t="s">
        <v>68</v>
      </c>
      <c r="H160" s="29" t="s">
        <v>1381</v>
      </c>
      <c r="I160" s="29" t="s">
        <v>1870</v>
      </c>
      <c r="J160" s="29" t="n">
        <v>0</v>
      </c>
      <c r="K160" s="29" t="n">
        <v>0</v>
      </c>
      <c r="L160" s="29" t="s">
        <v>1849</v>
      </c>
    </row>
    <row r="161" customFormat="false" ht="15" hidden="false" customHeight="false" outlineLevel="0" collapsed="false">
      <c r="A161" s="29" t="n">
        <v>141081</v>
      </c>
      <c r="B161" s="29" t="s">
        <v>1488</v>
      </c>
      <c r="C161" s="29" t="s">
        <v>1489</v>
      </c>
      <c r="D161" s="29" t="s">
        <v>711</v>
      </c>
      <c r="E161" s="29" t="s">
        <v>712</v>
      </c>
      <c r="F161" s="29" t="s">
        <v>116</v>
      </c>
      <c r="G161" s="29" t="s">
        <v>66</v>
      </c>
      <c r="H161" s="29" t="s">
        <v>1379</v>
      </c>
      <c r="I161" s="29" t="s">
        <v>1850</v>
      </c>
      <c r="J161" s="29" t="n">
        <v>0</v>
      </c>
      <c r="K161" s="29" t="n">
        <v>13</v>
      </c>
      <c r="L161" s="29" t="s">
        <v>1866</v>
      </c>
    </row>
    <row r="162" customFormat="false" ht="15" hidden="false" customHeight="false" outlineLevel="0" collapsed="false">
      <c r="A162" s="29" t="n">
        <v>141081</v>
      </c>
      <c r="B162" s="29" t="s">
        <v>1488</v>
      </c>
      <c r="C162" s="29" t="s">
        <v>1489</v>
      </c>
      <c r="D162" s="29" t="s">
        <v>721</v>
      </c>
      <c r="E162" s="29" t="s">
        <v>722</v>
      </c>
      <c r="F162" s="29" t="s">
        <v>116</v>
      </c>
      <c r="G162" s="29" t="s">
        <v>66</v>
      </c>
      <c r="H162" s="29" t="s">
        <v>1379</v>
      </c>
      <c r="I162" s="29" t="s">
        <v>1850</v>
      </c>
      <c r="J162" s="29" t="n">
        <v>0</v>
      </c>
      <c r="K162" s="29" t="n">
        <v>0</v>
      </c>
      <c r="L162" s="29" t="s">
        <v>1849</v>
      </c>
    </row>
    <row r="163" customFormat="false" ht="15" hidden="false" customHeight="false" outlineLevel="0" collapsed="false">
      <c r="A163" s="29" t="n">
        <v>141081</v>
      </c>
      <c r="B163" s="29" t="s">
        <v>1488</v>
      </c>
      <c r="C163" s="29" t="s">
        <v>1489</v>
      </c>
      <c r="D163" s="29" t="s">
        <v>745</v>
      </c>
      <c r="E163" s="29" t="s">
        <v>746</v>
      </c>
      <c r="F163" s="29" t="s">
        <v>116</v>
      </c>
      <c r="G163" s="29" t="s">
        <v>67</v>
      </c>
      <c r="H163" s="29" t="s">
        <v>1844</v>
      </c>
      <c r="I163" s="29" t="s">
        <v>1860</v>
      </c>
      <c r="J163" s="29" t="n">
        <v>0</v>
      </c>
      <c r="K163" s="29" t="n">
        <v>0</v>
      </c>
      <c r="L163" s="29" t="s">
        <v>1849</v>
      </c>
    </row>
    <row r="164" customFormat="false" ht="15" hidden="false" customHeight="false" outlineLevel="0" collapsed="false">
      <c r="A164" s="29" t="n">
        <v>141081</v>
      </c>
      <c r="B164" s="29" t="s">
        <v>1488</v>
      </c>
      <c r="C164" s="29" t="s">
        <v>1489</v>
      </c>
      <c r="D164" s="29" t="s">
        <v>753</v>
      </c>
      <c r="E164" s="29" t="s">
        <v>754</v>
      </c>
      <c r="F164" s="29" t="s">
        <v>116</v>
      </c>
      <c r="G164" s="29" t="s">
        <v>68</v>
      </c>
      <c r="H164" s="29" t="s">
        <v>1381</v>
      </c>
      <c r="I164" s="29" t="s">
        <v>1860</v>
      </c>
      <c r="J164" s="29" t="n">
        <v>0</v>
      </c>
      <c r="K164" s="29" t="n">
        <v>0</v>
      </c>
      <c r="L164" s="29" t="s">
        <v>1849</v>
      </c>
    </row>
    <row r="165" customFormat="false" ht="15" hidden="false" customHeight="false" outlineLevel="0" collapsed="false">
      <c r="A165" s="29" t="n">
        <v>111269</v>
      </c>
      <c r="B165" s="29" t="s">
        <v>1495</v>
      </c>
      <c r="C165" s="29" t="s">
        <v>1496</v>
      </c>
      <c r="D165" s="29" t="s">
        <v>247</v>
      </c>
      <c r="E165" s="29" t="s">
        <v>248</v>
      </c>
      <c r="F165" s="29" t="s">
        <v>69</v>
      </c>
      <c r="G165" s="29" t="s">
        <v>67</v>
      </c>
      <c r="H165" s="29" t="s">
        <v>1844</v>
      </c>
      <c r="I165" s="29" t="s">
        <v>1848</v>
      </c>
      <c r="J165" s="29" t="n">
        <v>0</v>
      </c>
      <c r="K165" s="29" t="n">
        <v>0</v>
      </c>
      <c r="L165" s="29" t="s">
        <v>1846</v>
      </c>
    </row>
    <row r="166" customFormat="false" ht="15" hidden="false" customHeight="false" outlineLevel="0" collapsed="false">
      <c r="A166" s="29" t="n">
        <v>111269</v>
      </c>
      <c r="B166" s="29" t="s">
        <v>1495</v>
      </c>
      <c r="C166" s="29" t="s">
        <v>1496</v>
      </c>
      <c r="D166" s="29" t="s">
        <v>265</v>
      </c>
      <c r="E166" s="29" t="s">
        <v>266</v>
      </c>
      <c r="F166" s="29" t="s">
        <v>69</v>
      </c>
      <c r="G166" s="29" t="s">
        <v>67</v>
      </c>
      <c r="H166" s="29" t="s">
        <v>1379</v>
      </c>
      <c r="I166" s="29" t="s">
        <v>1863</v>
      </c>
      <c r="J166" s="29" t="n">
        <v>0</v>
      </c>
      <c r="K166" s="29" t="n">
        <v>0</v>
      </c>
      <c r="L166" s="29" t="s">
        <v>1846</v>
      </c>
    </row>
    <row r="167" customFormat="false" ht="15" hidden="false" customHeight="false" outlineLevel="0" collapsed="false">
      <c r="A167" s="29" t="n">
        <v>111269</v>
      </c>
      <c r="B167" s="29" t="s">
        <v>1495</v>
      </c>
      <c r="C167" s="29" t="s">
        <v>1496</v>
      </c>
      <c r="D167" s="29" t="s">
        <v>291</v>
      </c>
      <c r="E167" s="29" t="s">
        <v>292</v>
      </c>
      <c r="F167" s="29" t="s">
        <v>69</v>
      </c>
      <c r="G167" s="29" t="s">
        <v>68</v>
      </c>
      <c r="H167" s="29" t="s">
        <v>1381</v>
      </c>
      <c r="I167" s="29" t="s">
        <v>1845</v>
      </c>
      <c r="J167" s="29" t="n">
        <v>0</v>
      </c>
      <c r="K167" s="29" t="n">
        <v>17</v>
      </c>
      <c r="L167" s="29" t="s">
        <v>1866</v>
      </c>
    </row>
    <row r="168" customFormat="false" ht="15" hidden="false" customHeight="false" outlineLevel="0" collapsed="false">
      <c r="A168" s="29" t="n">
        <v>111269</v>
      </c>
      <c r="B168" s="29" t="s">
        <v>1495</v>
      </c>
      <c r="C168" s="29" t="s">
        <v>1496</v>
      </c>
      <c r="D168" s="29" t="s">
        <v>297</v>
      </c>
      <c r="E168" s="29" t="s">
        <v>298</v>
      </c>
      <c r="F168" s="29" t="s">
        <v>69</v>
      </c>
      <c r="G168" s="29" t="s">
        <v>68</v>
      </c>
      <c r="H168" s="29" t="s">
        <v>1381</v>
      </c>
      <c r="I168" s="29" t="s">
        <v>1848</v>
      </c>
      <c r="J168" s="29" t="n">
        <v>0</v>
      </c>
      <c r="K168" s="29" t="n">
        <v>2</v>
      </c>
      <c r="L168" s="29" t="s">
        <v>1866</v>
      </c>
    </row>
    <row r="169" customFormat="false" ht="15" hidden="false" customHeight="false" outlineLevel="0" collapsed="false">
      <c r="A169" s="29" t="n">
        <v>111269</v>
      </c>
      <c r="B169" s="29" t="s">
        <v>1495</v>
      </c>
      <c r="C169" s="29" t="s">
        <v>1496</v>
      </c>
      <c r="D169" s="29" t="s">
        <v>428</v>
      </c>
      <c r="E169" s="29" t="s">
        <v>429</v>
      </c>
      <c r="F169" s="29" t="s">
        <v>76</v>
      </c>
      <c r="G169" s="29" t="s">
        <v>68</v>
      </c>
      <c r="H169" s="29" t="s">
        <v>1381</v>
      </c>
      <c r="I169" s="29" t="s">
        <v>1872</v>
      </c>
      <c r="J169" s="29" t="n">
        <v>0</v>
      </c>
      <c r="K169" s="29" t="n">
        <v>7</v>
      </c>
      <c r="L169" s="29" t="s">
        <v>1866</v>
      </c>
    </row>
    <row r="170" customFormat="false" ht="15" hidden="false" customHeight="false" outlineLevel="0" collapsed="false">
      <c r="A170" s="29" t="n">
        <v>111269</v>
      </c>
      <c r="B170" s="29" t="s">
        <v>1495</v>
      </c>
      <c r="C170" s="29" t="s">
        <v>1496</v>
      </c>
      <c r="D170" s="29" t="s">
        <v>433</v>
      </c>
      <c r="E170" s="29" t="s">
        <v>434</v>
      </c>
      <c r="F170" s="29" t="s">
        <v>82</v>
      </c>
      <c r="G170" s="29" t="s">
        <v>66</v>
      </c>
      <c r="H170" s="29" t="s">
        <v>1379</v>
      </c>
      <c r="I170" s="29" t="s">
        <v>1863</v>
      </c>
      <c r="J170" s="29" t="n">
        <v>0</v>
      </c>
      <c r="K170" s="29" t="n">
        <v>0</v>
      </c>
      <c r="L170" s="29" t="s">
        <v>1846</v>
      </c>
    </row>
    <row r="171" customFormat="false" ht="15" hidden="false" customHeight="false" outlineLevel="0" collapsed="false">
      <c r="A171" s="29" t="n">
        <v>111269</v>
      </c>
      <c r="B171" s="29" t="s">
        <v>1495</v>
      </c>
      <c r="C171" s="29" t="s">
        <v>1496</v>
      </c>
      <c r="D171" s="29" t="s">
        <v>508</v>
      </c>
      <c r="E171" s="29" t="s">
        <v>509</v>
      </c>
      <c r="F171" s="29" t="s">
        <v>88</v>
      </c>
      <c r="G171" s="29" t="s">
        <v>67</v>
      </c>
      <c r="H171" s="29" t="s">
        <v>1844</v>
      </c>
      <c r="I171" s="29" t="s">
        <v>1847</v>
      </c>
      <c r="J171" s="29" t="n">
        <v>0</v>
      </c>
      <c r="K171" s="29" t="n">
        <v>9</v>
      </c>
      <c r="L171" s="29" t="s">
        <v>1866</v>
      </c>
    </row>
    <row r="172" customFormat="false" ht="15" hidden="false" customHeight="false" outlineLevel="0" collapsed="false">
      <c r="A172" s="29" t="n">
        <v>111269</v>
      </c>
      <c r="B172" s="29" t="s">
        <v>1495</v>
      </c>
      <c r="C172" s="29" t="s">
        <v>1496</v>
      </c>
      <c r="D172" s="29" t="s">
        <v>515</v>
      </c>
      <c r="E172" s="29" t="s">
        <v>516</v>
      </c>
      <c r="F172" s="29" t="s">
        <v>88</v>
      </c>
      <c r="G172" s="29" t="s">
        <v>67</v>
      </c>
      <c r="H172" s="29" t="s">
        <v>1844</v>
      </c>
      <c r="I172" s="29" t="s">
        <v>1847</v>
      </c>
      <c r="J172" s="29" t="n">
        <v>0</v>
      </c>
      <c r="K172" s="29" t="n">
        <v>0</v>
      </c>
      <c r="L172" s="29" t="s">
        <v>1846</v>
      </c>
    </row>
    <row r="173" customFormat="false" ht="15" hidden="false" customHeight="false" outlineLevel="0" collapsed="false">
      <c r="A173" s="29" t="n">
        <v>111269</v>
      </c>
      <c r="B173" s="29" t="s">
        <v>1495</v>
      </c>
      <c r="C173" s="29" t="s">
        <v>1496</v>
      </c>
      <c r="D173" s="29" t="s">
        <v>530</v>
      </c>
      <c r="E173" s="29" t="s">
        <v>531</v>
      </c>
      <c r="F173" s="29" t="s">
        <v>88</v>
      </c>
      <c r="G173" s="29" t="s">
        <v>68</v>
      </c>
      <c r="H173" s="29" t="s">
        <v>1381</v>
      </c>
      <c r="I173" s="29" t="s">
        <v>1847</v>
      </c>
      <c r="J173" s="29" t="n">
        <v>0</v>
      </c>
      <c r="K173" s="29" t="n">
        <v>0</v>
      </c>
      <c r="L173" s="29" t="s">
        <v>1846</v>
      </c>
    </row>
    <row r="174" customFormat="false" ht="15" hidden="false" customHeight="false" outlineLevel="0" collapsed="false">
      <c r="A174" s="29" t="n">
        <v>111269</v>
      </c>
      <c r="B174" s="29" t="s">
        <v>1495</v>
      </c>
      <c r="C174" s="29" t="s">
        <v>1496</v>
      </c>
      <c r="D174" s="29" t="s">
        <v>536</v>
      </c>
      <c r="E174" s="29" t="s">
        <v>537</v>
      </c>
      <c r="F174" s="29" t="s">
        <v>88</v>
      </c>
      <c r="G174" s="29" t="s">
        <v>68</v>
      </c>
      <c r="H174" s="29" t="s">
        <v>1381</v>
      </c>
      <c r="I174" s="29" t="s">
        <v>1847</v>
      </c>
      <c r="J174" s="29" t="n">
        <v>0</v>
      </c>
      <c r="K174" s="29" t="n">
        <v>0</v>
      </c>
      <c r="L174" s="29" t="s">
        <v>1846</v>
      </c>
    </row>
    <row r="175" customFormat="false" ht="15" hidden="false" customHeight="false" outlineLevel="0" collapsed="false">
      <c r="A175" s="29" t="n">
        <v>111269</v>
      </c>
      <c r="B175" s="29" t="s">
        <v>1495</v>
      </c>
      <c r="C175" s="29" t="s">
        <v>1496</v>
      </c>
      <c r="D175" s="29" t="s">
        <v>543</v>
      </c>
      <c r="E175" s="29" t="s">
        <v>544</v>
      </c>
      <c r="F175" s="29" t="s">
        <v>88</v>
      </c>
      <c r="G175" s="29" t="s">
        <v>68</v>
      </c>
      <c r="H175" s="29" t="s">
        <v>1381</v>
      </c>
      <c r="I175" s="29" t="s">
        <v>1847</v>
      </c>
      <c r="J175" s="29" t="n">
        <v>0</v>
      </c>
      <c r="K175" s="29" t="n">
        <v>0</v>
      </c>
      <c r="L175" s="29" t="s">
        <v>1846</v>
      </c>
    </row>
    <row r="176" customFormat="false" ht="15" hidden="false" customHeight="false" outlineLevel="0" collapsed="false">
      <c r="A176" s="29" t="n">
        <v>111269</v>
      </c>
      <c r="B176" s="29" t="s">
        <v>1495</v>
      </c>
      <c r="C176" s="29" t="s">
        <v>1496</v>
      </c>
      <c r="D176" s="29" t="s">
        <v>551</v>
      </c>
      <c r="E176" s="29" t="s">
        <v>552</v>
      </c>
      <c r="F176" s="29" t="s">
        <v>88</v>
      </c>
      <c r="G176" s="29" t="s">
        <v>68</v>
      </c>
      <c r="H176" s="29" t="s">
        <v>1381</v>
      </c>
      <c r="I176" s="29" t="s">
        <v>1847</v>
      </c>
      <c r="J176" s="29" t="n">
        <v>0</v>
      </c>
      <c r="K176" s="29" t="n">
        <v>9</v>
      </c>
      <c r="L176" s="29" t="s">
        <v>1866</v>
      </c>
    </row>
    <row r="177" customFormat="false" ht="15" hidden="false" customHeight="false" outlineLevel="0" collapsed="false">
      <c r="A177" s="29" t="n">
        <v>111269</v>
      </c>
      <c r="B177" s="29" t="s">
        <v>1495</v>
      </c>
      <c r="C177" s="29" t="s">
        <v>1496</v>
      </c>
      <c r="D177" s="29" t="s">
        <v>572</v>
      </c>
      <c r="E177" s="29" t="s">
        <v>573</v>
      </c>
      <c r="F177" s="29" t="s">
        <v>88</v>
      </c>
      <c r="G177" s="29" t="s">
        <v>68</v>
      </c>
      <c r="H177" s="29" t="s">
        <v>1381</v>
      </c>
      <c r="I177" s="29" t="s">
        <v>1847</v>
      </c>
      <c r="J177" s="29" t="n">
        <v>0</v>
      </c>
      <c r="K177" s="29" t="n">
        <v>0</v>
      </c>
      <c r="L177" s="29" t="s">
        <v>1846</v>
      </c>
    </row>
    <row r="178" customFormat="false" ht="15" hidden="false" customHeight="false" outlineLevel="0" collapsed="false">
      <c r="A178" s="29" t="n">
        <v>111269</v>
      </c>
      <c r="B178" s="29" t="s">
        <v>1495</v>
      </c>
      <c r="C178" s="29" t="s">
        <v>1496</v>
      </c>
      <c r="D178" s="29" t="s">
        <v>668</v>
      </c>
      <c r="E178" s="29" t="s">
        <v>669</v>
      </c>
      <c r="F178" s="29" t="s">
        <v>105</v>
      </c>
      <c r="G178" s="29" t="s">
        <v>66</v>
      </c>
      <c r="H178" s="29" t="s">
        <v>1379</v>
      </c>
      <c r="I178" s="29" t="s">
        <v>1863</v>
      </c>
      <c r="J178" s="29" t="n">
        <v>0</v>
      </c>
      <c r="K178" s="29" t="n">
        <v>0</v>
      </c>
      <c r="L178" s="29" t="s">
        <v>1846</v>
      </c>
    </row>
    <row r="179" customFormat="false" ht="15" hidden="false" customHeight="false" outlineLevel="0" collapsed="false">
      <c r="A179" s="29" t="n">
        <v>111269</v>
      </c>
      <c r="B179" s="29" t="s">
        <v>1495</v>
      </c>
      <c r="C179" s="29" t="s">
        <v>1496</v>
      </c>
      <c r="D179" s="29" t="s">
        <v>680</v>
      </c>
      <c r="E179" s="29" t="s">
        <v>681</v>
      </c>
      <c r="F179" s="29" t="s">
        <v>105</v>
      </c>
      <c r="G179" s="29" t="s">
        <v>66</v>
      </c>
      <c r="H179" s="29" t="s">
        <v>1379</v>
      </c>
      <c r="I179" s="29" t="s">
        <v>1863</v>
      </c>
      <c r="J179" s="29" t="n">
        <v>0</v>
      </c>
      <c r="K179" s="29" t="n">
        <v>0</v>
      </c>
      <c r="L179" s="29" t="s">
        <v>1846</v>
      </c>
    </row>
    <row r="180" customFormat="false" ht="15" hidden="false" customHeight="false" outlineLevel="0" collapsed="false">
      <c r="A180" s="29" t="n">
        <v>111269</v>
      </c>
      <c r="B180" s="29" t="s">
        <v>1495</v>
      </c>
      <c r="C180" s="29" t="s">
        <v>1496</v>
      </c>
      <c r="D180" s="29" t="s">
        <v>689</v>
      </c>
      <c r="E180" s="29" t="s">
        <v>690</v>
      </c>
      <c r="F180" s="29" t="s">
        <v>105</v>
      </c>
      <c r="G180" s="29" t="s">
        <v>67</v>
      </c>
      <c r="H180" s="29" t="s">
        <v>1844</v>
      </c>
      <c r="I180" s="29" t="s">
        <v>1872</v>
      </c>
      <c r="J180" s="29" t="n">
        <v>0</v>
      </c>
      <c r="K180" s="29" t="n">
        <v>23</v>
      </c>
      <c r="L180" s="29" t="s">
        <v>1866</v>
      </c>
    </row>
    <row r="181" customFormat="false" ht="15" hidden="false" customHeight="false" outlineLevel="0" collapsed="false">
      <c r="A181" s="29" t="n">
        <v>111269</v>
      </c>
      <c r="B181" s="29" t="s">
        <v>1495</v>
      </c>
      <c r="C181" s="29" t="s">
        <v>1496</v>
      </c>
      <c r="D181" s="29" t="s">
        <v>711</v>
      </c>
      <c r="E181" s="29" t="s">
        <v>712</v>
      </c>
      <c r="F181" s="29" t="s">
        <v>116</v>
      </c>
      <c r="G181" s="29" t="s">
        <v>66</v>
      </c>
      <c r="H181" s="29" t="s">
        <v>1379</v>
      </c>
      <c r="I181" s="29" t="s">
        <v>1863</v>
      </c>
      <c r="J181" s="29" t="n">
        <v>0</v>
      </c>
      <c r="K181" s="29" t="n">
        <v>1</v>
      </c>
      <c r="L181" s="29" t="s">
        <v>1866</v>
      </c>
    </row>
    <row r="182" customFormat="false" ht="15" hidden="false" customHeight="false" outlineLevel="0" collapsed="false">
      <c r="A182" s="29" t="n">
        <v>122613</v>
      </c>
      <c r="B182" s="29" t="s">
        <v>1501</v>
      </c>
      <c r="C182" s="29" t="s">
        <v>1502</v>
      </c>
      <c r="D182" s="29" t="s">
        <v>247</v>
      </c>
      <c r="E182" s="29" t="s">
        <v>248</v>
      </c>
      <c r="F182" s="29" t="s">
        <v>69</v>
      </c>
      <c r="G182" s="29" t="s">
        <v>67</v>
      </c>
      <c r="H182" s="29" t="s">
        <v>1844</v>
      </c>
      <c r="I182" s="29" t="s">
        <v>1848</v>
      </c>
      <c r="J182" s="29" t="n">
        <v>0</v>
      </c>
      <c r="K182" s="29" t="n">
        <v>0</v>
      </c>
      <c r="L182" s="29" t="s">
        <v>1846</v>
      </c>
    </row>
    <row r="183" customFormat="false" ht="15" hidden="false" customHeight="false" outlineLevel="0" collapsed="false">
      <c r="A183" s="29" t="n">
        <v>122613</v>
      </c>
      <c r="B183" s="29" t="s">
        <v>1501</v>
      </c>
      <c r="C183" s="29" t="s">
        <v>1502</v>
      </c>
      <c r="D183" s="29" t="s">
        <v>265</v>
      </c>
      <c r="E183" s="29" t="s">
        <v>266</v>
      </c>
      <c r="F183" s="29" t="s">
        <v>69</v>
      </c>
      <c r="G183" s="29" t="s">
        <v>67</v>
      </c>
      <c r="H183" s="29" t="s">
        <v>1379</v>
      </c>
      <c r="I183" s="29" t="s">
        <v>1863</v>
      </c>
      <c r="J183" s="29" t="n">
        <v>0</v>
      </c>
      <c r="K183" s="29" t="n">
        <v>0</v>
      </c>
      <c r="L183" s="29" t="s">
        <v>1846</v>
      </c>
    </row>
    <row r="184" customFormat="false" ht="15" hidden="false" customHeight="false" outlineLevel="0" collapsed="false">
      <c r="A184" s="29" t="n">
        <v>122613</v>
      </c>
      <c r="B184" s="29" t="s">
        <v>1501</v>
      </c>
      <c r="C184" s="29" t="s">
        <v>1502</v>
      </c>
      <c r="D184" s="29" t="s">
        <v>291</v>
      </c>
      <c r="E184" s="29" t="s">
        <v>292</v>
      </c>
      <c r="F184" s="29" t="s">
        <v>69</v>
      </c>
      <c r="G184" s="29" t="s">
        <v>68</v>
      </c>
      <c r="H184" s="29" t="s">
        <v>1381</v>
      </c>
      <c r="I184" s="29" t="s">
        <v>1845</v>
      </c>
      <c r="J184" s="29" t="n">
        <v>0</v>
      </c>
      <c r="K184" s="29" t="n">
        <v>0</v>
      </c>
      <c r="L184" s="29" t="s">
        <v>1846</v>
      </c>
    </row>
    <row r="185" customFormat="false" ht="15" hidden="false" customHeight="false" outlineLevel="0" collapsed="false">
      <c r="A185" s="29" t="n">
        <v>122613</v>
      </c>
      <c r="B185" s="29" t="s">
        <v>1501</v>
      </c>
      <c r="C185" s="29" t="s">
        <v>1502</v>
      </c>
      <c r="D185" s="29" t="s">
        <v>297</v>
      </c>
      <c r="E185" s="29" t="s">
        <v>298</v>
      </c>
      <c r="F185" s="29" t="s">
        <v>69</v>
      </c>
      <c r="G185" s="29" t="s">
        <v>68</v>
      </c>
      <c r="H185" s="29" t="s">
        <v>1381</v>
      </c>
      <c r="I185" s="29" t="s">
        <v>1848</v>
      </c>
      <c r="J185" s="29" t="n">
        <v>0</v>
      </c>
      <c r="K185" s="29" t="n">
        <v>0</v>
      </c>
      <c r="L185" s="29" t="s">
        <v>1846</v>
      </c>
    </row>
    <row r="186" customFormat="false" ht="15" hidden="false" customHeight="false" outlineLevel="0" collapsed="false">
      <c r="A186" s="29" t="n">
        <v>122613</v>
      </c>
      <c r="B186" s="29" t="s">
        <v>1501</v>
      </c>
      <c r="C186" s="29" t="s">
        <v>1502</v>
      </c>
      <c r="D186" s="29" t="s">
        <v>353</v>
      </c>
      <c r="E186" s="29" t="s">
        <v>354</v>
      </c>
      <c r="F186" s="29" t="s">
        <v>76</v>
      </c>
      <c r="G186" s="29" t="s">
        <v>67</v>
      </c>
      <c r="H186" s="29" t="s">
        <v>1844</v>
      </c>
      <c r="I186" s="29" t="s">
        <v>1853</v>
      </c>
      <c r="J186" s="29" t="n">
        <v>0</v>
      </c>
      <c r="K186" s="29" t="n">
        <v>0</v>
      </c>
      <c r="L186" s="29" t="s">
        <v>1846</v>
      </c>
    </row>
    <row r="187" customFormat="false" ht="15" hidden="false" customHeight="false" outlineLevel="0" collapsed="false">
      <c r="A187" s="29" t="n">
        <v>122613</v>
      </c>
      <c r="B187" s="29" t="s">
        <v>1501</v>
      </c>
      <c r="C187" s="29" t="s">
        <v>1502</v>
      </c>
      <c r="D187" s="29" t="s">
        <v>387</v>
      </c>
      <c r="E187" s="29" t="s">
        <v>388</v>
      </c>
      <c r="F187" s="29" t="s">
        <v>76</v>
      </c>
      <c r="G187" s="29" t="s">
        <v>68</v>
      </c>
      <c r="H187" s="29" t="s">
        <v>1381</v>
      </c>
      <c r="I187" s="29" t="s">
        <v>1853</v>
      </c>
      <c r="J187" s="29" t="n">
        <v>0</v>
      </c>
      <c r="K187" s="29" t="n">
        <v>0</v>
      </c>
      <c r="L187" s="29" t="s">
        <v>1846</v>
      </c>
    </row>
    <row r="188" customFormat="false" ht="15" hidden="false" customHeight="false" outlineLevel="0" collapsed="false">
      <c r="A188" s="29" t="n">
        <v>122613</v>
      </c>
      <c r="B188" s="29" t="s">
        <v>1501</v>
      </c>
      <c r="C188" s="29" t="s">
        <v>1502</v>
      </c>
      <c r="D188" s="29" t="s">
        <v>396</v>
      </c>
      <c r="E188" s="29" t="s">
        <v>397</v>
      </c>
      <c r="F188" s="29" t="s">
        <v>76</v>
      </c>
      <c r="G188" s="29" t="s">
        <v>68</v>
      </c>
      <c r="H188" s="29" t="s">
        <v>1381</v>
      </c>
      <c r="I188" s="29" t="s">
        <v>1853</v>
      </c>
      <c r="J188" s="29" t="n">
        <v>0</v>
      </c>
      <c r="K188" s="29" t="n">
        <v>0</v>
      </c>
      <c r="L188" s="29" t="s">
        <v>1846</v>
      </c>
    </row>
    <row r="189" customFormat="false" ht="15" hidden="false" customHeight="false" outlineLevel="0" collapsed="false">
      <c r="A189" s="29" t="n">
        <v>122613</v>
      </c>
      <c r="B189" s="29" t="s">
        <v>1501</v>
      </c>
      <c r="C189" s="29" t="s">
        <v>1502</v>
      </c>
      <c r="D189" s="29" t="s">
        <v>428</v>
      </c>
      <c r="E189" s="29" t="s">
        <v>429</v>
      </c>
      <c r="F189" s="29" t="s">
        <v>76</v>
      </c>
      <c r="G189" s="29" t="s">
        <v>68</v>
      </c>
      <c r="H189" s="29" t="s">
        <v>1381</v>
      </c>
      <c r="I189" s="29" t="s">
        <v>1853</v>
      </c>
      <c r="J189" s="29" t="n">
        <v>0</v>
      </c>
      <c r="K189" s="29" t="n">
        <v>0</v>
      </c>
      <c r="L189" s="29" t="s">
        <v>1846</v>
      </c>
    </row>
    <row r="190" customFormat="false" ht="15" hidden="false" customHeight="false" outlineLevel="0" collapsed="false">
      <c r="A190" s="29" t="n">
        <v>122613</v>
      </c>
      <c r="B190" s="29" t="s">
        <v>1501</v>
      </c>
      <c r="C190" s="29" t="s">
        <v>1502</v>
      </c>
      <c r="D190" s="29" t="s">
        <v>433</v>
      </c>
      <c r="E190" s="29" t="s">
        <v>434</v>
      </c>
      <c r="F190" s="29" t="s">
        <v>82</v>
      </c>
      <c r="G190" s="29" t="s">
        <v>66</v>
      </c>
      <c r="H190" s="29" t="s">
        <v>1379</v>
      </c>
      <c r="I190" s="29" t="s">
        <v>1863</v>
      </c>
      <c r="J190" s="29" t="n">
        <v>0</v>
      </c>
      <c r="K190" s="29" t="n">
        <v>0</v>
      </c>
      <c r="L190" s="29" t="s">
        <v>1846</v>
      </c>
    </row>
    <row r="191" customFormat="false" ht="15" hidden="false" customHeight="false" outlineLevel="0" collapsed="false">
      <c r="A191" s="29" t="n">
        <v>122613</v>
      </c>
      <c r="B191" s="29" t="s">
        <v>1501</v>
      </c>
      <c r="C191" s="29" t="s">
        <v>1502</v>
      </c>
      <c r="D191" s="29" t="s">
        <v>668</v>
      </c>
      <c r="E191" s="29" t="s">
        <v>669</v>
      </c>
      <c r="F191" s="29" t="s">
        <v>105</v>
      </c>
      <c r="G191" s="29" t="s">
        <v>66</v>
      </c>
      <c r="H191" s="29" t="s">
        <v>1379</v>
      </c>
      <c r="I191" s="29" t="s">
        <v>1863</v>
      </c>
      <c r="J191" s="29" t="n">
        <v>0</v>
      </c>
      <c r="K191" s="29" t="n">
        <v>0</v>
      </c>
      <c r="L191" s="29" t="s">
        <v>1846</v>
      </c>
    </row>
    <row r="192" customFormat="false" ht="15" hidden="false" customHeight="false" outlineLevel="0" collapsed="false">
      <c r="A192" s="29" t="n">
        <v>122613</v>
      </c>
      <c r="B192" s="29" t="s">
        <v>1501</v>
      </c>
      <c r="C192" s="29" t="s">
        <v>1502</v>
      </c>
      <c r="D192" s="29" t="s">
        <v>680</v>
      </c>
      <c r="E192" s="29" t="s">
        <v>681</v>
      </c>
      <c r="F192" s="29" t="s">
        <v>105</v>
      </c>
      <c r="G192" s="29" t="s">
        <v>66</v>
      </c>
      <c r="H192" s="29" t="s">
        <v>1379</v>
      </c>
      <c r="I192" s="29" t="s">
        <v>1863</v>
      </c>
      <c r="J192" s="29" t="n">
        <v>0</v>
      </c>
      <c r="K192" s="29" t="n">
        <v>0</v>
      </c>
      <c r="L192" s="29" t="s">
        <v>1846</v>
      </c>
    </row>
    <row r="193" customFormat="false" ht="15" hidden="false" customHeight="false" outlineLevel="0" collapsed="false">
      <c r="A193" s="29" t="n">
        <v>122613</v>
      </c>
      <c r="B193" s="29" t="s">
        <v>1501</v>
      </c>
      <c r="C193" s="29" t="s">
        <v>1502</v>
      </c>
      <c r="D193" s="29" t="s">
        <v>711</v>
      </c>
      <c r="E193" s="29" t="s">
        <v>712</v>
      </c>
      <c r="F193" s="29" t="s">
        <v>116</v>
      </c>
      <c r="G193" s="29" t="s">
        <v>66</v>
      </c>
      <c r="H193" s="29" t="s">
        <v>1379</v>
      </c>
      <c r="I193" s="29" t="s">
        <v>1863</v>
      </c>
      <c r="J193" s="29" t="n">
        <v>0</v>
      </c>
      <c r="K193" s="29" t="n">
        <v>0</v>
      </c>
      <c r="L193" s="29" t="s">
        <v>1846</v>
      </c>
    </row>
    <row r="194" customFormat="false" ht="15" hidden="false" customHeight="false" outlineLevel="0" collapsed="false">
      <c r="A194" s="29" t="n">
        <v>132798</v>
      </c>
      <c r="B194" s="29" t="s">
        <v>1507</v>
      </c>
      <c r="C194" s="29" t="s">
        <v>1508</v>
      </c>
      <c r="D194" s="29" t="s">
        <v>247</v>
      </c>
      <c r="E194" s="29" t="s">
        <v>248</v>
      </c>
      <c r="F194" s="29" t="s">
        <v>69</v>
      </c>
      <c r="G194" s="29" t="s">
        <v>67</v>
      </c>
      <c r="H194" s="29" t="s">
        <v>1844</v>
      </c>
      <c r="I194" s="29" t="s">
        <v>1848</v>
      </c>
      <c r="J194" s="29" t="n">
        <v>0</v>
      </c>
      <c r="K194" s="29" t="n">
        <v>0</v>
      </c>
      <c r="L194" s="29" t="s">
        <v>1849</v>
      </c>
    </row>
    <row r="195" customFormat="false" ht="15" hidden="false" customHeight="false" outlineLevel="0" collapsed="false">
      <c r="A195" s="29" t="n">
        <v>132798</v>
      </c>
      <c r="B195" s="29" t="s">
        <v>1507</v>
      </c>
      <c r="C195" s="29" t="s">
        <v>1508</v>
      </c>
      <c r="D195" s="29" t="s">
        <v>265</v>
      </c>
      <c r="E195" s="29" t="s">
        <v>266</v>
      </c>
      <c r="F195" s="29" t="s">
        <v>69</v>
      </c>
      <c r="G195" s="29" t="s">
        <v>67</v>
      </c>
      <c r="H195" s="29" t="s">
        <v>1379</v>
      </c>
      <c r="I195" s="29" t="s">
        <v>1863</v>
      </c>
      <c r="J195" s="29" t="n">
        <v>0</v>
      </c>
      <c r="K195" s="29" t="n">
        <v>0</v>
      </c>
      <c r="L195" s="29" t="s">
        <v>1849</v>
      </c>
    </row>
    <row r="196" customFormat="false" ht="15" hidden="false" customHeight="false" outlineLevel="0" collapsed="false">
      <c r="A196" s="29" t="n">
        <v>132798</v>
      </c>
      <c r="B196" s="29" t="s">
        <v>1507</v>
      </c>
      <c r="C196" s="29" t="s">
        <v>1508</v>
      </c>
      <c r="D196" s="29" t="s">
        <v>291</v>
      </c>
      <c r="E196" s="29" t="s">
        <v>292</v>
      </c>
      <c r="F196" s="29" t="s">
        <v>69</v>
      </c>
      <c r="G196" s="29" t="s">
        <v>68</v>
      </c>
      <c r="H196" s="29" t="s">
        <v>1381</v>
      </c>
      <c r="I196" s="29" t="s">
        <v>1845</v>
      </c>
      <c r="J196" s="29" t="n">
        <v>0</v>
      </c>
      <c r="K196" s="29" t="n">
        <v>26</v>
      </c>
      <c r="L196" s="29" t="s">
        <v>1866</v>
      </c>
    </row>
    <row r="197" customFormat="false" ht="15" hidden="false" customHeight="false" outlineLevel="0" collapsed="false">
      <c r="A197" s="29" t="n">
        <v>132798</v>
      </c>
      <c r="B197" s="29" t="s">
        <v>1507</v>
      </c>
      <c r="C197" s="29" t="s">
        <v>1508</v>
      </c>
      <c r="D197" s="29" t="s">
        <v>297</v>
      </c>
      <c r="E197" s="29" t="s">
        <v>298</v>
      </c>
      <c r="F197" s="29" t="s">
        <v>69</v>
      </c>
      <c r="G197" s="29" t="s">
        <v>68</v>
      </c>
      <c r="H197" s="29" t="s">
        <v>1381</v>
      </c>
      <c r="I197" s="29" t="s">
        <v>1848</v>
      </c>
      <c r="J197" s="29" t="n">
        <v>0</v>
      </c>
      <c r="K197" s="29" t="n">
        <v>0</v>
      </c>
      <c r="L197" s="29" t="s">
        <v>1849</v>
      </c>
    </row>
    <row r="198" customFormat="false" ht="15" hidden="false" customHeight="false" outlineLevel="0" collapsed="false">
      <c r="A198" s="29" t="n">
        <v>132798</v>
      </c>
      <c r="B198" s="29" t="s">
        <v>1507</v>
      </c>
      <c r="C198" s="29" t="s">
        <v>1508</v>
      </c>
      <c r="D198" s="29" t="s">
        <v>343</v>
      </c>
      <c r="E198" s="29" t="s">
        <v>344</v>
      </c>
      <c r="F198" s="29" t="s">
        <v>76</v>
      </c>
      <c r="G198" s="29" t="s">
        <v>67</v>
      </c>
      <c r="H198" s="29" t="s">
        <v>1844</v>
      </c>
      <c r="I198" s="29" t="s">
        <v>1873</v>
      </c>
      <c r="J198" s="29" t="n">
        <v>0</v>
      </c>
      <c r="K198" s="29" t="n">
        <v>0</v>
      </c>
      <c r="L198" s="29" t="s">
        <v>1849</v>
      </c>
    </row>
    <row r="199" customFormat="false" ht="15" hidden="false" customHeight="false" outlineLevel="0" collapsed="false">
      <c r="A199" s="29" t="n">
        <v>132798</v>
      </c>
      <c r="B199" s="29" t="s">
        <v>1507</v>
      </c>
      <c r="C199" s="29" t="s">
        <v>1508</v>
      </c>
      <c r="D199" s="29" t="s">
        <v>360</v>
      </c>
      <c r="E199" s="29" t="s">
        <v>361</v>
      </c>
      <c r="F199" s="29" t="s">
        <v>76</v>
      </c>
      <c r="G199" s="29" t="s">
        <v>67</v>
      </c>
      <c r="H199" s="29" t="s">
        <v>1844</v>
      </c>
      <c r="I199" s="29" t="s">
        <v>1873</v>
      </c>
      <c r="J199" s="29" t="n">
        <v>0</v>
      </c>
      <c r="K199" s="29" t="n">
        <v>5</v>
      </c>
      <c r="L199" s="29" t="s">
        <v>1866</v>
      </c>
    </row>
    <row r="200" customFormat="false" ht="15" hidden="false" customHeight="false" outlineLevel="0" collapsed="false">
      <c r="A200" s="29" t="n">
        <v>132798</v>
      </c>
      <c r="B200" s="29" t="s">
        <v>1507</v>
      </c>
      <c r="C200" s="29" t="s">
        <v>1508</v>
      </c>
      <c r="D200" s="29" t="s">
        <v>371</v>
      </c>
      <c r="E200" s="29" t="s">
        <v>372</v>
      </c>
      <c r="F200" s="29" t="s">
        <v>76</v>
      </c>
      <c r="G200" s="29" t="s">
        <v>67</v>
      </c>
      <c r="H200" s="29" t="s">
        <v>1844</v>
      </c>
      <c r="I200" s="29" t="s">
        <v>1873</v>
      </c>
      <c r="J200" s="29" t="n">
        <v>0</v>
      </c>
      <c r="K200" s="29" t="n">
        <v>0</v>
      </c>
      <c r="L200" s="29" t="s">
        <v>1849</v>
      </c>
    </row>
    <row r="201" customFormat="false" ht="15" hidden="false" customHeight="false" outlineLevel="0" collapsed="false">
      <c r="A201" s="29" t="n">
        <v>132798</v>
      </c>
      <c r="B201" s="29" t="s">
        <v>1507</v>
      </c>
      <c r="C201" s="29" t="s">
        <v>1508</v>
      </c>
      <c r="D201" s="29" t="s">
        <v>379</v>
      </c>
      <c r="E201" s="29" t="s">
        <v>380</v>
      </c>
      <c r="F201" s="29" t="s">
        <v>76</v>
      </c>
      <c r="G201" s="29" t="s">
        <v>68</v>
      </c>
      <c r="H201" s="29" t="s">
        <v>1381</v>
      </c>
      <c r="I201" s="29" t="s">
        <v>1874</v>
      </c>
      <c r="J201" s="29" t="n">
        <v>0</v>
      </c>
      <c r="K201" s="29" t="n">
        <v>4</v>
      </c>
      <c r="L201" s="29" t="s">
        <v>1866</v>
      </c>
    </row>
    <row r="202" customFormat="false" ht="15" hidden="false" customHeight="false" outlineLevel="0" collapsed="false">
      <c r="A202" s="29" t="n">
        <v>132798</v>
      </c>
      <c r="B202" s="29" t="s">
        <v>1507</v>
      </c>
      <c r="C202" s="29" t="s">
        <v>1508</v>
      </c>
      <c r="D202" s="29" t="s">
        <v>411</v>
      </c>
      <c r="E202" s="29" t="s">
        <v>412</v>
      </c>
      <c r="F202" s="29" t="s">
        <v>76</v>
      </c>
      <c r="G202" s="29" t="s">
        <v>68</v>
      </c>
      <c r="H202" s="29" t="s">
        <v>1381</v>
      </c>
      <c r="I202" s="29" t="s">
        <v>1873</v>
      </c>
      <c r="J202" s="29" t="n">
        <v>0</v>
      </c>
      <c r="K202" s="29" t="n">
        <v>4</v>
      </c>
      <c r="L202" s="29" t="s">
        <v>1866</v>
      </c>
    </row>
    <row r="203" customFormat="false" ht="15" hidden="false" customHeight="false" outlineLevel="0" collapsed="false">
      <c r="A203" s="29" t="n">
        <v>132798</v>
      </c>
      <c r="B203" s="29" t="s">
        <v>1507</v>
      </c>
      <c r="C203" s="29" t="s">
        <v>1508</v>
      </c>
      <c r="D203" s="29" t="s">
        <v>433</v>
      </c>
      <c r="E203" s="29" t="s">
        <v>434</v>
      </c>
      <c r="F203" s="29" t="s">
        <v>82</v>
      </c>
      <c r="G203" s="29" t="s">
        <v>66</v>
      </c>
      <c r="H203" s="29" t="s">
        <v>1379</v>
      </c>
      <c r="I203" s="29" t="s">
        <v>1863</v>
      </c>
      <c r="J203" s="29" t="n">
        <v>0</v>
      </c>
      <c r="K203" s="29" t="n">
        <v>0</v>
      </c>
      <c r="L203" s="29" t="s">
        <v>1849</v>
      </c>
    </row>
    <row r="204" customFormat="false" ht="15" hidden="false" customHeight="false" outlineLevel="0" collapsed="false">
      <c r="A204" s="29" t="n">
        <v>132798</v>
      </c>
      <c r="B204" s="29" t="s">
        <v>1507</v>
      </c>
      <c r="C204" s="29" t="s">
        <v>1508</v>
      </c>
      <c r="D204" s="29" t="s">
        <v>668</v>
      </c>
      <c r="E204" s="29" t="s">
        <v>669</v>
      </c>
      <c r="F204" s="29" t="s">
        <v>105</v>
      </c>
      <c r="G204" s="29" t="s">
        <v>66</v>
      </c>
      <c r="H204" s="29" t="s">
        <v>1379</v>
      </c>
      <c r="I204" s="29" t="s">
        <v>1863</v>
      </c>
      <c r="J204" s="29" t="n">
        <v>0</v>
      </c>
      <c r="K204" s="29" t="n">
        <v>0</v>
      </c>
      <c r="L204" s="29" t="s">
        <v>1849</v>
      </c>
    </row>
    <row r="205" customFormat="false" ht="15" hidden="false" customHeight="false" outlineLevel="0" collapsed="false">
      <c r="A205" s="29" t="n">
        <v>132798</v>
      </c>
      <c r="B205" s="29" t="s">
        <v>1507</v>
      </c>
      <c r="C205" s="29" t="s">
        <v>1508</v>
      </c>
      <c r="D205" s="29" t="s">
        <v>680</v>
      </c>
      <c r="E205" s="29" t="s">
        <v>681</v>
      </c>
      <c r="F205" s="29" t="s">
        <v>105</v>
      </c>
      <c r="G205" s="29" t="s">
        <v>66</v>
      </c>
      <c r="H205" s="29" t="s">
        <v>1379</v>
      </c>
      <c r="I205" s="29" t="s">
        <v>1863</v>
      </c>
      <c r="J205" s="29" t="n">
        <v>0</v>
      </c>
      <c r="K205" s="29" t="n">
        <v>0</v>
      </c>
      <c r="L205" s="29" t="s">
        <v>1849</v>
      </c>
    </row>
    <row r="206" customFormat="false" ht="15" hidden="false" customHeight="false" outlineLevel="0" collapsed="false">
      <c r="A206" s="29" t="n">
        <v>132798</v>
      </c>
      <c r="B206" s="29" t="s">
        <v>1507</v>
      </c>
      <c r="C206" s="29" t="s">
        <v>1508</v>
      </c>
      <c r="D206" s="29" t="s">
        <v>711</v>
      </c>
      <c r="E206" s="29" t="s">
        <v>712</v>
      </c>
      <c r="F206" s="29" t="s">
        <v>116</v>
      </c>
      <c r="G206" s="29" t="s">
        <v>66</v>
      </c>
      <c r="H206" s="29" t="s">
        <v>1379</v>
      </c>
      <c r="I206" s="29" t="s">
        <v>1863</v>
      </c>
      <c r="J206" s="29" t="n">
        <v>0</v>
      </c>
      <c r="K206" s="29" t="n">
        <v>2</v>
      </c>
      <c r="L206" s="29" t="s">
        <v>1866</v>
      </c>
    </row>
    <row r="207" customFormat="false" ht="15" hidden="false" customHeight="false" outlineLevel="0" collapsed="false">
      <c r="A207" s="29" t="n">
        <v>133375</v>
      </c>
      <c r="B207" s="29" t="s">
        <v>1514</v>
      </c>
      <c r="C207" s="29" t="s">
        <v>1515</v>
      </c>
      <c r="D207" s="29" t="s">
        <v>247</v>
      </c>
      <c r="E207" s="29" t="s">
        <v>248</v>
      </c>
      <c r="F207" s="29" t="s">
        <v>69</v>
      </c>
      <c r="G207" s="29" t="s">
        <v>67</v>
      </c>
      <c r="H207" s="29" t="s">
        <v>1844</v>
      </c>
      <c r="I207" s="29" t="s">
        <v>1848</v>
      </c>
      <c r="J207" s="29" t="n">
        <v>0</v>
      </c>
      <c r="K207" s="29" t="n">
        <v>0</v>
      </c>
      <c r="L207" s="29" t="s">
        <v>1849</v>
      </c>
    </row>
    <row r="208" customFormat="false" ht="15" hidden="false" customHeight="false" outlineLevel="0" collapsed="false">
      <c r="A208" s="29" t="n">
        <v>133375</v>
      </c>
      <c r="B208" s="29" t="s">
        <v>1514</v>
      </c>
      <c r="C208" s="29" t="s">
        <v>1515</v>
      </c>
      <c r="D208" s="29" t="s">
        <v>265</v>
      </c>
      <c r="E208" s="29" t="s">
        <v>266</v>
      </c>
      <c r="F208" s="29" t="s">
        <v>69</v>
      </c>
      <c r="G208" s="29" t="s">
        <v>67</v>
      </c>
      <c r="H208" s="29" t="s">
        <v>1379</v>
      </c>
      <c r="I208" s="29" t="s">
        <v>1863</v>
      </c>
      <c r="J208" s="29" t="n">
        <v>0</v>
      </c>
      <c r="K208" s="29" t="n">
        <v>0</v>
      </c>
      <c r="L208" s="29" t="s">
        <v>1849</v>
      </c>
    </row>
    <row r="209" customFormat="false" ht="15" hidden="false" customHeight="false" outlineLevel="0" collapsed="false">
      <c r="A209" s="29" t="n">
        <v>133375</v>
      </c>
      <c r="B209" s="29" t="s">
        <v>1514</v>
      </c>
      <c r="C209" s="29" t="s">
        <v>1515</v>
      </c>
      <c r="D209" s="29" t="s">
        <v>285</v>
      </c>
      <c r="E209" s="29" t="s">
        <v>286</v>
      </c>
      <c r="F209" s="29" t="s">
        <v>69</v>
      </c>
      <c r="G209" s="29" t="s">
        <v>68</v>
      </c>
      <c r="H209" s="29" t="s">
        <v>1381</v>
      </c>
      <c r="I209" s="29" t="s">
        <v>1864</v>
      </c>
      <c r="J209" s="29" t="n">
        <v>0</v>
      </c>
      <c r="K209" s="29" t="n">
        <v>0</v>
      </c>
      <c r="L209" s="29" t="s">
        <v>1849</v>
      </c>
    </row>
    <row r="210" customFormat="false" ht="15" hidden="false" customHeight="false" outlineLevel="0" collapsed="false">
      <c r="A210" s="29" t="n">
        <v>133375</v>
      </c>
      <c r="B210" s="29" t="s">
        <v>1514</v>
      </c>
      <c r="C210" s="29" t="s">
        <v>1515</v>
      </c>
      <c r="D210" s="29" t="s">
        <v>291</v>
      </c>
      <c r="E210" s="29" t="s">
        <v>292</v>
      </c>
      <c r="F210" s="29" t="s">
        <v>69</v>
      </c>
      <c r="G210" s="29" t="s">
        <v>68</v>
      </c>
      <c r="H210" s="29" t="s">
        <v>1381</v>
      </c>
      <c r="I210" s="29" t="s">
        <v>1865</v>
      </c>
      <c r="J210" s="29" t="n">
        <v>0</v>
      </c>
      <c r="K210" s="29" t="n">
        <v>17</v>
      </c>
      <c r="L210" s="29" t="s">
        <v>1866</v>
      </c>
    </row>
    <row r="211" customFormat="false" ht="15" hidden="false" customHeight="false" outlineLevel="0" collapsed="false">
      <c r="A211" s="29" t="n">
        <v>133375</v>
      </c>
      <c r="B211" s="29" t="s">
        <v>1514</v>
      </c>
      <c r="C211" s="29" t="s">
        <v>1515</v>
      </c>
      <c r="D211" s="29" t="s">
        <v>297</v>
      </c>
      <c r="E211" s="29" t="s">
        <v>298</v>
      </c>
      <c r="F211" s="29" t="s">
        <v>69</v>
      </c>
      <c r="G211" s="29" t="s">
        <v>68</v>
      </c>
      <c r="H211" s="29" t="s">
        <v>1381</v>
      </c>
      <c r="I211" s="29" t="s">
        <v>1848</v>
      </c>
      <c r="J211" s="29" t="n">
        <v>0</v>
      </c>
      <c r="K211" s="29" t="n">
        <v>1</v>
      </c>
      <c r="L211" s="29" t="s">
        <v>1866</v>
      </c>
    </row>
    <row r="212" customFormat="false" ht="15" hidden="false" customHeight="false" outlineLevel="0" collapsed="false">
      <c r="A212" s="29" t="n">
        <v>133375</v>
      </c>
      <c r="B212" s="29" t="s">
        <v>1514</v>
      </c>
      <c r="C212" s="29" t="s">
        <v>1515</v>
      </c>
      <c r="D212" s="29" t="s">
        <v>433</v>
      </c>
      <c r="E212" s="29" t="s">
        <v>434</v>
      </c>
      <c r="F212" s="29" t="s">
        <v>82</v>
      </c>
      <c r="G212" s="29" t="s">
        <v>66</v>
      </c>
      <c r="H212" s="29" t="s">
        <v>1379</v>
      </c>
      <c r="I212" s="29" t="s">
        <v>1863</v>
      </c>
      <c r="J212" s="29" t="n">
        <v>0</v>
      </c>
      <c r="K212" s="29" t="n">
        <v>0</v>
      </c>
      <c r="L212" s="29" t="s">
        <v>1849</v>
      </c>
    </row>
    <row r="213" customFormat="false" ht="15" hidden="false" customHeight="false" outlineLevel="0" collapsed="false">
      <c r="A213" s="29" t="n">
        <v>133375</v>
      </c>
      <c r="B213" s="29" t="s">
        <v>1514</v>
      </c>
      <c r="C213" s="29" t="s">
        <v>1515</v>
      </c>
      <c r="D213" s="29" t="s">
        <v>668</v>
      </c>
      <c r="E213" s="29" t="s">
        <v>669</v>
      </c>
      <c r="F213" s="29" t="s">
        <v>105</v>
      </c>
      <c r="G213" s="29" t="s">
        <v>66</v>
      </c>
      <c r="H213" s="29" t="s">
        <v>1379</v>
      </c>
      <c r="I213" s="29" t="s">
        <v>1863</v>
      </c>
      <c r="J213" s="29" t="n">
        <v>0</v>
      </c>
      <c r="K213" s="29" t="n">
        <v>0</v>
      </c>
      <c r="L213" s="29" t="s">
        <v>1849</v>
      </c>
    </row>
    <row r="214" customFormat="false" ht="15" hidden="false" customHeight="false" outlineLevel="0" collapsed="false">
      <c r="A214" s="29" t="n">
        <v>133375</v>
      </c>
      <c r="B214" s="29" t="s">
        <v>1514</v>
      </c>
      <c r="C214" s="29" t="s">
        <v>1515</v>
      </c>
      <c r="D214" s="29" t="s">
        <v>680</v>
      </c>
      <c r="E214" s="29" t="s">
        <v>681</v>
      </c>
      <c r="F214" s="29" t="s">
        <v>105</v>
      </c>
      <c r="G214" s="29" t="s">
        <v>66</v>
      </c>
      <c r="H214" s="29" t="s">
        <v>1379</v>
      </c>
      <c r="I214" s="29" t="s">
        <v>1863</v>
      </c>
      <c r="J214" s="29" t="n">
        <v>0</v>
      </c>
      <c r="K214" s="29" t="n">
        <v>0</v>
      </c>
      <c r="L214" s="29" t="s">
        <v>1849</v>
      </c>
    </row>
    <row r="215" customFormat="false" ht="15" hidden="false" customHeight="false" outlineLevel="0" collapsed="false">
      <c r="A215" s="29" t="n">
        <v>133375</v>
      </c>
      <c r="B215" s="29" t="s">
        <v>1514</v>
      </c>
      <c r="C215" s="29" t="s">
        <v>1515</v>
      </c>
      <c r="D215" s="29" t="s">
        <v>711</v>
      </c>
      <c r="E215" s="29" t="s">
        <v>712</v>
      </c>
      <c r="F215" s="29" t="s">
        <v>116</v>
      </c>
      <c r="G215" s="29" t="s">
        <v>66</v>
      </c>
      <c r="H215" s="29" t="s">
        <v>1379</v>
      </c>
      <c r="I215" s="29" t="s">
        <v>1863</v>
      </c>
      <c r="J215" s="29" t="n">
        <v>0</v>
      </c>
      <c r="K215" s="29" t="n">
        <v>0</v>
      </c>
      <c r="L215" s="29" t="s">
        <v>1849</v>
      </c>
    </row>
    <row r="216" customFormat="false" ht="15" hidden="false" customHeight="false" outlineLevel="0" collapsed="false">
      <c r="A216" s="29" t="n">
        <v>133386</v>
      </c>
      <c r="B216" s="29" t="s">
        <v>1519</v>
      </c>
      <c r="C216" s="29" t="s">
        <v>1520</v>
      </c>
      <c r="D216" s="29" t="s">
        <v>247</v>
      </c>
      <c r="E216" s="29" t="s">
        <v>248</v>
      </c>
      <c r="F216" s="29" t="s">
        <v>69</v>
      </c>
      <c r="G216" s="29" t="s">
        <v>67</v>
      </c>
      <c r="H216" s="29" t="s">
        <v>1844</v>
      </c>
      <c r="I216" s="29" t="s">
        <v>1848</v>
      </c>
      <c r="J216" s="29" t="n">
        <v>0</v>
      </c>
      <c r="K216" s="29" t="n">
        <v>0</v>
      </c>
      <c r="L216" s="29" t="s">
        <v>1846</v>
      </c>
    </row>
    <row r="217" customFormat="false" ht="15" hidden="false" customHeight="false" outlineLevel="0" collapsed="false">
      <c r="A217" s="29" t="n">
        <v>133386</v>
      </c>
      <c r="B217" s="29" t="s">
        <v>1519</v>
      </c>
      <c r="C217" s="29" t="s">
        <v>1520</v>
      </c>
      <c r="D217" s="29" t="s">
        <v>265</v>
      </c>
      <c r="E217" s="29" t="s">
        <v>266</v>
      </c>
      <c r="F217" s="29" t="s">
        <v>69</v>
      </c>
      <c r="G217" s="29" t="s">
        <v>67</v>
      </c>
      <c r="H217" s="29" t="s">
        <v>1379</v>
      </c>
      <c r="I217" s="29" t="s">
        <v>1863</v>
      </c>
      <c r="J217" s="29" t="n">
        <v>0</v>
      </c>
      <c r="K217" s="29" t="n">
        <v>0</v>
      </c>
      <c r="L217" s="29" t="s">
        <v>1846</v>
      </c>
    </row>
    <row r="218" customFormat="false" ht="15" hidden="false" customHeight="false" outlineLevel="0" collapsed="false">
      <c r="A218" s="29" t="n">
        <v>133386</v>
      </c>
      <c r="B218" s="29" t="s">
        <v>1519</v>
      </c>
      <c r="C218" s="29" t="s">
        <v>1520</v>
      </c>
      <c r="D218" s="29" t="s">
        <v>291</v>
      </c>
      <c r="E218" s="29" t="s">
        <v>292</v>
      </c>
      <c r="F218" s="29" t="s">
        <v>69</v>
      </c>
      <c r="G218" s="29" t="s">
        <v>68</v>
      </c>
      <c r="H218" s="29" t="s">
        <v>1381</v>
      </c>
      <c r="I218" s="29" t="s">
        <v>1845</v>
      </c>
      <c r="J218" s="29" t="n">
        <v>0</v>
      </c>
      <c r="K218" s="29" t="n">
        <v>0</v>
      </c>
      <c r="L218" s="29" t="s">
        <v>1846</v>
      </c>
    </row>
    <row r="219" customFormat="false" ht="15" hidden="false" customHeight="false" outlineLevel="0" collapsed="false">
      <c r="A219" s="29" t="n">
        <v>133386</v>
      </c>
      <c r="B219" s="29" t="s">
        <v>1519</v>
      </c>
      <c r="C219" s="29" t="s">
        <v>1520</v>
      </c>
      <c r="D219" s="29" t="s">
        <v>297</v>
      </c>
      <c r="E219" s="29" t="s">
        <v>298</v>
      </c>
      <c r="F219" s="29" t="s">
        <v>69</v>
      </c>
      <c r="G219" s="29" t="s">
        <v>68</v>
      </c>
      <c r="H219" s="29" t="s">
        <v>1381</v>
      </c>
      <c r="I219" s="29" t="s">
        <v>1848</v>
      </c>
      <c r="J219" s="29" t="n">
        <v>0</v>
      </c>
      <c r="K219" s="29" t="n">
        <v>0</v>
      </c>
      <c r="L219" s="29" t="s">
        <v>1846</v>
      </c>
    </row>
    <row r="220" customFormat="false" ht="15" hidden="false" customHeight="false" outlineLevel="0" collapsed="false">
      <c r="A220" s="29" t="n">
        <v>133386</v>
      </c>
      <c r="B220" s="29" t="s">
        <v>1519</v>
      </c>
      <c r="C220" s="29" t="s">
        <v>1520</v>
      </c>
      <c r="D220" s="29" t="s">
        <v>353</v>
      </c>
      <c r="E220" s="29" t="s">
        <v>354</v>
      </c>
      <c r="F220" s="29" t="s">
        <v>76</v>
      </c>
      <c r="G220" s="29" t="s">
        <v>67</v>
      </c>
      <c r="H220" s="29" t="s">
        <v>1844</v>
      </c>
      <c r="I220" s="29" t="s">
        <v>1853</v>
      </c>
      <c r="J220" s="29" t="n">
        <v>0</v>
      </c>
      <c r="K220" s="29" t="n">
        <v>0</v>
      </c>
      <c r="L220" s="29" t="s">
        <v>1846</v>
      </c>
    </row>
    <row r="221" customFormat="false" ht="15" hidden="false" customHeight="false" outlineLevel="0" collapsed="false">
      <c r="A221" s="29" t="n">
        <v>133386</v>
      </c>
      <c r="B221" s="29" t="s">
        <v>1519</v>
      </c>
      <c r="C221" s="29" t="s">
        <v>1520</v>
      </c>
      <c r="D221" s="29" t="s">
        <v>387</v>
      </c>
      <c r="E221" s="29" t="s">
        <v>388</v>
      </c>
      <c r="F221" s="29" t="s">
        <v>76</v>
      </c>
      <c r="G221" s="29" t="s">
        <v>68</v>
      </c>
      <c r="H221" s="29" t="s">
        <v>1381</v>
      </c>
      <c r="I221" s="29" t="s">
        <v>1853</v>
      </c>
      <c r="J221" s="29" t="n">
        <v>0</v>
      </c>
      <c r="K221" s="29" t="n">
        <v>0</v>
      </c>
      <c r="L221" s="29" t="s">
        <v>1846</v>
      </c>
    </row>
    <row r="222" customFormat="false" ht="15" hidden="false" customHeight="false" outlineLevel="0" collapsed="false">
      <c r="A222" s="29" t="n">
        <v>133386</v>
      </c>
      <c r="B222" s="29" t="s">
        <v>1519</v>
      </c>
      <c r="C222" s="29" t="s">
        <v>1520</v>
      </c>
      <c r="D222" s="29" t="s">
        <v>396</v>
      </c>
      <c r="E222" s="29" t="s">
        <v>397</v>
      </c>
      <c r="F222" s="29" t="s">
        <v>76</v>
      </c>
      <c r="G222" s="29" t="s">
        <v>68</v>
      </c>
      <c r="H222" s="29" t="s">
        <v>1381</v>
      </c>
      <c r="I222" s="29" t="s">
        <v>1853</v>
      </c>
      <c r="J222" s="29" t="n">
        <v>0</v>
      </c>
      <c r="K222" s="29" t="n">
        <v>0</v>
      </c>
      <c r="L222" s="29" t="s">
        <v>1846</v>
      </c>
    </row>
    <row r="223" customFormat="false" ht="15" hidden="false" customHeight="false" outlineLevel="0" collapsed="false">
      <c r="A223" s="29" t="n">
        <v>133386</v>
      </c>
      <c r="B223" s="29" t="s">
        <v>1519</v>
      </c>
      <c r="C223" s="29" t="s">
        <v>1520</v>
      </c>
      <c r="D223" s="29" t="s">
        <v>428</v>
      </c>
      <c r="E223" s="29" t="s">
        <v>429</v>
      </c>
      <c r="F223" s="29" t="s">
        <v>76</v>
      </c>
      <c r="G223" s="29" t="s">
        <v>68</v>
      </c>
      <c r="H223" s="29" t="s">
        <v>1381</v>
      </c>
      <c r="I223" s="29" t="s">
        <v>1853</v>
      </c>
      <c r="J223" s="29" t="n">
        <v>0</v>
      </c>
      <c r="K223" s="29" t="n">
        <v>0</v>
      </c>
      <c r="L223" s="29" t="s">
        <v>1846</v>
      </c>
    </row>
    <row r="224" customFormat="false" ht="15" hidden="false" customHeight="false" outlineLevel="0" collapsed="false">
      <c r="A224" s="29" t="n">
        <v>133386</v>
      </c>
      <c r="B224" s="29" t="s">
        <v>1519</v>
      </c>
      <c r="C224" s="29" t="s">
        <v>1520</v>
      </c>
      <c r="D224" s="29" t="s">
        <v>433</v>
      </c>
      <c r="E224" s="29" t="s">
        <v>434</v>
      </c>
      <c r="F224" s="29" t="s">
        <v>82</v>
      </c>
      <c r="G224" s="29" t="s">
        <v>66</v>
      </c>
      <c r="H224" s="29" t="s">
        <v>1379</v>
      </c>
      <c r="I224" s="29" t="s">
        <v>1863</v>
      </c>
      <c r="J224" s="29" t="n">
        <v>0</v>
      </c>
      <c r="K224" s="29" t="n">
        <v>0</v>
      </c>
      <c r="L224" s="29" t="s">
        <v>1846</v>
      </c>
    </row>
    <row r="225" customFormat="false" ht="15" hidden="false" customHeight="false" outlineLevel="0" collapsed="false">
      <c r="A225" s="29" t="n">
        <v>133386</v>
      </c>
      <c r="B225" s="29" t="s">
        <v>1519</v>
      </c>
      <c r="C225" s="29" t="s">
        <v>1520</v>
      </c>
      <c r="D225" s="29" t="s">
        <v>668</v>
      </c>
      <c r="E225" s="29" t="s">
        <v>669</v>
      </c>
      <c r="F225" s="29" t="s">
        <v>105</v>
      </c>
      <c r="G225" s="29" t="s">
        <v>66</v>
      </c>
      <c r="H225" s="29" t="s">
        <v>1379</v>
      </c>
      <c r="I225" s="29" t="s">
        <v>1863</v>
      </c>
      <c r="J225" s="29" t="n">
        <v>0</v>
      </c>
      <c r="K225" s="29" t="n">
        <v>0</v>
      </c>
      <c r="L225" s="29" t="s">
        <v>1846</v>
      </c>
    </row>
    <row r="226" customFormat="false" ht="15" hidden="false" customHeight="false" outlineLevel="0" collapsed="false">
      <c r="A226" s="29" t="n">
        <v>133386</v>
      </c>
      <c r="B226" s="29" t="s">
        <v>1519</v>
      </c>
      <c r="C226" s="29" t="s">
        <v>1520</v>
      </c>
      <c r="D226" s="29" t="s">
        <v>680</v>
      </c>
      <c r="E226" s="29" t="s">
        <v>681</v>
      </c>
      <c r="F226" s="29" t="s">
        <v>105</v>
      </c>
      <c r="G226" s="29" t="s">
        <v>66</v>
      </c>
      <c r="H226" s="29" t="s">
        <v>1379</v>
      </c>
      <c r="I226" s="29" t="s">
        <v>1863</v>
      </c>
      <c r="J226" s="29" t="n">
        <v>0</v>
      </c>
      <c r="K226" s="29" t="n">
        <v>0</v>
      </c>
      <c r="L226" s="29" t="s">
        <v>1846</v>
      </c>
    </row>
    <row r="227" customFormat="false" ht="15" hidden="false" customHeight="false" outlineLevel="0" collapsed="false">
      <c r="A227" s="29" t="n">
        <v>133386</v>
      </c>
      <c r="B227" s="29" t="s">
        <v>1519</v>
      </c>
      <c r="C227" s="29" t="s">
        <v>1520</v>
      </c>
      <c r="D227" s="29" t="s">
        <v>711</v>
      </c>
      <c r="E227" s="29" t="s">
        <v>712</v>
      </c>
      <c r="F227" s="29" t="s">
        <v>116</v>
      </c>
      <c r="G227" s="29" t="s">
        <v>66</v>
      </c>
      <c r="H227" s="29" t="s">
        <v>1379</v>
      </c>
      <c r="I227" s="29" t="s">
        <v>1863</v>
      </c>
      <c r="J227" s="29" t="n">
        <v>0</v>
      </c>
      <c r="K227" s="29" t="n">
        <v>0</v>
      </c>
      <c r="L227" s="29" t="s">
        <v>1846</v>
      </c>
    </row>
    <row r="228" customFormat="false" ht="15" hidden="false" customHeight="false" outlineLevel="0" collapsed="false">
      <c r="A228" s="29" t="n">
        <v>133560</v>
      </c>
      <c r="B228" s="29" t="s">
        <v>1524</v>
      </c>
      <c r="C228" s="29" t="s">
        <v>1525</v>
      </c>
      <c r="D228" s="29" t="s">
        <v>247</v>
      </c>
      <c r="E228" s="29" t="s">
        <v>248</v>
      </c>
      <c r="F228" s="29" t="s">
        <v>69</v>
      </c>
      <c r="G228" s="29" t="s">
        <v>67</v>
      </c>
      <c r="H228" s="29" t="s">
        <v>1844</v>
      </c>
      <c r="I228" s="29" t="s">
        <v>1848</v>
      </c>
      <c r="J228" s="29" t="n">
        <v>0</v>
      </c>
      <c r="K228" s="29" t="n">
        <v>2</v>
      </c>
      <c r="L228" s="29" t="s">
        <v>1866</v>
      </c>
    </row>
    <row r="229" customFormat="false" ht="15" hidden="false" customHeight="false" outlineLevel="0" collapsed="false">
      <c r="A229" s="29" t="n">
        <v>133560</v>
      </c>
      <c r="B229" s="29" t="s">
        <v>1524</v>
      </c>
      <c r="C229" s="29" t="s">
        <v>1525</v>
      </c>
      <c r="D229" s="29" t="s">
        <v>265</v>
      </c>
      <c r="E229" s="29" t="s">
        <v>266</v>
      </c>
      <c r="F229" s="29" t="s">
        <v>69</v>
      </c>
      <c r="G229" s="29" t="s">
        <v>67</v>
      </c>
      <c r="H229" s="29" t="s">
        <v>1379</v>
      </c>
      <c r="I229" s="29" t="s">
        <v>1863</v>
      </c>
      <c r="J229" s="29" t="n">
        <v>0</v>
      </c>
      <c r="K229" s="29" t="n">
        <v>0</v>
      </c>
      <c r="L229" s="29" t="s">
        <v>1849</v>
      </c>
    </row>
    <row r="230" customFormat="false" ht="15" hidden="false" customHeight="false" outlineLevel="0" collapsed="false">
      <c r="A230" s="29" t="n">
        <v>133560</v>
      </c>
      <c r="B230" s="29" t="s">
        <v>1524</v>
      </c>
      <c r="C230" s="29" t="s">
        <v>1525</v>
      </c>
      <c r="D230" s="29" t="s">
        <v>277</v>
      </c>
      <c r="E230" s="29" t="s">
        <v>278</v>
      </c>
      <c r="F230" s="29" t="s">
        <v>69</v>
      </c>
      <c r="G230" s="29" t="s">
        <v>67</v>
      </c>
      <c r="H230" s="29" t="s">
        <v>1844</v>
      </c>
      <c r="I230" s="29" t="s">
        <v>1851</v>
      </c>
      <c r="J230" s="29" t="n">
        <v>0</v>
      </c>
      <c r="K230" s="29" t="n">
        <v>11</v>
      </c>
      <c r="L230" s="29" t="s">
        <v>1866</v>
      </c>
    </row>
    <row r="231" customFormat="false" ht="15" hidden="false" customHeight="false" outlineLevel="0" collapsed="false">
      <c r="A231" s="29" t="n">
        <v>133560</v>
      </c>
      <c r="B231" s="29" t="s">
        <v>1524</v>
      </c>
      <c r="C231" s="29" t="s">
        <v>1525</v>
      </c>
      <c r="D231" s="29" t="s">
        <v>297</v>
      </c>
      <c r="E231" s="29" t="s">
        <v>298</v>
      </c>
      <c r="F231" s="29" t="s">
        <v>69</v>
      </c>
      <c r="G231" s="29" t="s">
        <v>68</v>
      </c>
      <c r="H231" s="29" t="s">
        <v>1381</v>
      </c>
      <c r="I231" s="29" t="s">
        <v>1848</v>
      </c>
      <c r="J231" s="29" t="n">
        <v>0</v>
      </c>
      <c r="K231" s="29" t="n">
        <v>2</v>
      </c>
      <c r="L231" s="29" t="s">
        <v>1866</v>
      </c>
    </row>
    <row r="232" customFormat="false" ht="15" hidden="false" customHeight="false" outlineLevel="0" collapsed="false">
      <c r="A232" s="29" t="n">
        <v>133560</v>
      </c>
      <c r="B232" s="29" t="s">
        <v>1524</v>
      </c>
      <c r="C232" s="29" t="s">
        <v>1525</v>
      </c>
      <c r="D232" s="29" t="s">
        <v>304</v>
      </c>
      <c r="E232" s="29" t="s">
        <v>305</v>
      </c>
      <c r="F232" s="29" t="s">
        <v>69</v>
      </c>
      <c r="G232" s="29" t="s">
        <v>68</v>
      </c>
      <c r="H232" s="29" t="s">
        <v>1381</v>
      </c>
      <c r="I232" s="29" t="s">
        <v>1851</v>
      </c>
      <c r="J232" s="29" t="n">
        <v>0</v>
      </c>
      <c r="K232" s="29" t="n">
        <v>0</v>
      </c>
      <c r="L232" s="29" t="s">
        <v>1849</v>
      </c>
    </row>
    <row r="233" customFormat="false" ht="15" hidden="false" customHeight="false" outlineLevel="0" collapsed="false">
      <c r="A233" s="29" t="n">
        <v>133560</v>
      </c>
      <c r="B233" s="29" t="s">
        <v>1524</v>
      </c>
      <c r="C233" s="29" t="s">
        <v>1525</v>
      </c>
      <c r="D233" s="29" t="s">
        <v>311</v>
      </c>
      <c r="E233" s="29" t="s">
        <v>312</v>
      </c>
      <c r="F233" s="29" t="s">
        <v>69</v>
      </c>
      <c r="G233" s="29" t="s">
        <v>68</v>
      </c>
      <c r="H233" s="29" t="s">
        <v>1381</v>
      </c>
      <c r="I233" s="29" t="s">
        <v>1851</v>
      </c>
      <c r="J233" s="29" t="n">
        <v>0</v>
      </c>
      <c r="K233" s="29" t="n">
        <v>0</v>
      </c>
      <c r="L233" s="29" t="s">
        <v>1849</v>
      </c>
    </row>
    <row r="234" customFormat="false" ht="15" hidden="false" customHeight="false" outlineLevel="0" collapsed="false">
      <c r="A234" s="29" t="n">
        <v>133560</v>
      </c>
      <c r="B234" s="29" t="s">
        <v>1524</v>
      </c>
      <c r="C234" s="29" t="s">
        <v>1525</v>
      </c>
      <c r="D234" s="29" t="s">
        <v>343</v>
      </c>
      <c r="E234" s="29" t="s">
        <v>344</v>
      </c>
      <c r="F234" s="29" t="s">
        <v>76</v>
      </c>
      <c r="G234" s="29" t="s">
        <v>67</v>
      </c>
      <c r="H234" s="29" t="s">
        <v>1844</v>
      </c>
      <c r="I234" s="29" t="s">
        <v>1873</v>
      </c>
      <c r="J234" s="29" t="n">
        <v>0</v>
      </c>
      <c r="K234" s="29" t="n">
        <v>0</v>
      </c>
      <c r="L234" s="29" t="s">
        <v>1849</v>
      </c>
    </row>
    <row r="235" customFormat="false" ht="15" hidden="false" customHeight="false" outlineLevel="0" collapsed="false">
      <c r="A235" s="29" t="n">
        <v>133560</v>
      </c>
      <c r="B235" s="29" t="s">
        <v>1524</v>
      </c>
      <c r="C235" s="29" t="s">
        <v>1525</v>
      </c>
      <c r="D235" s="29" t="s">
        <v>360</v>
      </c>
      <c r="E235" s="29" t="s">
        <v>361</v>
      </c>
      <c r="F235" s="29" t="s">
        <v>76</v>
      </c>
      <c r="G235" s="29" t="s">
        <v>67</v>
      </c>
      <c r="H235" s="29" t="s">
        <v>1844</v>
      </c>
      <c r="I235" s="29" t="s">
        <v>1873</v>
      </c>
      <c r="J235" s="29" t="n">
        <v>0</v>
      </c>
      <c r="K235" s="29" t="n">
        <v>4</v>
      </c>
      <c r="L235" s="29" t="s">
        <v>1866</v>
      </c>
    </row>
    <row r="236" customFormat="false" ht="15" hidden="false" customHeight="false" outlineLevel="0" collapsed="false">
      <c r="A236" s="29" t="n">
        <v>133560</v>
      </c>
      <c r="B236" s="29" t="s">
        <v>1524</v>
      </c>
      <c r="C236" s="29" t="s">
        <v>1525</v>
      </c>
      <c r="D236" s="29" t="s">
        <v>371</v>
      </c>
      <c r="E236" s="29" t="s">
        <v>372</v>
      </c>
      <c r="F236" s="29" t="s">
        <v>76</v>
      </c>
      <c r="G236" s="29" t="s">
        <v>67</v>
      </c>
      <c r="H236" s="29" t="s">
        <v>1844</v>
      </c>
      <c r="I236" s="29" t="s">
        <v>1873</v>
      </c>
      <c r="J236" s="29" t="n">
        <v>0</v>
      </c>
      <c r="K236" s="29" t="n">
        <v>0</v>
      </c>
      <c r="L236" s="29" t="s">
        <v>1849</v>
      </c>
    </row>
    <row r="237" customFormat="false" ht="15" hidden="false" customHeight="false" outlineLevel="0" collapsed="false">
      <c r="A237" s="29" t="n">
        <v>133560</v>
      </c>
      <c r="B237" s="29" t="s">
        <v>1524</v>
      </c>
      <c r="C237" s="29" t="s">
        <v>1525</v>
      </c>
      <c r="D237" s="29" t="s">
        <v>379</v>
      </c>
      <c r="E237" s="29" t="s">
        <v>380</v>
      </c>
      <c r="F237" s="29" t="s">
        <v>76</v>
      </c>
      <c r="G237" s="29" t="s">
        <v>68</v>
      </c>
      <c r="H237" s="29" t="s">
        <v>1381</v>
      </c>
      <c r="I237" s="29" t="s">
        <v>1874</v>
      </c>
      <c r="J237" s="29" t="n">
        <v>0</v>
      </c>
      <c r="K237" s="29" t="n">
        <v>4</v>
      </c>
      <c r="L237" s="29" t="s">
        <v>1866</v>
      </c>
    </row>
    <row r="238" customFormat="false" ht="15" hidden="false" customHeight="false" outlineLevel="0" collapsed="false">
      <c r="A238" s="29" t="n">
        <v>133560</v>
      </c>
      <c r="B238" s="29" t="s">
        <v>1524</v>
      </c>
      <c r="C238" s="29" t="s">
        <v>1525</v>
      </c>
      <c r="D238" s="29" t="s">
        <v>411</v>
      </c>
      <c r="E238" s="29" t="s">
        <v>412</v>
      </c>
      <c r="F238" s="29" t="s">
        <v>76</v>
      </c>
      <c r="G238" s="29" t="s">
        <v>68</v>
      </c>
      <c r="H238" s="29" t="s">
        <v>1381</v>
      </c>
      <c r="I238" s="29" t="s">
        <v>1873</v>
      </c>
      <c r="J238" s="29" t="n">
        <v>0</v>
      </c>
      <c r="K238" s="29" t="n">
        <v>11</v>
      </c>
      <c r="L238" s="29" t="s">
        <v>1866</v>
      </c>
    </row>
    <row r="239" customFormat="false" ht="15" hidden="false" customHeight="false" outlineLevel="0" collapsed="false">
      <c r="A239" s="29" t="n">
        <v>133560</v>
      </c>
      <c r="B239" s="29" t="s">
        <v>1524</v>
      </c>
      <c r="C239" s="29" t="s">
        <v>1525</v>
      </c>
      <c r="D239" s="29" t="s">
        <v>433</v>
      </c>
      <c r="E239" s="29" t="s">
        <v>434</v>
      </c>
      <c r="F239" s="29" t="s">
        <v>82</v>
      </c>
      <c r="G239" s="29" t="s">
        <v>66</v>
      </c>
      <c r="H239" s="29" t="s">
        <v>1379</v>
      </c>
      <c r="I239" s="29" t="s">
        <v>1863</v>
      </c>
      <c r="J239" s="29" t="n">
        <v>0</v>
      </c>
      <c r="K239" s="29" t="n">
        <v>0</v>
      </c>
      <c r="L239" s="29" t="s">
        <v>1849</v>
      </c>
    </row>
    <row r="240" customFormat="false" ht="15" hidden="false" customHeight="false" outlineLevel="0" collapsed="false">
      <c r="A240" s="29" t="n">
        <v>133560</v>
      </c>
      <c r="B240" s="29" t="s">
        <v>1524</v>
      </c>
      <c r="C240" s="29" t="s">
        <v>1525</v>
      </c>
      <c r="D240" s="29" t="s">
        <v>668</v>
      </c>
      <c r="E240" s="29" t="s">
        <v>669</v>
      </c>
      <c r="F240" s="29" t="s">
        <v>105</v>
      </c>
      <c r="G240" s="29" t="s">
        <v>66</v>
      </c>
      <c r="H240" s="29" t="s">
        <v>1379</v>
      </c>
      <c r="I240" s="29" t="s">
        <v>1863</v>
      </c>
      <c r="J240" s="29" t="n">
        <v>0</v>
      </c>
      <c r="K240" s="29" t="n">
        <v>0</v>
      </c>
      <c r="L240" s="29" t="s">
        <v>1849</v>
      </c>
    </row>
    <row r="241" customFormat="false" ht="15" hidden="false" customHeight="false" outlineLevel="0" collapsed="false">
      <c r="A241" s="29" t="n">
        <v>133560</v>
      </c>
      <c r="B241" s="29" t="s">
        <v>1524</v>
      </c>
      <c r="C241" s="29" t="s">
        <v>1525</v>
      </c>
      <c r="D241" s="29" t="s">
        <v>680</v>
      </c>
      <c r="E241" s="29" t="s">
        <v>681</v>
      </c>
      <c r="F241" s="29" t="s">
        <v>105</v>
      </c>
      <c r="G241" s="29" t="s">
        <v>66</v>
      </c>
      <c r="H241" s="29" t="s">
        <v>1379</v>
      </c>
      <c r="I241" s="29" t="s">
        <v>1863</v>
      </c>
      <c r="J241" s="29" t="n">
        <v>0</v>
      </c>
      <c r="K241" s="29" t="n">
        <v>0</v>
      </c>
      <c r="L241" s="29" t="s">
        <v>1849</v>
      </c>
    </row>
    <row r="242" customFormat="false" ht="15" hidden="false" customHeight="false" outlineLevel="0" collapsed="false">
      <c r="A242" s="29" t="n">
        <v>133560</v>
      </c>
      <c r="B242" s="29" t="s">
        <v>1524</v>
      </c>
      <c r="C242" s="29" t="s">
        <v>1525</v>
      </c>
      <c r="D242" s="29" t="s">
        <v>711</v>
      </c>
      <c r="E242" s="29" t="s">
        <v>712</v>
      </c>
      <c r="F242" s="29" t="s">
        <v>116</v>
      </c>
      <c r="G242" s="29" t="s">
        <v>66</v>
      </c>
      <c r="H242" s="29" t="s">
        <v>1379</v>
      </c>
      <c r="I242" s="29" t="s">
        <v>1863</v>
      </c>
      <c r="J242" s="29" t="n">
        <v>0</v>
      </c>
      <c r="K242" s="29" t="n">
        <v>5</v>
      </c>
      <c r="L242" s="29" t="s">
        <v>1866</v>
      </c>
    </row>
    <row r="243" customFormat="false" ht="15" hidden="false" customHeight="false" outlineLevel="0" collapsed="false">
      <c r="A243" s="29" t="n">
        <v>133561</v>
      </c>
      <c r="B243" s="29" t="s">
        <v>1530</v>
      </c>
      <c r="C243" s="29" t="s">
        <v>1531</v>
      </c>
      <c r="D243" s="29" t="s">
        <v>247</v>
      </c>
      <c r="E243" s="29" t="s">
        <v>248</v>
      </c>
      <c r="F243" s="29" t="s">
        <v>69</v>
      </c>
      <c r="G243" s="29" t="s">
        <v>67</v>
      </c>
      <c r="H243" s="29" t="s">
        <v>1844</v>
      </c>
      <c r="I243" s="29" t="s">
        <v>1848</v>
      </c>
      <c r="J243" s="29" t="n">
        <v>0</v>
      </c>
      <c r="K243" s="29" t="n">
        <v>0</v>
      </c>
      <c r="L243" s="29" t="s">
        <v>1849</v>
      </c>
    </row>
    <row r="244" customFormat="false" ht="15" hidden="false" customHeight="false" outlineLevel="0" collapsed="false">
      <c r="A244" s="29" t="n">
        <v>133561</v>
      </c>
      <c r="B244" s="29" t="s">
        <v>1530</v>
      </c>
      <c r="C244" s="29" t="s">
        <v>1531</v>
      </c>
      <c r="D244" s="29" t="s">
        <v>265</v>
      </c>
      <c r="E244" s="29" t="s">
        <v>266</v>
      </c>
      <c r="F244" s="29" t="s">
        <v>69</v>
      </c>
      <c r="G244" s="29" t="s">
        <v>67</v>
      </c>
      <c r="H244" s="29" t="s">
        <v>1379</v>
      </c>
      <c r="I244" s="29" t="s">
        <v>1863</v>
      </c>
      <c r="J244" s="29" t="n">
        <v>0</v>
      </c>
      <c r="K244" s="29" t="n">
        <v>0</v>
      </c>
      <c r="L244" s="29" t="s">
        <v>1849</v>
      </c>
    </row>
    <row r="245" customFormat="false" ht="15" hidden="false" customHeight="false" outlineLevel="0" collapsed="false">
      <c r="A245" s="29" t="n">
        <v>133561</v>
      </c>
      <c r="B245" s="29" t="s">
        <v>1530</v>
      </c>
      <c r="C245" s="29" t="s">
        <v>1531</v>
      </c>
      <c r="D245" s="29" t="s">
        <v>297</v>
      </c>
      <c r="E245" s="29" t="s">
        <v>298</v>
      </c>
      <c r="F245" s="29" t="s">
        <v>69</v>
      </c>
      <c r="G245" s="29" t="s">
        <v>68</v>
      </c>
      <c r="H245" s="29" t="s">
        <v>1381</v>
      </c>
      <c r="I245" s="29" t="s">
        <v>1848</v>
      </c>
      <c r="J245" s="29" t="n">
        <v>0</v>
      </c>
      <c r="K245" s="29" t="n">
        <v>0</v>
      </c>
      <c r="L245" s="29" t="s">
        <v>1849</v>
      </c>
    </row>
    <row r="246" customFormat="false" ht="15" hidden="false" customHeight="false" outlineLevel="0" collapsed="false">
      <c r="A246" s="29" t="n">
        <v>133561</v>
      </c>
      <c r="B246" s="29" t="s">
        <v>1530</v>
      </c>
      <c r="C246" s="29" t="s">
        <v>1531</v>
      </c>
      <c r="D246" s="29" t="s">
        <v>353</v>
      </c>
      <c r="E246" s="29" t="s">
        <v>354</v>
      </c>
      <c r="F246" s="29" t="s">
        <v>76</v>
      </c>
      <c r="G246" s="29" t="s">
        <v>67</v>
      </c>
      <c r="H246" s="29" t="s">
        <v>1844</v>
      </c>
      <c r="I246" s="29" t="s">
        <v>1853</v>
      </c>
      <c r="J246" s="29" t="n">
        <v>0</v>
      </c>
      <c r="K246" s="29" t="n">
        <v>0</v>
      </c>
      <c r="L246" s="29" t="s">
        <v>1849</v>
      </c>
    </row>
    <row r="247" customFormat="false" ht="15" hidden="false" customHeight="false" outlineLevel="0" collapsed="false">
      <c r="A247" s="29" t="n">
        <v>133561</v>
      </c>
      <c r="B247" s="29" t="s">
        <v>1530</v>
      </c>
      <c r="C247" s="29" t="s">
        <v>1531</v>
      </c>
      <c r="D247" s="29" t="s">
        <v>387</v>
      </c>
      <c r="E247" s="29" t="s">
        <v>388</v>
      </c>
      <c r="F247" s="29" t="s">
        <v>76</v>
      </c>
      <c r="G247" s="29" t="s">
        <v>68</v>
      </c>
      <c r="H247" s="29" t="s">
        <v>1381</v>
      </c>
      <c r="I247" s="29" t="s">
        <v>1853</v>
      </c>
      <c r="J247" s="29" t="n">
        <v>0</v>
      </c>
      <c r="K247" s="29" t="n">
        <v>0</v>
      </c>
      <c r="L247" s="29" t="s">
        <v>1849</v>
      </c>
    </row>
    <row r="248" customFormat="false" ht="15" hidden="false" customHeight="false" outlineLevel="0" collapsed="false">
      <c r="A248" s="29" t="n">
        <v>133561</v>
      </c>
      <c r="B248" s="29" t="s">
        <v>1530</v>
      </c>
      <c r="C248" s="29" t="s">
        <v>1531</v>
      </c>
      <c r="D248" s="29" t="s">
        <v>396</v>
      </c>
      <c r="E248" s="29" t="s">
        <v>397</v>
      </c>
      <c r="F248" s="29" t="s">
        <v>76</v>
      </c>
      <c r="G248" s="29" t="s">
        <v>68</v>
      </c>
      <c r="H248" s="29" t="s">
        <v>1381</v>
      </c>
      <c r="I248" s="29" t="s">
        <v>1853</v>
      </c>
      <c r="J248" s="29" t="n">
        <v>0</v>
      </c>
      <c r="K248" s="29" t="n">
        <v>0</v>
      </c>
      <c r="L248" s="29" t="s">
        <v>1849</v>
      </c>
    </row>
    <row r="249" customFormat="false" ht="15" hidden="false" customHeight="false" outlineLevel="0" collapsed="false">
      <c r="A249" s="29" t="n">
        <v>133561</v>
      </c>
      <c r="B249" s="29" t="s">
        <v>1530</v>
      </c>
      <c r="C249" s="29" t="s">
        <v>1531</v>
      </c>
      <c r="D249" s="29" t="s">
        <v>428</v>
      </c>
      <c r="E249" s="29" t="s">
        <v>429</v>
      </c>
      <c r="F249" s="29" t="s">
        <v>76</v>
      </c>
      <c r="G249" s="29" t="s">
        <v>68</v>
      </c>
      <c r="H249" s="29" t="s">
        <v>1381</v>
      </c>
      <c r="I249" s="29" t="s">
        <v>1875</v>
      </c>
      <c r="J249" s="29" t="n">
        <v>0</v>
      </c>
      <c r="K249" s="29" t="n">
        <v>0</v>
      </c>
      <c r="L249" s="29" t="s">
        <v>1849</v>
      </c>
    </row>
    <row r="250" customFormat="false" ht="15" hidden="false" customHeight="false" outlineLevel="0" collapsed="false">
      <c r="A250" s="29" t="n">
        <v>133561</v>
      </c>
      <c r="B250" s="29" t="s">
        <v>1530</v>
      </c>
      <c r="C250" s="29" t="s">
        <v>1531</v>
      </c>
      <c r="D250" s="29" t="s">
        <v>433</v>
      </c>
      <c r="E250" s="29" t="s">
        <v>434</v>
      </c>
      <c r="F250" s="29" t="s">
        <v>82</v>
      </c>
      <c r="G250" s="29" t="s">
        <v>66</v>
      </c>
      <c r="H250" s="29" t="s">
        <v>1379</v>
      </c>
      <c r="I250" s="29" t="s">
        <v>1863</v>
      </c>
      <c r="J250" s="29" t="n">
        <v>0</v>
      </c>
      <c r="K250" s="29" t="n">
        <v>0</v>
      </c>
      <c r="L250" s="29" t="s">
        <v>1849</v>
      </c>
    </row>
    <row r="251" customFormat="false" ht="15" hidden="false" customHeight="false" outlineLevel="0" collapsed="false">
      <c r="A251" s="29" t="n">
        <v>133561</v>
      </c>
      <c r="B251" s="29" t="s">
        <v>1530</v>
      </c>
      <c r="C251" s="29" t="s">
        <v>1531</v>
      </c>
      <c r="D251" s="29" t="s">
        <v>668</v>
      </c>
      <c r="E251" s="29" t="s">
        <v>669</v>
      </c>
      <c r="F251" s="29" t="s">
        <v>105</v>
      </c>
      <c r="G251" s="29" t="s">
        <v>66</v>
      </c>
      <c r="H251" s="29" t="s">
        <v>1379</v>
      </c>
      <c r="I251" s="29" t="s">
        <v>1863</v>
      </c>
      <c r="J251" s="29" t="n">
        <v>0</v>
      </c>
      <c r="K251" s="29" t="n">
        <v>0</v>
      </c>
      <c r="L251" s="29" t="s">
        <v>1849</v>
      </c>
    </row>
    <row r="252" customFormat="false" ht="15" hidden="false" customHeight="false" outlineLevel="0" collapsed="false">
      <c r="A252" s="29" t="n">
        <v>133561</v>
      </c>
      <c r="B252" s="29" t="s">
        <v>1530</v>
      </c>
      <c r="C252" s="29" t="s">
        <v>1531</v>
      </c>
      <c r="D252" s="29" t="s">
        <v>680</v>
      </c>
      <c r="E252" s="29" t="s">
        <v>681</v>
      </c>
      <c r="F252" s="29" t="s">
        <v>105</v>
      </c>
      <c r="G252" s="29" t="s">
        <v>66</v>
      </c>
      <c r="H252" s="29" t="s">
        <v>1379</v>
      </c>
      <c r="I252" s="29" t="s">
        <v>1863</v>
      </c>
      <c r="J252" s="29" t="n">
        <v>0</v>
      </c>
      <c r="K252" s="29" t="n">
        <v>0</v>
      </c>
      <c r="L252" s="29" t="s">
        <v>1849</v>
      </c>
    </row>
    <row r="253" customFormat="false" ht="15" hidden="false" customHeight="false" outlineLevel="0" collapsed="false">
      <c r="A253" s="29" t="n">
        <v>133561</v>
      </c>
      <c r="B253" s="29" t="s">
        <v>1530</v>
      </c>
      <c r="C253" s="29" t="s">
        <v>1531</v>
      </c>
      <c r="D253" s="29" t="s">
        <v>689</v>
      </c>
      <c r="E253" s="29" t="s">
        <v>690</v>
      </c>
      <c r="F253" s="29" t="s">
        <v>105</v>
      </c>
      <c r="G253" s="29" t="s">
        <v>67</v>
      </c>
      <c r="H253" s="29" t="s">
        <v>1844</v>
      </c>
      <c r="I253" s="29" t="s">
        <v>1872</v>
      </c>
      <c r="J253" s="29" t="n">
        <v>0</v>
      </c>
      <c r="K253" s="29" t="n">
        <v>0</v>
      </c>
      <c r="L253" s="29" t="s">
        <v>1849</v>
      </c>
    </row>
    <row r="254" customFormat="false" ht="15" hidden="false" customHeight="false" outlineLevel="0" collapsed="false">
      <c r="A254" s="29" t="n">
        <v>133561</v>
      </c>
      <c r="B254" s="29" t="s">
        <v>1530</v>
      </c>
      <c r="C254" s="29" t="s">
        <v>1531</v>
      </c>
      <c r="D254" s="29" t="s">
        <v>711</v>
      </c>
      <c r="E254" s="29" t="s">
        <v>712</v>
      </c>
      <c r="F254" s="29" t="s">
        <v>116</v>
      </c>
      <c r="G254" s="29" t="s">
        <v>66</v>
      </c>
      <c r="H254" s="29" t="s">
        <v>1379</v>
      </c>
      <c r="I254" s="29" t="s">
        <v>1863</v>
      </c>
      <c r="J254" s="29" t="n">
        <v>0</v>
      </c>
      <c r="K254" s="29" t="n">
        <v>2</v>
      </c>
      <c r="L254" s="29" t="s">
        <v>1866</v>
      </c>
    </row>
    <row r="255" customFormat="false" ht="15" hidden="false" customHeight="false" outlineLevel="0" collapsed="false">
      <c r="A255" s="29" t="n">
        <v>140885</v>
      </c>
      <c r="B255" s="29" t="s">
        <v>1536</v>
      </c>
      <c r="C255" s="29" t="s">
        <v>1538</v>
      </c>
      <c r="D255" s="29" t="s">
        <v>247</v>
      </c>
      <c r="E255" s="29" t="s">
        <v>248</v>
      </c>
      <c r="F255" s="29" t="s">
        <v>69</v>
      </c>
      <c r="G255" s="29" t="s">
        <v>67</v>
      </c>
      <c r="H255" s="29" t="s">
        <v>1844</v>
      </c>
      <c r="I255" s="29" t="s">
        <v>1848</v>
      </c>
      <c r="J255" s="29" t="n">
        <v>0</v>
      </c>
      <c r="K255" s="29" t="n">
        <v>0</v>
      </c>
      <c r="L255" s="29" t="s">
        <v>1846</v>
      </c>
    </row>
    <row r="256" customFormat="false" ht="15" hidden="false" customHeight="false" outlineLevel="0" collapsed="false">
      <c r="A256" s="29" t="n">
        <v>140885</v>
      </c>
      <c r="B256" s="29" t="s">
        <v>1536</v>
      </c>
      <c r="C256" s="29" t="s">
        <v>1538</v>
      </c>
      <c r="D256" s="29" t="s">
        <v>277</v>
      </c>
      <c r="E256" s="29" t="s">
        <v>278</v>
      </c>
      <c r="F256" s="29" t="s">
        <v>69</v>
      </c>
      <c r="G256" s="29" t="s">
        <v>67</v>
      </c>
      <c r="H256" s="29" t="s">
        <v>1379</v>
      </c>
      <c r="I256" s="29" t="s">
        <v>1850</v>
      </c>
      <c r="J256" s="29" t="n">
        <v>0</v>
      </c>
      <c r="K256" s="29" t="n">
        <v>0</v>
      </c>
      <c r="L256" s="29" t="s">
        <v>1846</v>
      </c>
    </row>
    <row r="257" customFormat="false" ht="15" hidden="false" customHeight="false" outlineLevel="0" collapsed="false">
      <c r="A257" s="29" t="n">
        <v>140885</v>
      </c>
      <c r="B257" s="29" t="s">
        <v>1536</v>
      </c>
      <c r="C257" s="29" t="s">
        <v>1538</v>
      </c>
      <c r="D257" s="29" t="s">
        <v>297</v>
      </c>
      <c r="E257" s="29" t="s">
        <v>298</v>
      </c>
      <c r="F257" s="29" t="s">
        <v>69</v>
      </c>
      <c r="G257" s="29" t="s">
        <v>68</v>
      </c>
      <c r="H257" s="29" t="s">
        <v>1381</v>
      </c>
      <c r="I257" s="29" t="s">
        <v>1848</v>
      </c>
      <c r="J257" s="29" t="n">
        <v>0</v>
      </c>
      <c r="K257" s="29" t="n">
        <v>0</v>
      </c>
      <c r="L257" s="29" t="s">
        <v>1846</v>
      </c>
    </row>
    <row r="258" customFormat="false" ht="15" hidden="false" customHeight="false" outlineLevel="0" collapsed="false">
      <c r="A258" s="29" t="n">
        <v>140885</v>
      </c>
      <c r="B258" s="29" t="s">
        <v>1536</v>
      </c>
      <c r="C258" s="29" t="s">
        <v>1538</v>
      </c>
      <c r="D258" s="29" t="s">
        <v>325</v>
      </c>
      <c r="E258" s="29" t="s">
        <v>326</v>
      </c>
      <c r="F258" s="29" t="s">
        <v>76</v>
      </c>
      <c r="G258" s="29" t="s">
        <v>67</v>
      </c>
      <c r="H258" s="29" t="s">
        <v>1844</v>
      </c>
      <c r="I258" s="29" t="s">
        <v>1852</v>
      </c>
      <c r="J258" s="29" t="n">
        <v>0</v>
      </c>
      <c r="K258" s="29" t="n">
        <v>0</v>
      </c>
      <c r="L258" s="29" t="s">
        <v>1846</v>
      </c>
    </row>
    <row r="259" customFormat="false" ht="15" hidden="false" customHeight="false" outlineLevel="0" collapsed="false">
      <c r="A259" s="29" t="n">
        <v>140885</v>
      </c>
      <c r="B259" s="29" t="s">
        <v>1536</v>
      </c>
      <c r="C259" s="29" t="s">
        <v>1538</v>
      </c>
      <c r="D259" s="29" t="s">
        <v>336</v>
      </c>
      <c r="E259" s="29" t="s">
        <v>337</v>
      </c>
      <c r="F259" s="29" t="s">
        <v>76</v>
      </c>
      <c r="G259" s="29" t="s">
        <v>67</v>
      </c>
      <c r="H259" s="29" t="s">
        <v>1844</v>
      </c>
      <c r="I259" s="29" t="s">
        <v>1852</v>
      </c>
      <c r="J259" s="29" t="n">
        <v>0</v>
      </c>
      <c r="K259" s="29" t="n">
        <v>0</v>
      </c>
      <c r="L259" s="29" t="s">
        <v>1846</v>
      </c>
    </row>
    <row r="260" customFormat="false" ht="15" hidden="false" customHeight="false" outlineLevel="0" collapsed="false">
      <c r="A260" s="29" t="n">
        <v>140885</v>
      </c>
      <c r="B260" s="29" t="s">
        <v>1536</v>
      </c>
      <c r="C260" s="29" t="s">
        <v>1538</v>
      </c>
      <c r="D260" s="29" t="s">
        <v>403</v>
      </c>
      <c r="E260" s="29" t="s">
        <v>404</v>
      </c>
      <c r="F260" s="29" t="s">
        <v>76</v>
      </c>
      <c r="G260" s="29" t="s">
        <v>68</v>
      </c>
      <c r="H260" s="29" t="s">
        <v>1381</v>
      </c>
      <c r="I260" s="29" t="s">
        <v>1852</v>
      </c>
      <c r="J260" s="29" t="n">
        <v>0</v>
      </c>
      <c r="K260" s="29" t="n">
        <v>0</v>
      </c>
      <c r="L260" s="29" t="s">
        <v>1846</v>
      </c>
    </row>
    <row r="261" customFormat="false" ht="15" hidden="false" customHeight="false" outlineLevel="0" collapsed="false">
      <c r="A261" s="29" t="n">
        <v>140885</v>
      </c>
      <c r="B261" s="29" t="s">
        <v>1536</v>
      </c>
      <c r="C261" s="29" t="s">
        <v>1538</v>
      </c>
      <c r="D261" s="29" t="s">
        <v>433</v>
      </c>
      <c r="E261" s="29" t="s">
        <v>434</v>
      </c>
      <c r="F261" s="29" t="s">
        <v>82</v>
      </c>
      <c r="G261" s="29" t="s">
        <v>66</v>
      </c>
      <c r="H261" s="29" t="s">
        <v>1379</v>
      </c>
      <c r="I261" s="29" t="s">
        <v>1850</v>
      </c>
      <c r="J261" s="29" t="n">
        <v>0</v>
      </c>
      <c r="K261" s="29" t="n">
        <v>0</v>
      </c>
      <c r="L261" s="29" t="s">
        <v>1846</v>
      </c>
    </row>
    <row r="262" customFormat="false" ht="15" hidden="false" customHeight="false" outlineLevel="0" collapsed="false">
      <c r="A262" s="29" t="n">
        <v>140885</v>
      </c>
      <c r="B262" s="29" t="s">
        <v>1536</v>
      </c>
      <c r="C262" s="29" t="s">
        <v>1538</v>
      </c>
      <c r="D262" s="29" t="s">
        <v>508</v>
      </c>
      <c r="E262" s="29" t="s">
        <v>509</v>
      </c>
      <c r="F262" s="29" t="s">
        <v>88</v>
      </c>
      <c r="G262" s="29" t="s">
        <v>67</v>
      </c>
      <c r="H262" s="29" t="s">
        <v>1379</v>
      </c>
      <c r="I262" s="29" t="s">
        <v>1850</v>
      </c>
      <c r="J262" s="29" t="n">
        <v>0</v>
      </c>
      <c r="K262" s="29" t="n">
        <v>0</v>
      </c>
      <c r="L262" s="29" t="s">
        <v>1846</v>
      </c>
    </row>
    <row r="263" customFormat="false" ht="15" hidden="false" customHeight="false" outlineLevel="0" collapsed="false">
      <c r="A263" s="29" t="n">
        <v>140885</v>
      </c>
      <c r="B263" s="29" t="s">
        <v>1536</v>
      </c>
      <c r="C263" s="29" t="s">
        <v>1538</v>
      </c>
      <c r="D263" s="29" t="s">
        <v>515</v>
      </c>
      <c r="E263" s="29" t="s">
        <v>516</v>
      </c>
      <c r="F263" s="29" t="s">
        <v>88</v>
      </c>
      <c r="G263" s="29" t="s">
        <v>67</v>
      </c>
      <c r="H263" s="29" t="s">
        <v>1379</v>
      </c>
      <c r="I263" s="29" t="s">
        <v>1850</v>
      </c>
      <c r="J263" s="29" t="n">
        <v>0</v>
      </c>
      <c r="K263" s="29" t="n">
        <v>0</v>
      </c>
      <c r="L263" s="29" t="s">
        <v>1846</v>
      </c>
    </row>
    <row r="264" customFormat="false" ht="15" hidden="false" customHeight="false" outlineLevel="0" collapsed="false">
      <c r="A264" s="29" t="n">
        <v>140885</v>
      </c>
      <c r="B264" s="29" t="s">
        <v>1536</v>
      </c>
      <c r="C264" s="29" t="s">
        <v>1538</v>
      </c>
      <c r="D264" s="29" t="s">
        <v>581</v>
      </c>
      <c r="E264" s="29" t="s">
        <v>582</v>
      </c>
      <c r="F264" s="29" t="s">
        <v>93</v>
      </c>
      <c r="G264" s="29" t="s">
        <v>67</v>
      </c>
      <c r="H264" s="29" t="s">
        <v>1844</v>
      </c>
      <c r="I264" s="29" t="s">
        <v>1858</v>
      </c>
      <c r="J264" s="29" t="n">
        <v>0</v>
      </c>
      <c r="K264" s="29" t="n">
        <v>0</v>
      </c>
      <c r="L264" s="29" t="s">
        <v>1846</v>
      </c>
    </row>
    <row r="265" customFormat="false" ht="15" hidden="false" customHeight="false" outlineLevel="0" collapsed="false">
      <c r="A265" s="29" t="n">
        <v>140885</v>
      </c>
      <c r="B265" s="29" t="s">
        <v>1536</v>
      </c>
      <c r="C265" s="29" t="s">
        <v>1538</v>
      </c>
      <c r="D265" s="29" t="s">
        <v>590</v>
      </c>
      <c r="E265" s="29" t="s">
        <v>591</v>
      </c>
      <c r="F265" s="29" t="s">
        <v>93</v>
      </c>
      <c r="G265" s="29" t="s">
        <v>67</v>
      </c>
      <c r="H265" s="29" t="s">
        <v>1844</v>
      </c>
      <c r="I265" s="29" t="s">
        <v>1859</v>
      </c>
      <c r="J265" s="29" t="n">
        <v>0</v>
      </c>
      <c r="K265" s="29" t="n">
        <v>0</v>
      </c>
      <c r="L265" s="29" t="s">
        <v>1846</v>
      </c>
    </row>
    <row r="266" customFormat="false" ht="15" hidden="false" customHeight="false" outlineLevel="0" collapsed="false">
      <c r="A266" s="29" t="n">
        <v>140885</v>
      </c>
      <c r="B266" s="29" t="s">
        <v>1536</v>
      </c>
      <c r="C266" s="29" t="s">
        <v>1538</v>
      </c>
      <c r="D266" s="29" t="s">
        <v>597</v>
      </c>
      <c r="E266" s="29" t="s">
        <v>598</v>
      </c>
      <c r="F266" s="29" t="s">
        <v>93</v>
      </c>
      <c r="G266" s="29" t="s">
        <v>67</v>
      </c>
      <c r="H266" s="29" t="s">
        <v>1844</v>
      </c>
      <c r="I266" s="29" t="s">
        <v>1859</v>
      </c>
      <c r="J266" s="29" t="n">
        <v>0</v>
      </c>
      <c r="K266" s="29" t="n">
        <v>0</v>
      </c>
      <c r="L266" s="29" t="s">
        <v>1846</v>
      </c>
    </row>
    <row r="267" customFormat="false" ht="15" hidden="false" customHeight="false" outlineLevel="0" collapsed="false">
      <c r="A267" s="29" t="n">
        <v>140885</v>
      </c>
      <c r="B267" s="29" t="s">
        <v>1536</v>
      </c>
      <c r="C267" s="29" t="s">
        <v>1538</v>
      </c>
      <c r="D267" s="29" t="s">
        <v>604</v>
      </c>
      <c r="E267" s="29" t="s">
        <v>605</v>
      </c>
      <c r="F267" s="29" t="s">
        <v>93</v>
      </c>
      <c r="G267" s="29" t="s">
        <v>68</v>
      </c>
      <c r="H267" s="29" t="s">
        <v>1381</v>
      </c>
      <c r="I267" s="29" t="s">
        <v>1859</v>
      </c>
      <c r="J267" s="29" t="n">
        <v>0</v>
      </c>
      <c r="K267" s="29" t="n">
        <v>0</v>
      </c>
      <c r="L267" s="29" t="s">
        <v>1846</v>
      </c>
    </row>
    <row r="268" customFormat="false" ht="15" hidden="false" customHeight="false" outlineLevel="0" collapsed="false">
      <c r="A268" s="29" t="n">
        <v>140885</v>
      </c>
      <c r="B268" s="29" t="s">
        <v>1536</v>
      </c>
      <c r="C268" s="29" t="s">
        <v>1538</v>
      </c>
      <c r="D268" s="29" t="s">
        <v>612</v>
      </c>
      <c r="E268" s="29" t="s">
        <v>613</v>
      </c>
      <c r="F268" s="29" t="s">
        <v>93</v>
      </c>
      <c r="G268" s="29" t="s">
        <v>68</v>
      </c>
      <c r="H268" s="29" t="s">
        <v>1381</v>
      </c>
      <c r="I268" s="29" t="s">
        <v>1859</v>
      </c>
      <c r="J268" s="29" t="n">
        <v>0</v>
      </c>
      <c r="K268" s="29" t="n">
        <v>0</v>
      </c>
      <c r="L268" s="29" t="s">
        <v>1846</v>
      </c>
    </row>
    <row r="269" customFormat="false" ht="15" hidden="false" customHeight="false" outlineLevel="0" collapsed="false">
      <c r="A269" s="29" t="n">
        <v>140885</v>
      </c>
      <c r="B269" s="29" t="s">
        <v>1536</v>
      </c>
      <c r="C269" s="29" t="s">
        <v>1538</v>
      </c>
      <c r="D269" s="29" t="s">
        <v>618</v>
      </c>
      <c r="E269" s="29" t="s">
        <v>619</v>
      </c>
      <c r="F269" s="29" t="s">
        <v>93</v>
      </c>
      <c r="G269" s="29" t="s">
        <v>68</v>
      </c>
      <c r="H269" s="29" t="s">
        <v>1381</v>
      </c>
      <c r="I269" s="29" t="s">
        <v>1859</v>
      </c>
      <c r="J269" s="29" t="n">
        <v>0</v>
      </c>
      <c r="K269" s="29" t="n">
        <v>0</v>
      </c>
      <c r="L269" s="29" t="s">
        <v>1846</v>
      </c>
    </row>
    <row r="270" customFormat="false" ht="15" hidden="false" customHeight="false" outlineLevel="0" collapsed="false">
      <c r="A270" s="29" t="n">
        <v>140885</v>
      </c>
      <c r="B270" s="29" t="s">
        <v>1536</v>
      </c>
      <c r="C270" s="29" t="s">
        <v>1538</v>
      </c>
      <c r="D270" s="29" t="s">
        <v>627</v>
      </c>
      <c r="E270" s="29" t="s">
        <v>628</v>
      </c>
      <c r="F270" s="29" t="s">
        <v>93</v>
      </c>
      <c r="G270" s="29" t="s">
        <v>68</v>
      </c>
      <c r="H270" s="29" t="s">
        <v>1381</v>
      </c>
      <c r="I270" s="29" t="s">
        <v>1858</v>
      </c>
      <c r="J270" s="29" t="n">
        <v>0</v>
      </c>
      <c r="K270" s="29" t="n">
        <v>0</v>
      </c>
      <c r="L270" s="29" t="s">
        <v>1846</v>
      </c>
    </row>
    <row r="271" customFormat="false" ht="15" hidden="false" customHeight="false" outlineLevel="0" collapsed="false">
      <c r="A271" s="29" t="n">
        <v>140885</v>
      </c>
      <c r="B271" s="29" t="s">
        <v>1536</v>
      </c>
      <c r="C271" s="29" t="s">
        <v>1538</v>
      </c>
      <c r="D271" s="29" t="s">
        <v>636</v>
      </c>
      <c r="E271" s="29" t="s">
        <v>637</v>
      </c>
      <c r="F271" s="29" t="s">
        <v>93</v>
      </c>
      <c r="G271" s="29" t="s">
        <v>68</v>
      </c>
      <c r="H271" s="29" t="s">
        <v>1381</v>
      </c>
      <c r="I271" s="29" t="s">
        <v>1858</v>
      </c>
      <c r="J271" s="29" t="n">
        <v>0</v>
      </c>
      <c r="K271" s="29" t="n">
        <v>0</v>
      </c>
      <c r="L271" s="29" t="s">
        <v>1846</v>
      </c>
    </row>
    <row r="272" customFormat="false" ht="15" hidden="false" customHeight="false" outlineLevel="0" collapsed="false">
      <c r="A272" s="29" t="n">
        <v>140885</v>
      </c>
      <c r="B272" s="29" t="s">
        <v>1536</v>
      </c>
      <c r="C272" s="29" t="s">
        <v>1538</v>
      </c>
      <c r="D272" s="29" t="s">
        <v>668</v>
      </c>
      <c r="E272" s="29" t="s">
        <v>669</v>
      </c>
      <c r="F272" s="29" t="s">
        <v>105</v>
      </c>
      <c r="G272" s="29" t="s">
        <v>66</v>
      </c>
      <c r="H272" s="29" t="s">
        <v>1379</v>
      </c>
      <c r="I272" s="29" t="s">
        <v>1850</v>
      </c>
      <c r="J272" s="29" t="n">
        <v>0</v>
      </c>
      <c r="K272" s="29" t="n">
        <v>0</v>
      </c>
      <c r="L272" s="29" t="s">
        <v>1846</v>
      </c>
    </row>
    <row r="273" customFormat="false" ht="15" hidden="false" customHeight="false" outlineLevel="0" collapsed="false">
      <c r="A273" s="29" t="n">
        <v>140885</v>
      </c>
      <c r="B273" s="29" t="s">
        <v>1536</v>
      </c>
      <c r="C273" s="29" t="s">
        <v>1538</v>
      </c>
      <c r="D273" s="29" t="s">
        <v>680</v>
      </c>
      <c r="E273" s="29" t="s">
        <v>681</v>
      </c>
      <c r="F273" s="29" t="s">
        <v>105</v>
      </c>
      <c r="G273" s="29" t="s">
        <v>66</v>
      </c>
      <c r="H273" s="29" t="s">
        <v>1379</v>
      </c>
      <c r="I273" s="29" t="s">
        <v>1850</v>
      </c>
      <c r="J273" s="29" t="n">
        <v>0</v>
      </c>
      <c r="K273" s="29" t="n">
        <v>0</v>
      </c>
      <c r="L273" s="29" t="s">
        <v>1846</v>
      </c>
    </row>
    <row r="274" customFormat="false" ht="15" hidden="false" customHeight="false" outlineLevel="0" collapsed="false">
      <c r="A274" s="29" t="n">
        <v>140885</v>
      </c>
      <c r="B274" s="29" t="s">
        <v>1536</v>
      </c>
      <c r="C274" s="29" t="s">
        <v>1538</v>
      </c>
      <c r="D274" s="29" t="s">
        <v>711</v>
      </c>
      <c r="E274" s="29" t="s">
        <v>712</v>
      </c>
      <c r="F274" s="29" t="s">
        <v>116</v>
      </c>
      <c r="G274" s="29" t="s">
        <v>66</v>
      </c>
      <c r="H274" s="29" t="s">
        <v>1379</v>
      </c>
      <c r="I274" s="29" t="s">
        <v>1850</v>
      </c>
      <c r="J274" s="29" t="n">
        <v>0</v>
      </c>
      <c r="K274" s="29" t="n">
        <v>0</v>
      </c>
      <c r="L274" s="29" t="s">
        <v>1846</v>
      </c>
    </row>
    <row r="275" customFormat="false" ht="15" hidden="false" customHeight="false" outlineLevel="0" collapsed="false">
      <c r="A275" s="29" t="n">
        <v>140885</v>
      </c>
      <c r="B275" s="29" t="s">
        <v>1536</v>
      </c>
      <c r="C275" s="29" t="s">
        <v>1538</v>
      </c>
      <c r="D275" s="29" t="s">
        <v>721</v>
      </c>
      <c r="E275" s="29" t="s">
        <v>722</v>
      </c>
      <c r="F275" s="29" t="s">
        <v>116</v>
      </c>
      <c r="G275" s="29" t="s">
        <v>66</v>
      </c>
      <c r="H275" s="29" t="s">
        <v>1379</v>
      </c>
      <c r="I275" s="29" t="s">
        <v>1850</v>
      </c>
      <c r="J275" s="29" t="n">
        <v>0</v>
      </c>
      <c r="K275" s="29" t="n">
        <v>0</v>
      </c>
      <c r="L275" s="29" t="s">
        <v>1846</v>
      </c>
    </row>
    <row r="276" customFormat="false" ht="15" hidden="false" customHeight="false" outlineLevel="0" collapsed="false">
      <c r="A276" s="29" t="n">
        <v>140885</v>
      </c>
      <c r="B276" s="29" t="s">
        <v>1536</v>
      </c>
      <c r="C276" s="29" t="s">
        <v>1538</v>
      </c>
      <c r="D276" s="29" t="s">
        <v>745</v>
      </c>
      <c r="E276" s="29" t="s">
        <v>746</v>
      </c>
      <c r="F276" s="29" t="s">
        <v>116</v>
      </c>
      <c r="G276" s="29" t="s">
        <v>67</v>
      </c>
      <c r="H276" s="29" t="s">
        <v>1844</v>
      </c>
      <c r="I276" s="29" t="s">
        <v>1860</v>
      </c>
      <c r="J276" s="29" t="n">
        <v>0</v>
      </c>
      <c r="K276" s="29" t="n">
        <v>0</v>
      </c>
      <c r="L276" s="29" t="s">
        <v>1846</v>
      </c>
    </row>
    <row r="277" customFormat="false" ht="15" hidden="false" customHeight="false" outlineLevel="0" collapsed="false">
      <c r="A277" s="29" t="n">
        <v>140885</v>
      </c>
      <c r="B277" s="29" t="s">
        <v>1536</v>
      </c>
      <c r="C277" s="29" t="s">
        <v>1538</v>
      </c>
      <c r="D277" s="29" t="s">
        <v>753</v>
      </c>
      <c r="E277" s="29" t="s">
        <v>754</v>
      </c>
      <c r="F277" s="29" t="s">
        <v>116</v>
      </c>
      <c r="G277" s="29" t="s">
        <v>68</v>
      </c>
      <c r="H277" s="29" t="s">
        <v>1381</v>
      </c>
      <c r="I277" s="29" t="s">
        <v>1860</v>
      </c>
      <c r="J277" s="29" t="n">
        <v>0</v>
      </c>
      <c r="K277" s="29" t="n">
        <v>0</v>
      </c>
      <c r="L277" s="29" t="s">
        <v>1846</v>
      </c>
    </row>
    <row r="278" customFormat="false" ht="15" hidden="false" customHeight="false" outlineLevel="0" collapsed="false">
      <c r="A278" s="29" t="n">
        <v>133419</v>
      </c>
      <c r="B278" s="29" t="s">
        <v>1544</v>
      </c>
      <c r="C278" s="29" t="s">
        <v>1545</v>
      </c>
      <c r="D278" s="29" t="s">
        <v>265</v>
      </c>
      <c r="E278" s="29" t="s">
        <v>266</v>
      </c>
      <c r="F278" s="29" t="s">
        <v>69</v>
      </c>
      <c r="G278" s="29" t="s">
        <v>67</v>
      </c>
      <c r="H278" s="29" t="s">
        <v>1379</v>
      </c>
      <c r="I278" s="29" t="s">
        <v>1863</v>
      </c>
      <c r="J278" s="29" t="n">
        <v>0</v>
      </c>
      <c r="K278" s="29" t="n">
        <v>0</v>
      </c>
      <c r="L278" s="29" t="s">
        <v>1846</v>
      </c>
    </row>
    <row r="279" customFormat="false" ht="15" hidden="false" customHeight="false" outlineLevel="0" collapsed="false">
      <c r="A279" s="29" t="n">
        <v>133419</v>
      </c>
      <c r="B279" s="29" t="s">
        <v>1544</v>
      </c>
      <c r="C279" s="29" t="s">
        <v>1545</v>
      </c>
      <c r="D279" s="29" t="s">
        <v>291</v>
      </c>
      <c r="E279" s="29" t="s">
        <v>292</v>
      </c>
      <c r="F279" s="29" t="s">
        <v>69</v>
      </c>
      <c r="G279" s="29" t="s">
        <v>68</v>
      </c>
      <c r="H279" s="29" t="s">
        <v>1381</v>
      </c>
      <c r="I279" s="29" t="s">
        <v>1845</v>
      </c>
      <c r="J279" s="29" t="n">
        <v>0</v>
      </c>
      <c r="K279" s="29" t="n">
        <v>0</v>
      </c>
      <c r="L279" s="29" t="s">
        <v>1846</v>
      </c>
    </row>
    <row r="280" customFormat="false" ht="15" hidden="false" customHeight="false" outlineLevel="0" collapsed="false">
      <c r="A280" s="29" t="n">
        <v>133419</v>
      </c>
      <c r="B280" s="29" t="s">
        <v>1544</v>
      </c>
      <c r="C280" s="29" t="s">
        <v>1545</v>
      </c>
      <c r="D280" s="29" t="s">
        <v>428</v>
      </c>
      <c r="E280" s="29" t="s">
        <v>429</v>
      </c>
      <c r="F280" s="29" t="s">
        <v>76</v>
      </c>
      <c r="G280" s="29" t="s">
        <v>68</v>
      </c>
      <c r="H280" s="29" t="s">
        <v>1381</v>
      </c>
      <c r="I280" s="29" t="s">
        <v>1872</v>
      </c>
      <c r="J280" s="29" t="n">
        <v>0</v>
      </c>
      <c r="K280" s="29" t="n">
        <v>0</v>
      </c>
      <c r="L280" s="29" t="s">
        <v>1846</v>
      </c>
    </row>
    <row r="281" customFormat="false" ht="15" hidden="false" customHeight="false" outlineLevel="0" collapsed="false">
      <c r="A281" s="29" t="n">
        <v>133419</v>
      </c>
      <c r="B281" s="29" t="s">
        <v>1544</v>
      </c>
      <c r="C281" s="29" t="s">
        <v>1545</v>
      </c>
      <c r="D281" s="29" t="s">
        <v>433</v>
      </c>
      <c r="E281" s="29" t="s">
        <v>434</v>
      </c>
      <c r="F281" s="29" t="s">
        <v>82</v>
      </c>
      <c r="G281" s="29" t="s">
        <v>66</v>
      </c>
      <c r="H281" s="29" t="s">
        <v>1379</v>
      </c>
      <c r="I281" s="29" t="s">
        <v>1863</v>
      </c>
      <c r="J281" s="29" t="n">
        <v>0</v>
      </c>
      <c r="K281" s="29" t="n">
        <v>0</v>
      </c>
      <c r="L281" s="29" t="s">
        <v>1846</v>
      </c>
    </row>
    <row r="282" customFormat="false" ht="15" hidden="false" customHeight="false" outlineLevel="0" collapsed="false">
      <c r="A282" s="29" t="n">
        <v>133419</v>
      </c>
      <c r="B282" s="29" t="s">
        <v>1544</v>
      </c>
      <c r="C282" s="29" t="s">
        <v>1545</v>
      </c>
      <c r="D282" s="29" t="s">
        <v>668</v>
      </c>
      <c r="E282" s="29" t="s">
        <v>669</v>
      </c>
      <c r="F282" s="29" t="s">
        <v>105</v>
      </c>
      <c r="G282" s="29" t="s">
        <v>66</v>
      </c>
      <c r="H282" s="29" t="s">
        <v>1379</v>
      </c>
      <c r="I282" s="29" t="s">
        <v>1863</v>
      </c>
      <c r="J282" s="29" t="n">
        <v>0</v>
      </c>
      <c r="K282" s="29" t="n">
        <v>0</v>
      </c>
      <c r="L282" s="29" t="s">
        <v>1846</v>
      </c>
    </row>
    <row r="283" customFormat="false" ht="15" hidden="false" customHeight="false" outlineLevel="0" collapsed="false">
      <c r="A283" s="29" t="n">
        <v>133419</v>
      </c>
      <c r="B283" s="29" t="s">
        <v>1544</v>
      </c>
      <c r="C283" s="29" t="s">
        <v>1545</v>
      </c>
      <c r="D283" s="29" t="s">
        <v>680</v>
      </c>
      <c r="E283" s="29" t="s">
        <v>681</v>
      </c>
      <c r="F283" s="29" t="s">
        <v>105</v>
      </c>
      <c r="G283" s="29" t="s">
        <v>66</v>
      </c>
      <c r="H283" s="29" t="s">
        <v>1379</v>
      </c>
      <c r="I283" s="29" t="s">
        <v>1863</v>
      </c>
      <c r="J283" s="29" t="n">
        <v>0</v>
      </c>
      <c r="K283" s="29" t="n">
        <v>0</v>
      </c>
      <c r="L283" s="29" t="s">
        <v>1846</v>
      </c>
    </row>
    <row r="284" customFormat="false" ht="15" hidden="false" customHeight="false" outlineLevel="0" collapsed="false">
      <c r="A284" s="29" t="n">
        <v>133419</v>
      </c>
      <c r="B284" s="29" t="s">
        <v>1544</v>
      </c>
      <c r="C284" s="29" t="s">
        <v>1545</v>
      </c>
      <c r="D284" s="29" t="s">
        <v>689</v>
      </c>
      <c r="E284" s="29" t="s">
        <v>690</v>
      </c>
      <c r="F284" s="29" t="s">
        <v>105</v>
      </c>
      <c r="G284" s="29" t="s">
        <v>67</v>
      </c>
      <c r="H284" s="29" t="s">
        <v>1844</v>
      </c>
      <c r="I284" s="29" t="s">
        <v>1872</v>
      </c>
      <c r="J284" s="29" t="n">
        <v>0</v>
      </c>
      <c r="K284" s="29" t="n">
        <v>0</v>
      </c>
      <c r="L284" s="29" t="s">
        <v>1846</v>
      </c>
    </row>
    <row r="285" customFormat="false" ht="15" hidden="false" customHeight="false" outlineLevel="0" collapsed="false">
      <c r="A285" s="29" t="n">
        <v>133419</v>
      </c>
      <c r="B285" s="29" t="s">
        <v>1544</v>
      </c>
      <c r="C285" s="29" t="s">
        <v>1545</v>
      </c>
      <c r="D285" s="29" t="s">
        <v>711</v>
      </c>
      <c r="E285" s="29" t="s">
        <v>712</v>
      </c>
      <c r="F285" s="29" t="s">
        <v>116</v>
      </c>
      <c r="G285" s="29" t="s">
        <v>66</v>
      </c>
      <c r="H285" s="29" t="s">
        <v>1379</v>
      </c>
      <c r="I285" s="29" t="s">
        <v>1863</v>
      </c>
      <c r="J285" s="29" t="n">
        <v>0</v>
      </c>
      <c r="K285" s="29" t="n">
        <v>0</v>
      </c>
      <c r="L285" s="29" t="s">
        <v>1846</v>
      </c>
    </row>
    <row r="286" customFormat="false" ht="15" hidden="false" customHeight="false" outlineLevel="0" collapsed="false">
      <c r="A286" s="29" t="n">
        <v>141057</v>
      </c>
      <c r="B286" s="29" t="s">
        <v>1560</v>
      </c>
      <c r="C286" s="29" t="s">
        <v>1562</v>
      </c>
      <c r="D286" s="29" t="s">
        <v>433</v>
      </c>
      <c r="E286" s="29" t="s">
        <v>434</v>
      </c>
      <c r="F286" s="29" t="s">
        <v>82</v>
      </c>
      <c r="G286" s="29" t="s">
        <v>66</v>
      </c>
      <c r="H286" s="29" t="s">
        <v>1379</v>
      </c>
      <c r="I286" s="29" t="s">
        <v>1876</v>
      </c>
      <c r="J286" s="29" t="n">
        <v>0</v>
      </c>
      <c r="K286" s="29" t="n">
        <v>24</v>
      </c>
      <c r="L286" s="29" t="s">
        <v>1866</v>
      </c>
    </row>
    <row r="287" customFormat="false" ht="15" hidden="false" customHeight="false" outlineLevel="0" collapsed="false">
      <c r="A287" s="29" t="n">
        <v>141057</v>
      </c>
      <c r="B287" s="29" t="s">
        <v>1560</v>
      </c>
      <c r="C287" s="29" t="s">
        <v>1562</v>
      </c>
      <c r="D287" s="29" t="s">
        <v>443</v>
      </c>
      <c r="E287" s="29" t="s">
        <v>444</v>
      </c>
      <c r="F287" s="29" t="s">
        <v>82</v>
      </c>
      <c r="G287" s="29" t="s">
        <v>67</v>
      </c>
      <c r="H287" s="29" t="s">
        <v>1379</v>
      </c>
      <c r="I287" s="29" t="s">
        <v>1861</v>
      </c>
      <c r="J287" s="29" t="n">
        <v>0</v>
      </c>
      <c r="K287" s="29" t="n">
        <v>24</v>
      </c>
      <c r="L287" s="29" t="s">
        <v>1866</v>
      </c>
    </row>
    <row r="288" customFormat="false" ht="15" hidden="false" customHeight="false" outlineLevel="0" collapsed="false">
      <c r="A288" s="29" t="n">
        <v>141057</v>
      </c>
      <c r="B288" s="29" t="s">
        <v>1560</v>
      </c>
      <c r="C288" s="29" t="s">
        <v>1562</v>
      </c>
      <c r="D288" s="29" t="s">
        <v>451</v>
      </c>
      <c r="E288" s="29" t="s">
        <v>452</v>
      </c>
      <c r="F288" s="29" t="s">
        <v>82</v>
      </c>
      <c r="G288" s="29" t="s">
        <v>67</v>
      </c>
      <c r="H288" s="29" t="s">
        <v>1379</v>
      </c>
      <c r="I288" s="29" t="s">
        <v>1855</v>
      </c>
      <c r="J288" s="29" t="n">
        <v>0</v>
      </c>
      <c r="K288" s="29" t="n">
        <v>0</v>
      </c>
      <c r="L288" s="29" t="s">
        <v>1846</v>
      </c>
    </row>
    <row r="289" customFormat="false" ht="15" hidden="false" customHeight="false" outlineLevel="0" collapsed="false">
      <c r="A289" s="29" t="n">
        <v>141057</v>
      </c>
      <c r="B289" s="29" t="s">
        <v>1560</v>
      </c>
      <c r="C289" s="29" t="s">
        <v>1562</v>
      </c>
      <c r="D289" s="29" t="s">
        <v>459</v>
      </c>
      <c r="E289" s="29" t="s">
        <v>460</v>
      </c>
      <c r="F289" s="29" t="s">
        <v>82</v>
      </c>
      <c r="G289" s="29" t="s">
        <v>67</v>
      </c>
      <c r="H289" s="29" t="s">
        <v>1379</v>
      </c>
      <c r="I289" s="29" t="s">
        <v>1855</v>
      </c>
      <c r="J289" s="29" t="n">
        <v>0</v>
      </c>
      <c r="K289" s="29" t="n">
        <v>24</v>
      </c>
      <c r="L289" s="29" t="s">
        <v>1866</v>
      </c>
    </row>
    <row r="290" customFormat="false" ht="15" hidden="false" customHeight="false" outlineLevel="0" collapsed="false">
      <c r="A290" s="29" t="n">
        <v>141057</v>
      </c>
      <c r="B290" s="29" t="s">
        <v>1560</v>
      </c>
      <c r="C290" s="29" t="s">
        <v>1562</v>
      </c>
      <c r="D290" s="29" t="s">
        <v>466</v>
      </c>
      <c r="E290" s="29" t="s">
        <v>467</v>
      </c>
      <c r="F290" s="29" t="s">
        <v>82</v>
      </c>
      <c r="G290" s="29" t="s">
        <v>67</v>
      </c>
      <c r="H290" s="29" t="s">
        <v>1379</v>
      </c>
      <c r="I290" s="29" t="s">
        <v>1855</v>
      </c>
      <c r="J290" s="29" t="n">
        <v>0</v>
      </c>
      <c r="K290" s="29" t="n">
        <v>0</v>
      </c>
      <c r="L290" s="29" t="s">
        <v>1846</v>
      </c>
    </row>
    <row r="291" customFormat="false" ht="15" hidden="false" customHeight="false" outlineLevel="0" collapsed="false">
      <c r="A291" s="29" t="n">
        <v>141057</v>
      </c>
      <c r="B291" s="29" t="s">
        <v>1560</v>
      </c>
      <c r="C291" s="29" t="s">
        <v>1562</v>
      </c>
      <c r="D291" s="29" t="s">
        <v>472</v>
      </c>
      <c r="E291" s="29" t="s">
        <v>473</v>
      </c>
      <c r="F291" s="29" t="s">
        <v>82</v>
      </c>
      <c r="G291" s="29" t="s">
        <v>67</v>
      </c>
      <c r="H291" s="29" t="s">
        <v>1379</v>
      </c>
      <c r="I291" s="29" t="s">
        <v>1861</v>
      </c>
      <c r="J291" s="29" t="n">
        <v>0</v>
      </c>
      <c r="K291" s="29" t="n">
        <v>0</v>
      </c>
      <c r="L291" s="29" t="s">
        <v>1846</v>
      </c>
    </row>
    <row r="292" customFormat="false" ht="15" hidden="false" customHeight="false" outlineLevel="0" collapsed="false">
      <c r="A292" s="29" t="n">
        <v>141057</v>
      </c>
      <c r="B292" s="29" t="s">
        <v>1560</v>
      </c>
      <c r="C292" s="29" t="s">
        <v>1562</v>
      </c>
      <c r="D292" s="29" t="s">
        <v>477</v>
      </c>
      <c r="E292" s="29" t="s">
        <v>478</v>
      </c>
      <c r="F292" s="29" t="s">
        <v>82</v>
      </c>
      <c r="G292" s="29" t="s">
        <v>67</v>
      </c>
      <c r="H292" s="29" t="s">
        <v>1379</v>
      </c>
      <c r="I292" s="29" t="s">
        <v>1861</v>
      </c>
      <c r="J292" s="29" t="n">
        <v>0</v>
      </c>
      <c r="K292" s="29" t="n">
        <v>0</v>
      </c>
      <c r="L292" s="29" t="s">
        <v>1846</v>
      </c>
    </row>
    <row r="293" customFormat="false" ht="15" hidden="false" customHeight="false" outlineLevel="0" collapsed="false">
      <c r="A293" s="29" t="n">
        <v>141057</v>
      </c>
      <c r="B293" s="29" t="s">
        <v>1560</v>
      </c>
      <c r="C293" s="29" t="s">
        <v>1562</v>
      </c>
      <c r="D293" s="29" t="s">
        <v>486</v>
      </c>
      <c r="E293" s="29" t="s">
        <v>487</v>
      </c>
      <c r="F293" s="29" t="s">
        <v>82</v>
      </c>
      <c r="G293" s="29" t="s">
        <v>67</v>
      </c>
      <c r="H293" s="29" t="s">
        <v>1844</v>
      </c>
      <c r="I293" s="29" t="s">
        <v>1862</v>
      </c>
      <c r="J293" s="29" t="n">
        <v>0</v>
      </c>
      <c r="K293" s="29" t="n">
        <v>0</v>
      </c>
      <c r="L293" s="29" t="s">
        <v>1846</v>
      </c>
    </row>
    <row r="294" customFormat="false" ht="15" hidden="false" customHeight="false" outlineLevel="0" collapsed="false">
      <c r="A294" s="29" t="n">
        <v>141057</v>
      </c>
      <c r="B294" s="29" t="s">
        <v>1560</v>
      </c>
      <c r="C294" s="29" t="s">
        <v>1562</v>
      </c>
      <c r="D294" s="29" t="s">
        <v>500</v>
      </c>
      <c r="E294" s="29" t="s">
        <v>501</v>
      </c>
      <c r="F294" s="29" t="s">
        <v>82</v>
      </c>
      <c r="G294" s="29" t="s">
        <v>68</v>
      </c>
      <c r="H294" s="29" t="s">
        <v>1381</v>
      </c>
      <c r="I294" s="29" t="s">
        <v>1862</v>
      </c>
      <c r="J294" s="29" t="n">
        <v>0</v>
      </c>
      <c r="K294" s="29" t="n">
        <v>0</v>
      </c>
      <c r="L294" s="29" t="s">
        <v>1846</v>
      </c>
    </row>
    <row r="295" customFormat="false" ht="15" hidden="false" customHeight="false" outlineLevel="0" collapsed="false">
      <c r="A295" s="29" t="n">
        <v>141057</v>
      </c>
      <c r="B295" s="29" t="s">
        <v>1560</v>
      </c>
      <c r="C295" s="29" t="s">
        <v>1562</v>
      </c>
      <c r="D295" s="29" t="s">
        <v>590</v>
      </c>
      <c r="E295" s="29" t="s">
        <v>591</v>
      </c>
      <c r="F295" s="29" t="s">
        <v>93</v>
      </c>
      <c r="G295" s="29" t="s">
        <v>67</v>
      </c>
      <c r="H295" s="29" t="s">
        <v>1844</v>
      </c>
      <c r="I295" s="29" t="s">
        <v>1859</v>
      </c>
      <c r="J295" s="29" t="n">
        <v>0</v>
      </c>
      <c r="K295" s="29" t="n">
        <v>1</v>
      </c>
      <c r="L295" s="29" t="s">
        <v>1866</v>
      </c>
    </row>
    <row r="296" customFormat="false" ht="15" hidden="false" customHeight="false" outlineLevel="0" collapsed="false">
      <c r="A296" s="29" t="n">
        <v>141057</v>
      </c>
      <c r="B296" s="29" t="s">
        <v>1560</v>
      </c>
      <c r="C296" s="29" t="s">
        <v>1562</v>
      </c>
      <c r="D296" s="29" t="s">
        <v>597</v>
      </c>
      <c r="E296" s="29" t="s">
        <v>598</v>
      </c>
      <c r="F296" s="29" t="s">
        <v>93</v>
      </c>
      <c r="G296" s="29" t="s">
        <v>67</v>
      </c>
      <c r="H296" s="29" t="s">
        <v>1844</v>
      </c>
      <c r="I296" s="29" t="s">
        <v>1859</v>
      </c>
      <c r="J296" s="29" t="n">
        <v>0</v>
      </c>
      <c r="K296" s="29" t="n">
        <v>0</v>
      </c>
      <c r="L296" s="29" t="s">
        <v>1846</v>
      </c>
    </row>
    <row r="297" customFormat="false" ht="15" hidden="false" customHeight="false" outlineLevel="0" collapsed="false">
      <c r="A297" s="29" t="n">
        <v>141057</v>
      </c>
      <c r="B297" s="29" t="s">
        <v>1560</v>
      </c>
      <c r="C297" s="29" t="s">
        <v>1562</v>
      </c>
      <c r="D297" s="29" t="s">
        <v>604</v>
      </c>
      <c r="E297" s="29" t="s">
        <v>605</v>
      </c>
      <c r="F297" s="29" t="s">
        <v>93</v>
      </c>
      <c r="G297" s="29" t="s">
        <v>68</v>
      </c>
      <c r="H297" s="29" t="s">
        <v>1381</v>
      </c>
      <c r="I297" s="29" t="s">
        <v>1859</v>
      </c>
      <c r="J297" s="29" t="n">
        <v>0</v>
      </c>
      <c r="K297" s="29" t="n">
        <v>0</v>
      </c>
      <c r="L297" s="29" t="s">
        <v>1846</v>
      </c>
    </row>
    <row r="298" customFormat="false" ht="15" hidden="false" customHeight="false" outlineLevel="0" collapsed="false">
      <c r="A298" s="29" t="n">
        <v>141057</v>
      </c>
      <c r="B298" s="29" t="s">
        <v>1560</v>
      </c>
      <c r="C298" s="29" t="s">
        <v>1562</v>
      </c>
      <c r="D298" s="29" t="s">
        <v>612</v>
      </c>
      <c r="E298" s="29" t="s">
        <v>613</v>
      </c>
      <c r="F298" s="29" t="s">
        <v>93</v>
      </c>
      <c r="G298" s="29" t="s">
        <v>68</v>
      </c>
      <c r="H298" s="29" t="s">
        <v>1381</v>
      </c>
      <c r="I298" s="29" t="s">
        <v>1859</v>
      </c>
      <c r="J298" s="29" t="n">
        <v>0</v>
      </c>
      <c r="K298" s="29" t="n">
        <v>0</v>
      </c>
      <c r="L298" s="29" t="s">
        <v>1846</v>
      </c>
    </row>
    <row r="299" customFormat="false" ht="15" hidden="false" customHeight="false" outlineLevel="0" collapsed="false">
      <c r="A299" s="29" t="n">
        <v>141057</v>
      </c>
      <c r="B299" s="29" t="s">
        <v>1560</v>
      </c>
      <c r="C299" s="29" t="s">
        <v>1562</v>
      </c>
      <c r="D299" s="29" t="s">
        <v>618</v>
      </c>
      <c r="E299" s="29" t="s">
        <v>619</v>
      </c>
      <c r="F299" s="29" t="s">
        <v>93</v>
      </c>
      <c r="G299" s="29" t="s">
        <v>68</v>
      </c>
      <c r="H299" s="29" t="s">
        <v>1381</v>
      </c>
      <c r="I299" s="29" t="s">
        <v>1859</v>
      </c>
      <c r="J299" s="29" t="n">
        <v>0</v>
      </c>
      <c r="K299" s="29" t="n">
        <v>0</v>
      </c>
      <c r="L299" s="29" t="s">
        <v>1846</v>
      </c>
    </row>
    <row r="300" customFormat="false" ht="15" hidden="false" customHeight="false" outlineLevel="0" collapsed="false">
      <c r="A300" s="29" t="n">
        <v>141057</v>
      </c>
      <c r="B300" s="29" t="s">
        <v>1560</v>
      </c>
      <c r="C300" s="29" t="s">
        <v>1562</v>
      </c>
      <c r="D300" s="29" t="s">
        <v>668</v>
      </c>
      <c r="E300" s="29" t="s">
        <v>669</v>
      </c>
      <c r="F300" s="29" t="s">
        <v>105</v>
      </c>
      <c r="G300" s="29" t="s">
        <v>66</v>
      </c>
      <c r="H300" s="29" t="s">
        <v>1379</v>
      </c>
      <c r="I300" s="29" t="s">
        <v>1876</v>
      </c>
      <c r="J300" s="29" t="n">
        <v>0</v>
      </c>
      <c r="K300" s="29" t="n">
        <v>0</v>
      </c>
      <c r="L300" s="29" t="s">
        <v>1846</v>
      </c>
    </row>
    <row r="301" customFormat="false" ht="15" hidden="false" customHeight="false" outlineLevel="0" collapsed="false">
      <c r="A301" s="29" t="n">
        <v>141057</v>
      </c>
      <c r="B301" s="29" t="s">
        <v>1560</v>
      </c>
      <c r="C301" s="29" t="s">
        <v>1562</v>
      </c>
      <c r="D301" s="29" t="s">
        <v>680</v>
      </c>
      <c r="E301" s="29" t="s">
        <v>681</v>
      </c>
      <c r="F301" s="29" t="s">
        <v>105</v>
      </c>
      <c r="G301" s="29" t="s">
        <v>66</v>
      </c>
      <c r="H301" s="29" t="s">
        <v>1379</v>
      </c>
      <c r="I301" s="29" t="s">
        <v>1876</v>
      </c>
      <c r="J301" s="29" t="n">
        <v>0</v>
      </c>
      <c r="K301" s="29" t="n">
        <v>0</v>
      </c>
      <c r="L301" s="29" t="s">
        <v>1846</v>
      </c>
    </row>
    <row r="302" customFormat="false" ht="15" hidden="false" customHeight="false" outlineLevel="0" collapsed="false">
      <c r="A302" s="29" t="n">
        <v>141057</v>
      </c>
      <c r="B302" s="29" t="s">
        <v>1560</v>
      </c>
      <c r="C302" s="29" t="s">
        <v>1562</v>
      </c>
      <c r="D302" s="29" t="s">
        <v>711</v>
      </c>
      <c r="E302" s="29" t="s">
        <v>712</v>
      </c>
      <c r="F302" s="29" t="s">
        <v>116</v>
      </c>
      <c r="G302" s="29" t="s">
        <v>66</v>
      </c>
      <c r="H302" s="29" t="s">
        <v>1379</v>
      </c>
      <c r="I302" s="29" t="s">
        <v>1876</v>
      </c>
      <c r="J302" s="29" t="n">
        <v>0</v>
      </c>
      <c r="K302" s="29" t="n">
        <v>0</v>
      </c>
      <c r="L302" s="29" t="s">
        <v>1846</v>
      </c>
    </row>
    <row r="303" customFormat="false" ht="15" hidden="false" customHeight="false" outlineLevel="0" collapsed="false">
      <c r="A303" s="29" t="n">
        <v>141057</v>
      </c>
      <c r="B303" s="29" t="s">
        <v>1560</v>
      </c>
      <c r="C303" s="29" t="s">
        <v>1562</v>
      </c>
      <c r="D303" s="29" t="s">
        <v>721</v>
      </c>
      <c r="E303" s="29" t="s">
        <v>722</v>
      </c>
      <c r="F303" s="29" t="s">
        <v>116</v>
      </c>
      <c r="G303" s="29" t="s">
        <v>66</v>
      </c>
      <c r="H303" s="29" t="s">
        <v>1379</v>
      </c>
      <c r="I303" s="29" t="s">
        <v>1876</v>
      </c>
      <c r="J303" s="29" t="n">
        <v>0</v>
      </c>
      <c r="K303" s="29" t="n">
        <v>0</v>
      </c>
      <c r="L303" s="29" t="s">
        <v>1846</v>
      </c>
    </row>
    <row r="304" customFormat="false" ht="15" hidden="false" customHeight="false" outlineLevel="0" collapsed="false">
      <c r="A304" s="29" t="n">
        <v>131425</v>
      </c>
      <c r="B304" s="29" t="s">
        <v>1568</v>
      </c>
      <c r="C304" s="29" t="s">
        <v>1569</v>
      </c>
      <c r="D304" s="29" t="s">
        <v>353</v>
      </c>
      <c r="E304" s="29" t="s">
        <v>354</v>
      </c>
      <c r="F304" s="29" t="s">
        <v>76</v>
      </c>
      <c r="G304" s="29" t="s">
        <v>67</v>
      </c>
      <c r="H304" s="29" t="s">
        <v>1844</v>
      </c>
      <c r="I304" s="29" t="s">
        <v>1853</v>
      </c>
      <c r="J304" s="29" t="n">
        <v>0</v>
      </c>
      <c r="K304" s="29" t="n">
        <v>1</v>
      </c>
      <c r="L304" s="29" t="s">
        <v>1866</v>
      </c>
    </row>
    <row r="305" customFormat="false" ht="15" hidden="false" customHeight="false" outlineLevel="0" collapsed="false">
      <c r="A305" s="29" t="n">
        <v>131425</v>
      </c>
      <c r="B305" s="29" t="s">
        <v>1568</v>
      </c>
      <c r="C305" s="29" t="s">
        <v>1569</v>
      </c>
      <c r="D305" s="29" t="s">
        <v>387</v>
      </c>
      <c r="E305" s="29" t="s">
        <v>388</v>
      </c>
      <c r="F305" s="29" t="s">
        <v>76</v>
      </c>
      <c r="G305" s="29" t="s">
        <v>68</v>
      </c>
      <c r="H305" s="29" t="s">
        <v>1381</v>
      </c>
      <c r="I305" s="29" t="s">
        <v>1853</v>
      </c>
      <c r="J305" s="29" t="n">
        <v>0</v>
      </c>
      <c r="K305" s="29" t="n">
        <v>0</v>
      </c>
      <c r="L305" s="29" t="s">
        <v>1849</v>
      </c>
    </row>
    <row r="306" customFormat="false" ht="15" hidden="false" customHeight="false" outlineLevel="0" collapsed="false">
      <c r="A306" s="29" t="n">
        <v>131425</v>
      </c>
      <c r="B306" s="29" t="s">
        <v>1568</v>
      </c>
      <c r="C306" s="29" t="s">
        <v>1569</v>
      </c>
      <c r="D306" s="29" t="s">
        <v>396</v>
      </c>
      <c r="E306" s="29" t="s">
        <v>397</v>
      </c>
      <c r="F306" s="29" t="s">
        <v>76</v>
      </c>
      <c r="G306" s="29" t="s">
        <v>68</v>
      </c>
      <c r="H306" s="29" t="s">
        <v>1381</v>
      </c>
      <c r="I306" s="29" t="s">
        <v>1853</v>
      </c>
      <c r="J306" s="29" t="n">
        <v>0</v>
      </c>
      <c r="K306" s="29" t="n">
        <v>0</v>
      </c>
      <c r="L306" s="29" t="s">
        <v>1849</v>
      </c>
    </row>
    <row r="307" customFormat="false" ht="15" hidden="false" customHeight="false" outlineLevel="0" collapsed="false">
      <c r="A307" s="29" t="n">
        <v>131425</v>
      </c>
      <c r="B307" s="29" t="s">
        <v>1568</v>
      </c>
      <c r="C307" s="29" t="s">
        <v>1569</v>
      </c>
      <c r="D307" s="29" t="s">
        <v>428</v>
      </c>
      <c r="E307" s="29" t="s">
        <v>429</v>
      </c>
      <c r="F307" s="29" t="s">
        <v>76</v>
      </c>
      <c r="G307" s="29" t="s">
        <v>68</v>
      </c>
      <c r="H307" s="29" t="s">
        <v>1381</v>
      </c>
      <c r="I307" s="29" t="s">
        <v>1853</v>
      </c>
      <c r="J307" s="29" t="n">
        <v>0</v>
      </c>
      <c r="K307" s="29" t="n">
        <v>0</v>
      </c>
      <c r="L307" s="29" t="s">
        <v>1849</v>
      </c>
    </row>
    <row r="308" customFormat="false" ht="15" hidden="false" customHeight="false" outlineLevel="0" collapsed="false">
      <c r="A308" s="29" t="n">
        <v>131425</v>
      </c>
      <c r="B308" s="29" t="s">
        <v>1568</v>
      </c>
      <c r="C308" s="29" t="s">
        <v>1569</v>
      </c>
      <c r="D308" s="29" t="s">
        <v>433</v>
      </c>
      <c r="E308" s="29" t="s">
        <v>434</v>
      </c>
      <c r="F308" s="29" t="s">
        <v>82</v>
      </c>
      <c r="G308" s="29" t="s">
        <v>66</v>
      </c>
      <c r="H308" s="29" t="s">
        <v>1379</v>
      </c>
      <c r="I308" s="29" t="s">
        <v>1861</v>
      </c>
      <c r="J308" s="29" t="n">
        <v>0</v>
      </c>
      <c r="K308" s="29" t="n">
        <v>5</v>
      </c>
      <c r="L308" s="29" t="s">
        <v>1866</v>
      </c>
    </row>
    <row r="309" customFormat="false" ht="15" hidden="false" customHeight="false" outlineLevel="0" collapsed="false">
      <c r="A309" s="29" t="n">
        <v>131425</v>
      </c>
      <c r="B309" s="29" t="s">
        <v>1568</v>
      </c>
      <c r="C309" s="29" t="s">
        <v>1569</v>
      </c>
      <c r="D309" s="29" t="s">
        <v>443</v>
      </c>
      <c r="E309" s="29" t="s">
        <v>444</v>
      </c>
      <c r="F309" s="29" t="s">
        <v>82</v>
      </c>
      <c r="G309" s="29" t="s">
        <v>67</v>
      </c>
      <c r="H309" s="29" t="s">
        <v>1379</v>
      </c>
      <c r="I309" s="29" t="s">
        <v>1861</v>
      </c>
      <c r="J309" s="29" t="n">
        <v>0</v>
      </c>
      <c r="K309" s="29" t="n">
        <v>5</v>
      </c>
      <c r="L309" s="29" t="s">
        <v>1866</v>
      </c>
    </row>
    <row r="310" customFormat="false" ht="15" hidden="false" customHeight="false" outlineLevel="0" collapsed="false">
      <c r="A310" s="29" t="n">
        <v>131425</v>
      </c>
      <c r="B310" s="29" t="s">
        <v>1568</v>
      </c>
      <c r="C310" s="29" t="s">
        <v>1569</v>
      </c>
      <c r="D310" s="29" t="s">
        <v>472</v>
      </c>
      <c r="E310" s="29" t="s">
        <v>473</v>
      </c>
      <c r="F310" s="29" t="s">
        <v>82</v>
      </c>
      <c r="G310" s="29" t="s">
        <v>67</v>
      </c>
      <c r="H310" s="29" t="s">
        <v>1379</v>
      </c>
      <c r="I310" s="29" t="s">
        <v>1861</v>
      </c>
      <c r="J310" s="29" t="n">
        <v>0</v>
      </c>
      <c r="K310" s="29" t="n">
        <v>0</v>
      </c>
      <c r="L310" s="29" t="s">
        <v>1849</v>
      </c>
    </row>
    <row r="311" customFormat="false" ht="15" hidden="false" customHeight="false" outlineLevel="0" collapsed="false">
      <c r="A311" s="29" t="n">
        <v>131425</v>
      </c>
      <c r="B311" s="29" t="s">
        <v>1568</v>
      </c>
      <c r="C311" s="29" t="s">
        <v>1569</v>
      </c>
      <c r="D311" s="29" t="s">
        <v>477</v>
      </c>
      <c r="E311" s="29" t="s">
        <v>478</v>
      </c>
      <c r="F311" s="29" t="s">
        <v>82</v>
      </c>
      <c r="G311" s="29" t="s">
        <v>67</v>
      </c>
      <c r="H311" s="29" t="s">
        <v>1379</v>
      </c>
      <c r="I311" s="29" t="s">
        <v>1861</v>
      </c>
      <c r="J311" s="29" t="n">
        <v>0</v>
      </c>
      <c r="K311" s="29" t="n">
        <v>0</v>
      </c>
      <c r="L311" s="29" t="s">
        <v>1849</v>
      </c>
    </row>
    <row r="312" customFormat="false" ht="15" hidden="false" customHeight="false" outlineLevel="0" collapsed="false">
      <c r="A312" s="29" t="n">
        <v>131425</v>
      </c>
      <c r="B312" s="29" t="s">
        <v>1568</v>
      </c>
      <c r="C312" s="29" t="s">
        <v>1569</v>
      </c>
      <c r="D312" s="29" t="s">
        <v>668</v>
      </c>
      <c r="E312" s="29" t="s">
        <v>669</v>
      </c>
      <c r="F312" s="29" t="s">
        <v>105</v>
      </c>
      <c r="G312" s="29" t="s">
        <v>66</v>
      </c>
      <c r="H312" s="29" t="s">
        <v>1379</v>
      </c>
      <c r="I312" s="29" t="s">
        <v>1861</v>
      </c>
      <c r="J312" s="29" t="n">
        <v>0</v>
      </c>
      <c r="K312" s="29" t="n">
        <v>0</v>
      </c>
      <c r="L312" s="29" t="s">
        <v>1849</v>
      </c>
    </row>
    <row r="313" customFormat="false" ht="15" hidden="false" customHeight="false" outlineLevel="0" collapsed="false">
      <c r="A313" s="29" t="n">
        <v>131425</v>
      </c>
      <c r="B313" s="29" t="s">
        <v>1568</v>
      </c>
      <c r="C313" s="29" t="s">
        <v>1569</v>
      </c>
      <c r="D313" s="29" t="s">
        <v>680</v>
      </c>
      <c r="E313" s="29" t="s">
        <v>681</v>
      </c>
      <c r="F313" s="29" t="s">
        <v>105</v>
      </c>
      <c r="G313" s="29" t="s">
        <v>66</v>
      </c>
      <c r="H313" s="29" t="s">
        <v>1379</v>
      </c>
      <c r="I313" s="29" t="s">
        <v>1861</v>
      </c>
      <c r="J313" s="29" t="n">
        <v>0</v>
      </c>
      <c r="K313" s="29" t="n">
        <v>0</v>
      </c>
      <c r="L313" s="29" t="s">
        <v>1849</v>
      </c>
    </row>
    <row r="314" customFormat="false" ht="15" hidden="false" customHeight="false" outlineLevel="0" collapsed="false">
      <c r="A314" s="29" t="n">
        <v>131425</v>
      </c>
      <c r="B314" s="29" t="s">
        <v>1568</v>
      </c>
      <c r="C314" s="29" t="s">
        <v>1569</v>
      </c>
      <c r="D314" s="29" t="s">
        <v>711</v>
      </c>
      <c r="E314" s="29" t="s">
        <v>712</v>
      </c>
      <c r="F314" s="29" t="s">
        <v>116</v>
      </c>
      <c r="G314" s="29" t="s">
        <v>66</v>
      </c>
      <c r="H314" s="29" t="s">
        <v>1379</v>
      </c>
      <c r="I314" s="29" t="s">
        <v>1861</v>
      </c>
      <c r="J314" s="29" t="n">
        <v>0</v>
      </c>
      <c r="K314" s="29" t="n">
        <v>0</v>
      </c>
      <c r="L314" s="29" t="s">
        <v>1849</v>
      </c>
    </row>
    <row r="315" customFormat="false" ht="15" hidden="false" customHeight="false" outlineLevel="0" collapsed="false">
      <c r="A315" s="29" t="n">
        <v>131425</v>
      </c>
      <c r="B315" s="29" t="s">
        <v>1568</v>
      </c>
      <c r="C315" s="29" t="s">
        <v>1569</v>
      </c>
      <c r="D315" s="29" t="s">
        <v>721</v>
      </c>
      <c r="E315" s="29" t="s">
        <v>722</v>
      </c>
      <c r="F315" s="29" t="s">
        <v>116</v>
      </c>
      <c r="G315" s="29" t="s">
        <v>66</v>
      </c>
      <c r="H315" s="29" t="s">
        <v>1379</v>
      </c>
      <c r="I315" s="29" t="s">
        <v>1861</v>
      </c>
      <c r="J315" s="29" t="n">
        <v>0</v>
      </c>
      <c r="K315" s="29" t="n">
        <v>0</v>
      </c>
      <c r="L315" s="29" t="s">
        <v>1849</v>
      </c>
    </row>
    <row r="316" customFormat="false" ht="15" hidden="false" customHeight="false" outlineLevel="0" collapsed="false">
      <c r="A316" s="29" t="n">
        <v>133946</v>
      </c>
      <c r="B316" s="29" t="s">
        <v>1575</v>
      </c>
      <c r="C316" s="29" t="s">
        <v>1576</v>
      </c>
      <c r="D316" s="29" t="s">
        <v>433</v>
      </c>
      <c r="E316" s="29" t="s">
        <v>434</v>
      </c>
      <c r="F316" s="29" t="s">
        <v>82</v>
      </c>
      <c r="G316" s="29" t="s">
        <v>66</v>
      </c>
      <c r="H316" s="29" t="s">
        <v>1379</v>
      </c>
      <c r="I316" s="29" t="s">
        <v>1861</v>
      </c>
      <c r="J316" s="29" t="n">
        <v>0</v>
      </c>
      <c r="K316" s="29" t="n">
        <v>0</v>
      </c>
      <c r="L316" s="29" t="s">
        <v>1846</v>
      </c>
    </row>
    <row r="317" customFormat="false" ht="15" hidden="false" customHeight="false" outlineLevel="0" collapsed="false">
      <c r="A317" s="29" t="n">
        <v>133946</v>
      </c>
      <c r="B317" s="29" t="s">
        <v>1575</v>
      </c>
      <c r="C317" s="29" t="s">
        <v>1576</v>
      </c>
      <c r="D317" s="29" t="s">
        <v>443</v>
      </c>
      <c r="E317" s="29" t="s">
        <v>444</v>
      </c>
      <c r="F317" s="29" t="s">
        <v>82</v>
      </c>
      <c r="G317" s="29" t="s">
        <v>67</v>
      </c>
      <c r="H317" s="29" t="s">
        <v>1379</v>
      </c>
      <c r="I317" s="29" t="s">
        <v>1861</v>
      </c>
      <c r="J317" s="29" t="n">
        <v>0</v>
      </c>
      <c r="K317" s="29" t="n">
        <v>0</v>
      </c>
      <c r="L317" s="29" t="s">
        <v>1846</v>
      </c>
    </row>
    <row r="318" customFormat="false" ht="15" hidden="false" customHeight="false" outlineLevel="0" collapsed="false">
      <c r="A318" s="29" t="n">
        <v>133946</v>
      </c>
      <c r="B318" s="29" t="s">
        <v>1575</v>
      </c>
      <c r="C318" s="29" t="s">
        <v>1576</v>
      </c>
      <c r="D318" s="29" t="s">
        <v>472</v>
      </c>
      <c r="E318" s="29" t="s">
        <v>473</v>
      </c>
      <c r="F318" s="29" t="s">
        <v>82</v>
      </c>
      <c r="G318" s="29" t="s">
        <v>67</v>
      </c>
      <c r="H318" s="29" t="s">
        <v>1379</v>
      </c>
      <c r="I318" s="29" t="s">
        <v>1861</v>
      </c>
      <c r="J318" s="29" t="n">
        <v>0</v>
      </c>
      <c r="K318" s="29" t="n">
        <v>0</v>
      </c>
      <c r="L318" s="29" t="s">
        <v>1846</v>
      </c>
    </row>
    <row r="319" customFormat="false" ht="15" hidden="false" customHeight="false" outlineLevel="0" collapsed="false">
      <c r="A319" s="29" t="n">
        <v>133946</v>
      </c>
      <c r="B319" s="29" t="s">
        <v>1575</v>
      </c>
      <c r="C319" s="29" t="s">
        <v>1576</v>
      </c>
      <c r="D319" s="29" t="s">
        <v>477</v>
      </c>
      <c r="E319" s="29" t="s">
        <v>478</v>
      </c>
      <c r="F319" s="29" t="s">
        <v>82</v>
      </c>
      <c r="G319" s="29" t="s">
        <v>67</v>
      </c>
      <c r="H319" s="29" t="s">
        <v>1379</v>
      </c>
      <c r="I319" s="29" t="s">
        <v>1861</v>
      </c>
      <c r="J319" s="29" t="n">
        <v>0</v>
      </c>
      <c r="K319" s="29" t="n">
        <v>0</v>
      </c>
      <c r="L319" s="29" t="s">
        <v>1846</v>
      </c>
    </row>
    <row r="320" customFormat="false" ht="15" hidden="false" customHeight="false" outlineLevel="0" collapsed="false">
      <c r="A320" s="29" t="n">
        <v>133946</v>
      </c>
      <c r="B320" s="29" t="s">
        <v>1575</v>
      </c>
      <c r="C320" s="29" t="s">
        <v>1576</v>
      </c>
      <c r="D320" s="29" t="s">
        <v>486</v>
      </c>
      <c r="E320" s="29" t="s">
        <v>487</v>
      </c>
      <c r="F320" s="29" t="s">
        <v>82</v>
      </c>
      <c r="G320" s="29" t="s">
        <v>67</v>
      </c>
      <c r="H320" s="29" t="s">
        <v>1844</v>
      </c>
      <c r="I320" s="29" t="s">
        <v>1862</v>
      </c>
      <c r="J320" s="29" t="n">
        <v>0</v>
      </c>
      <c r="K320" s="29" t="n">
        <v>0</v>
      </c>
      <c r="L320" s="29" t="s">
        <v>1846</v>
      </c>
    </row>
    <row r="321" customFormat="false" ht="15" hidden="false" customHeight="false" outlineLevel="0" collapsed="false">
      <c r="A321" s="29" t="n">
        <v>133946</v>
      </c>
      <c r="B321" s="29" t="s">
        <v>1575</v>
      </c>
      <c r="C321" s="29" t="s">
        <v>1576</v>
      </c>
      <c r="D321" s="29" t="s">
        <v>500</v>
      </c>
      <c r="E321" s="29" t="s">
        <v>501</v>
      </c>
      <c r="F321" s="29" t="s">
        <v>82</v>
      </c>
      <c r="G321" s="29" t="s">
        <v>68</v>
      </c>
      <c r="H321" s="29" t="s">
        <v>1381</v>
      </c>
      <c r="I321" s="29" t="s">
        <v>1862</v>
      </c>
      <c r="J321" s="29" t="n">
        <v>0</v>
      </c>
      <c r="K321" s="29" t="n">
        <v>0</v>
      </c>
      <c r="L321" s="29" t="s">
        <v>1846</v>
      </c>
    </row>
    <row r="322" customFormat="false" ht="15" hidden="false" customHeight="false" outlineLevel="0" collapsed="false">
      <c r="A322" s="29" t="n">
        <v>133946</v>
      </c>
      <c r="B322" s="29" t="s">
        <v>1575</v>
      </c>
      <c r="C322" s="29" t="s">
        <v>1576</v>
      </c>
      <c r="D322" s="29" t="s">
        <v>668</v>
      </c>
      <c r="E322" s="29" t="s">
        <v>669</v>
      </c>
      <c r="F322" s="29" t="s">
        <v>105</v>
      </c>
      <c r="G322" s="29" t="s">
        <v>66</v>
      </c>
      <c r="H322" s="29" t="s">
        <v>1379</v>
      </c>
      <c r="I322" s="29" t="s">
        <v>1861</v>
      </c>
      <c r="J322" s="29" t="n">
        <v>0</v>
      </c>
      <c r="K322" s="29" t="n">
        <v>0</v>
      </c>
      <c r="L322" s="29" t="s">
        <v>1846</v>
      </c>
    </row>
    <row r="323" customFormat="false" ht="15" hidden="false" customHeight="false" outlineLevel="0" collapsed="false">
      <c r="A323" s="29" t="n">
        <v>133946</v>
      </c>
      <c r="B323" s="29" t="s">
        <v>1575</v>
      </c>
      <c r="C323" s="29" t="s">
        <v>1576</v>
      </c>
      <c r="D323" s="29" t="s">
        <v>680</v>
      </c>
      <c r="E323" s="29" t="s">
        <v>681</v>
      </c>
      <c r="F323" s="29" t="s">
        <v>105</v>
      </c>
      <c r="G323" s="29" t="s">
        <v>66</v>
      </c>
      <c r="H323" s="29" t="s">
        <v>1379</v>
      </c>
      <c r="I323" s="29" t="s">
        <v>1861</v>
      </c>
      <c r="J323" s="29" t="n">
        <v>0</v>
      </c>
      <c r="K323" s="29" t="n">
        <v>0</v>
      </c>
      <c r="L323" s="29" t="s">
        <v>1846</v>
      </c>
    </row>
    <row r="324" customFormat="false" ht="15" hidden="false" customHeight="false" outlineLevel="0" collapsed="false">
      <c r="A324" s="29" t="n">
        <v>133946</v>
      </c>
      <c r="B324" s="29" t="s">
        <v>1575</v>
      </c>
      <c r="C324" s="29" t="s">
        <v>1576</v>
      </c>
      <c r="D324" s="29" t="s">
        <v>711</v>
      </c>
      <c r="E324" s="29" t="s">
        <v>712</v>
      </c>
      <c r="F324" s="29" t="s">
        <v>116</v>
      </c>
      <c r="G324" s="29" t="s">
        <v>66</v>
      </c>
      <c r="H324" s="29" t="s">
        <v>1379</v>
      </c>
      <c r="I324" s="29" t="s">
        <v>1861</v>
      </c>
      <c r="J324" s="29" t="n">
        <v>0</v>
      </c>
      <c r="K324" s="29" t="n">
        <v>0</v>
      </c>
      <c r="L324" s="29" t="s">
        <v>1846</v>
      </c>
    </row>
    <row r="325" customFormat="false" ht="15" hidden="false" customHeight="false" outlineLevel="0" collapsed="false">
      <c r="A325" s="29" t="n">
        <v>133946</v>
      </c>
      <c r="B325" s="29" t="s">
        <v>1575</v>
      </c>
      <c r="C325" s="29" t="s">
        <v>1576</v>
      </c>
      <c r="D325" s="29" t="s">
        <v>721</v>
      </c>
      <c r="E325" s="29" t="s">
        <v>722</v>
      </c>
      <c r="F325" s="29" t="s">
        <v>116</v>
      </c>
      <c r="G325" s="29" t="s">
        <v>66</v>
      </c>
      <c r="H325" s="29" t="s">
        <v>1379</v>
      </c>
      <c r="I325" s="29" t="s">
        <v>1861</v>
      </c>
      <c r="J325" s="29" t="n">
        <v>0</v>
      </c>
      <c r="K325" s="29" t="n">
        <v>0</v>
      </c>
      <c r="L325" s="29" t="s">
        <v>1846</v>
      </c>
    </row>
    <row r="326" customFormat="false" ht="15" hidden="false" customHeight="false" outlineLevel="0" collapsed="false">
      <c r="A326" s="29" t="n">
        <v>140783</v>
      </c>
      <c r="B326" s="29" t="s">
        <v>1580</v>
      </c>
      <c r="C326" s="29" t="s">
        <v>1581</v>
      </c>
      <c r="D326" s="29" t="s">
        <v>433</v>
      </c>
      <c r="E326" s="29" t="s">
        <v>434</v>
      </c>
      <c r="F326" s="29" t="s">
        <v>82</v>
      </c>
      <c r="G326" s="29" t="s">
        <v>66</v>
      </c>
      <c r="H326" s="29" t="s">
        <v>1379</v>
      </c>
      <c r="I326" s="29" t="s">
        <v>1861</v>
      </c>
      <c r="J326" s="29" t="n">
        <v>0</v>
      </c>
      <c r="K326" s="29" t="n">
        <v>19</v>
      </c>
      <c r="L326" s="29" t="s">
        <v>1866</v>
      </c>
    </row>
    <row r="327" customFormat="false" ht="15" hidden="false" customHeight="false" outlineLevel="0" collapsed="false">
      <c r="A327" s="29" t="n">
        <v>140783</v>
      </c>
      <c r="B327" s="29" t="s">
        <v>1580</v>
      </c>
      <c r="C327" s="29" t="s">
        <v>1581</v>
      </c>
      <c r="D327" s="29" t="s">
        <v>443</v>
      </c>
      <c r="E327" s="29" t="s">
        <v>444</v>
      </c>
      <c r="F327" s="29" t="s">
        <v>82</v>
      </c>
      <c r="G327" s="29" t="s">
        <v>67</v>
      </c>
      <c r="H327" s="29" t="s">
        <v>1379</v>
      </c>
      <c r="I327" s="29" t="s">
        <v>1861</v>
      </c>
      <c r="J327" s="29" t="n">
        <v>0</v>
      </c>
      <c r="K327" s="29" t="n">
        <v>19</v>
      </c>
      <c r="L327" s="29" t="s">
        <v>1866</v>
      </c>
    </row>
    <row r="328" customFormat="false" ht="15" hidden="false" customHeight="false" outlineLevel="0" collapsed="false">
      <c r="A328" s="29" t="n">
        <v>140783</v>
      </c>
      <c r="B328" s="29" t="s">
        <v>1580</v>
      </c>
      <c r="C328" s="29" t="s">
        <v>1581</v>
      </c>
      <c r="D328" s="29" t="s">
        <v>472</v>
      </c>
      <c r="E328" s="29" t="s">
        <v>473</v>
      </c>
      <c r="F328" s="29" t="s">
        <v>82</v>
      </c>
      <c r="G328" s="29" t="s">
        <v>67</v>
      </c>
      <c r="H328" s="29" t="s">
        <v>1379</v>
      </c>
      <c r="I328" s="29" t="s">
        <v>1861</v>
      </c>
      <c r="J328" s="29" t="n">
        <v>0</v>
      </c>
      <c r="K328" s="29" t="n">
        <v>0</v>
      </c>
      <c r="L328" s="29" t="s">
        <v>1849</v>
      </c>
    </row>
    <row r="329" customFormat="false" ht="15" hidden="false" customHeight="false" outlineLevel="0" collapsed="false">
      <c r="A329" s="29" t="n">
        <v>140783</v>
      </c>
      <c r="B329" s="29" t="s">
        <v>1580</v>
      </c>
      <c r="C329" s="29" t="s">
        <v>1581</v>
      </c>
      <c r="D329" s="29" t="s">
        <v>477</v>
      </c>
      <c r="E329" s="29" t="s">
        <v>478</v>
      </c>
      <c r="F329" s="29" t="s">
        <v>82</v>
      </c>
      <c r="G329" s="29" t="s">
        <v>67</v>
      </c>
      <c r="H329" s="29" t="s">
        <v>1379</v>
      </c>
      <c r="I329" s="29" t="s">
        <v>1861</v>
      </c>
      <c r="J329" s="29" t="n">
        <v>0</v>
      </c>
      <c r="K329" s="29" t="n">
        <v>0</v>
      </c>
      <c r="L329" s="29" t="s">
        <v>1849</v>
      </c>
    </row>
    <row r="330" customFormat="false" ht="15" hidden="false" customHeight="false" outlineLevel="0" collapsed="false">
      <c r="A330" s="29" t="n">
        <v>140783</v>
      </c>
      <c r="B330" s="29" t="s">
        <v>1580</v>
      </c>
      <c r="C330" s="29" t="s">
        <v>1581</v>
      </c>
      <c r="D330" s="29" t="s">
        <v>486</v>
      </c>
      <c r="E330" s="29" t="s">
        <v>487</v>
      </c>
      <c r="F330" s="29" t="s">
        <v>82</v>
      </c>
      <c r="G330" s="29" t="s">
        <v>67</v>
      </c>
      <c r="H330" s="29" t="s">
        <v>1844</v>
      </c>
      <c r="I330" s="29" t="s">
        <v>1862</v>
      </c>
      <c r="J330" s="29" t="n">
        <v>0</v>
      </c>
      <c r="K330" s="29" t="n">
        <v>0</v>
      </c>
      <c r="L330" s="29" t="s">
        <v>1849</v>
      </c>
    </row>
    <row r="331" customFormat="false" ht="15" hidden="false" customHeight="false" outlineLevel="0" collapsed="false">
      <c r="A331" s="29" t="n">
        <v>140783</v>
      </c>
      <c r="B331" s="29" t="s">
        <v>1580</v>
      </c>
      <c r="C331" s="29" t="s">
        <v>1581</v>
      </c>
      <c r="D331" s="29" t="s">
        <v>500</v>
      </c>
      <c r="E331" s="29" t="s">
        <v>501</v>
      </c>
      <c r="F331" s="29" t="s">
        <v>82</v>
      </c>
      <c r="G331" s="29" t="s">
        <v>68</v>
      </c>
      <c r="H331" s="29" t="s">
        <v>1381</v>
      </c>
      <c r="I331" s="29" t="s">
        <v>1862</v>
      </c>
      <c r="J331" s="29" t="n">
        <v>0</v>
      </c>
      <c r="K331" s="29" t="n">
        <v>0</v>
      </c>
      <c r="L331" s="29" t="s">
        <v>1849</v>
      </c>
    </row>
    <row r="332" customFormat="false" ht="15" hidden="false" customHeight="false" outlineLevel="0" collapsed="false">
      <c r="A332" s="29" t="n">
        <v>140783</v>
      </c>
      <c r="B332" s="29" t="s">
        <v>1580</v>
      </c>
      <c r="C332" s="29" t="s">
        <v>1581</v>
      </c>
      <c r="D332" s="29" t="s">
        <v>590</v>
      </c>
      <c r="E332" s="29" t="s">
        <v>591</v>
      </c>
      <c r="F332" s="29" t="s">
        <v>93</v>
      </c>
      <c r="G332" s="29" t="s">
        <v>67</v>
      </c>
      <c r="H332" s="29" t="s">
        <v>1844</v>
      </c>
      <c r="I332" s="29" t="s">
        <v>1859</v>
      </c>
      <c r="J332" s="29" t="n">
        <v>0</v>
      </c>
      <c r="K332" s="29" t="n">
        <v>2</v>
      </c>
      <c r="L332" s="29" t="s">
        <v>1866</v>
      </c>
    </row>
    <row r="333" customFormat="false" ht="15" hidden="false" customHeight="false" outlineLevel="0" collapsed="false">
      <c r="A333" s="29" t="n">
        <v>140783</v>
      </c>
      <c r="B333" s="29" t="s">
        <v>1580</v>
      </c>
      <c r="C333" s="29" t="s">
        <v>1581</v>
      </c>
      <c r="D333" s="29" t="s">
        <v>597</v>
      </c>
      <c r="E333" s="29" t="s">
        <v>598</v>
      </c>
      <c r="F333" s="29" t="s">
        <v>93</v>
      </c>
      <c r="G333" s="29" t="s">
        <v>67</v>
      </c>
      <c r="H333" s="29" t="s">
        <v>1844</v>
      </c>
      <c r="I333" s="29" t="s">
        <v>1859</v>
      </c>
      <c r="J333" s="29" t="n">
        <v>0</v>
      </c>
      <c r="K333" s="29" t="n">
        <v>0</v>
      </c>
      <c r="L333" s="29" t="s">
        <v>1849</v>
      </c>
    </row>
    <row r="334" customFormat="false" ht="15" hidden="false" customHeight="false" outlineLevel="0" collapsed="false">
      <c r="A334" s="29" t="n">
        <v>140783</v>
      </c>
      <c r="B334" s="29" t="s">
        <v>1580</v>
      </c>
      <c r="C334" s="29" t="s">
        <v>1581</v>
      </c>
      <c r="D334" s="29" t="s">
        <v>604</v>
      </c>
      <c r="E334" s="29" t="s">
        <v>605</v>
      </c>
      <c r="F334" s="29" t="s">
        <v>93</v>
      </c>
      <c r="G334" s="29" t="s">
        <v>68</v>
      </c>
      <c r="H334" s="29" t="s">
        <v>1381</v>
      </c>
      <c r="I334" s="29" t="s">
        <v>1859</v>
      </c>
      <c r="J334" s="29" t="n">
        <v>0</v>
      </c>
      <c r="K334" s="29" t="n">
        <v>0</v>
      </c>
      <c r="L334" s="29" t="s">
        <v>1849</v>
      </c>
    </row>
    <row r="335" customFormat="false" ht="15" hidden="false" customHeight="false" outlineLevel="0" collapsed="false">
      <c r="A335" s="29" t="n">
        <v>140783</v>
      </c>
      <c r="B335" s="29" t="s">
        <v>1580</v>
      </c>
      <c r="C335" s="29" t="s">
        <v>1581</v>
      </c>
      <c r="D335" s="29" t="s">
        <v>612</v>
      </c>
      <c r="E335" s="29" t="s">
        <v>613</v>
      </c>
      <c r="F335" s="29" t="s">
        <v>93</v>
      </c>
      <c r="G335" s="29" t="s">
        <v>68</v>
      </c>
      <c r="H335" s="29" t="s">
        <v>1381</v>
      </c>
      <c r="I335" s="29" t="s">
        <v>1859</v>
      </c>
      <c r="J335" s="29" t="n">
        <v>0</v>
      </c>
      <c r="K335" s="29" t="n">
        <v>0</v>
      </c>
      <c r="L335" s="29" t="s">
        <v>1849</v>
      </c>
    </row>
    <row r="336" customFormat="false" ht="15" hidden="false" customHeight="false" outlineLevel="0" collapsed="false">
      <c r="A336" s="29" t="n">
        <v>140783</v>
      </c>
      <c r="B336" s="29" t="s">
        <v>1580</v>
      </c>
      <c r="C336" s="29" t="s">
        <v>1581</v>
      </c>
      <c r="D336" s="29" t="s">
        <v>618</v>
      </c>
      <c r="E336" s="29" t="s">
        <v>619</v>
      </c>
      <c r="F336" s="29" t="s">
        <v>93</v>
      </c>
      <c r="G336" s="29" t="s">
        <v>68</v>
      </c>
      <c r="H336" s="29" t="s">
        <v>1381</v>
      </c>
      <c r="I336" s="29" t="s">
        <v>1859</v>
      </c>
      <c r="J336" s="29" t="n">
        <v>0</v>
      </c>
      <c r="K336" s="29" t="n">
        <v>0</v>
      </c>
      <c r="L336" s="29" t="s">
        <v>1849</v>
      </c>
    </row>
    <row r="337" customFormat="false" ht="15" hidden="false" customHeight="false" outlineLevel="0" collapsed="false">
      <c r="A337" s="29" t="n">
        <v>140783</v>
      </c>
      <c r="B337" s="29" t="s">
        <v>1580</v>
      </c>
      <c r="C337" s="29" t="s">
        <v>1581</v>
      </c>
      <c r="D337" s="29" t="s">
        <v>668</v>
      </c>
      <c r="E337" s="29" t="s">
        <v>669</v>
      </c>
      <c r="F337" s="29" t="s">
        <v>105</v>
      </c>
      <c r="G337" s="29" t="s">
        <v>66</v>
      </c>
      <c r="H337" s="29" t="s">
        <v>1379</v>
      </c>
      <c r="I337" s="29" t="s">
        <v>1861</v>
      </c>
      <c r="J337" s="29" t="n">
        <v>0</v>
      </c>
      <c r="K337" s="29" t="n">
        <v>0</v>
      </c>
      <c r="L337" s="29" t="s">
        <v>1849</v>
      </c>
    </row>
    <row r="338" customFormat="false" ht="15" hidden="false" customHeight="false" outlineLevel="0" collapsed="false">
      <c r="A338" s="29" t="n">
        <v>140783</v>
      </c>
      <c r="B338" s="29" t="s">
        <v>1580</v>
      </c>
      <c r="C338" s="29" t="s">
        <v>1581</v>
      </c>
      <c r="D338" s="29" t="s">
        <v>680</v>
      </c>
      <c r="E338" s="29" t="s">
        <v>681</v>
      </c>
      <c r="F338" s="29" t="s">
        <v>105</v>
      </c>
      <c r="G338" s="29" t="s">
        <v>66</v>
      </c>
      <c r="H338" s="29" t="s">
        <v>1379</v>
      </c>
      <c r="I338" s="29" t="s">
        <v>1861</v>
      </c>
      <c r="J338" s="29" t="n">
        <v>0</v>
      </c>
      <c r="K338" s="29" t="n">
        <v>0</v>
      </c>
      <c r="L338" s="29" t="s">
        <v>1849</v>
      </c>
    </row>
    <row r="339" customFormat="false" ht="15" hidden="false" customHeight="false" outlineLevel="0" collapsed="false">
      <c r="A339" s="29" t="n">
        <v>140783</v>
      </c>
      <c r="B339" s="29" t="s">
        <v>1580</v>
      </c>
      <c r="C339" s="29" t="s">
        <v>1581</v>
      </c>
      <c r="D339" s="29" t="s">
        <v>711</v>
      </c>
      <c r="E339" s="29" t="s">
        <v>712</v>
      </c>
      <c r="F339" s="29" t="s">
        <v>116</v>
      </c>
      <c r="G339" s="29" t="s">
        <v>66</v>
      </c>
      <c r="H339" s="29" t="s">
        <v>1379</v>
      </c>
      <c r="I339" s="29" t="s">
        <v>1861</v>
      </c>
      <c r="J339" s="29" t="n">
        <v>0</v>
      </c>
      <c r="K339" s="29" t="n">
        <v>0</v>
      </c>
      <c r="L339" s="29" t="s">
        <v>1849</v>
      </c>
    </row>
    <row r="340" customFormat="false" ht="15" hidden="false" customHeight="false" outlineLevel="0" collapsed="false">
      <c r="A340" s="29" t="n">
        <v>140783</v>
      </c>
      <c r="B340" s="29" t="s">
        <v>1580</v>
      </c>
      <c r="C340" s="29" t="s">
        <v>1581</v>
      </c>
      <c r="D340" s="29" t="s">
        <v>721</v>
      </c>
      <c r="E340" s="29" t="s">
        <v>722</v>
      </c>
      <c r="F340" s="29" t="s">
        <v>116</v>
      </c>
      <c r="G340" s="29" t="s">
        <v>66</v>
      </c>
      <c r="H340" s="29" t="s">
        <v>1379</v>
      </c>
      <c r="I340" s="29" t="s">
        <v>1861</v>
      </c>
      <c r="J340" s="29" t="n">
        <v>0</v>
      </c>
      <c r="K340" s="29" t="n">
        <v>0</v>
      </c>
      <c r="L340" s="29" t="s">
        <v>1849</v>
      </c>
    </row>
    <row r="341" customFormat="false" ht="15" hidden="false" customHeight="false" outlineLevel="0" collapsed="false">
      <c r="A341" s="29" t="n">
        <v>141114</v>
      </c>
      <c r="B341" s="29" t="s">
        <v>1586</v>
      </c>
      <c r="C341" s="29" t="s">
        <v>1587</v>
      </c>
      <c r="D341" s="29" t="s">
        <v>433</v>
      </c>
      <c r="E341" s="29" t="s">
        <v>434</v>
      </c>
      <c r="F341" s="29" t="s">
        <v>82</v>
      </c>
      <c r="G341" s="29" t="s">
        <v>66</v>
      </c>
      <c r="H341" s="29" t="s">
        <v>1379</v>
      </c>
      <c r="I341" s="29" t="s">
        <v>1861</v>
      </c>
      <c r="J341" s="29" t="n">
        <v>0</v>
      </c>
      <c r="K341" s="29" t="n">
        <v>1</v>
      </c>
      <c r="L341" s="29" t="s">
        <v>1866</v>
      </c>
    </row>
    <row r="342" customFormat="false" ht="15" hidden="false" customHeight="false" outlineLevel="0" collapsed="false">
      <c r="A342" s="29" t="n">
        <v>141114</v>
      </c>
      <c r="B342" s="29" t="s">
        <v>1586</v>
      </c>
      <c r="C342" s="29" t="s">
        <v>1587</v>
      </c>
      <c r="D342" s="29" t="s">
        <v>443</v>
      </c>
      <c r="E342" s="29" t="s">
        <v>444</v>
      </c>
      <c r="F342" s="29" t="s">
        <v>82</v>
      </c>
      <c r="G342" s="29" t="s">
        <v>67</v>
      </c>
      <c r="H342" s="29" t="s">
        <v>1379</v>
      </c>
      <c r="I342" s="29" t="s">
        <v>1861</v>
      </c>
      <c r="J342" s="29" t="n">
        <v>0</v>
      </c>
      <c r="K342" s="29" t="n">
        <v>1</v>
      </c>
      <c r="L342" s="29" t="s">
        <v>1866</v>
      </c>
    </row>
    <row r="343" customFormat="false" ht="15" hidden="false" customHeight="false" outlineLevel="0" collapsed="false">
      <c r="A343" s="29" t="n">
        <v>141114</v>
      </c>
      <c r="B343" s="29" t="s">
        <v>1586</v>
      </c>
      <c r="C343" s="29" t="s">
        <v>1587</v>
      </c>
      <c r="D343" s="29" t="s">
        <v>472</v>
      </c>
      <c r="E343" s="29" t="s">
        <v>473</v>
      </c>
      <c r="F343" s="29" t="s">
        <v>82</v>
      </c>
      <c r="G343" s="29" t="s">
        <v>67</v>
      </c>
      <c r="H343" s="29" t="s">
        <v>1379</v>
      </c>
      <c r="I343" s="29" t="s">
        <v>1861</v>
      </c>
      <c r="J343" s="29" t="n">
        <v>0</v>
      </c>
      <c r="K343" s="29" t="n">
        <v>0</v>
      </c>
      <c r="L343" s="29" t="s">
        <v>1849</v>
      </c>
    </row>
    <row r="344" customFormat="false" ht="15" hidden="false" customHeight="false" outlineLevel="0" collapsed="false">
      <c r="A344" s="29" t="n">
        <v>141114</v>
      </c>
      <c r="B344" s="29" t="s">
        <v>1586</v>
      </c>
      <c r="C344" s="29" t="s">
        <v>1587</v>
      </c>
      <c r="D344" s="29" t="s">
        <v>477</v>
      </c>
      <c r="E344" s="29" t="s">
        <v>478</v>
      </c>
      <c r="F344" s="29" t="s">
        <v>82</v>
      </c>
      <c r="G344" s="29" t="s">
        <v>67</v>
      </c>
      <c r="H344" s="29" t="s">
        <v>1379</v>
      </c>
      <c r="I344" s="29" t="s">
        <v>1861</v>
      </c>
      <c r="J344" s="29" t="n">
        <v>0</v>
      </c>
      <c r="K344" s="29" t="n">
        <v>0</v>
      </c>
      <c r="L344" s="29" t="s">
        <v>1849</v>
      </c>
    </row>
    <row r="345" customFormat="false" ht="15" hidden="false" customHeight="false" outlineLevel="0" collapsed="false">
      <c r="A345" s="29" t="n">
        <v>141114</v>
      </c>
      <c r="B345" s="29" t="s">
        <v>1586</v>
      </c>
      <c r="C345" s="29" t="s">
        <v>1587</v>
      </c>
      <c r="D345" s="29" t="s">
        <v>486</v>
      </c>
      <c r="E345" s="29" t="s">
        <v>487</v>
      </c>
      <c r="F345" s="29" t="s">
        <v>82</v>
      </c>
      <c r="G345" s="29" t="s">
        <v>67</v>
      </c>
      <c r="H345" s="29" t="s">
        <v>1844</v>
      </c>
      <c r="I345" s="29" t="s">
        <v>1862</v>
      </c>
      <c r="J345" s="29" t="n">
        <v>0</v>
      </c>
      <c r="K345" s="29" t="n">
        <v>0</v>
      </c>
      <c r="L345" s="29" t="s">
        <v>1849</v>
      </c>
    </row>
    <row r="346" customFormat="false" ht="15" hidden="false" customHeight="false" outlineLevel="0" collapsed="false">
      <c r="A346" s="29" t="n">
        <v>141114</v>
      </c>
      <c r="B346" s="29" t="s">
        <v>1586</v>
      </c>
      <c r="C346" s="29" t="s">
        <v>1587</v>
      </c>
      <c r="D346" s="29" t="s">
        <v>500</v>
      </c>
      <c r="E346" s="29" t="s">
        <v>501</v>
      </c>
      <c r="F346" s="29" t="s">
        <v>82</v>
      </c>
      <c r="G346" s="29" t="s">
        <v>68</v>
      </c>
      <c r="H346" s="29" t="s">
        <v>1381</v>
      </c>
      <c r="I346" s="29" t="s">
        <v>1862</v>
      </c>
      <c r="J346" s="29" t="n">
        <v>0</v>
      </c>
      <c r="K346" s="29" t="n">
        <v>0</v>
      </c>
      <c r="L346" s="29" t="s">
        <v>1849</v>
      </c>
    </row>
    <row r="347" customFormat="false" ht="15" hidden="false" customHeight="false" outlineLevel="0" collapsed="false">
      <c r="A347" s="29" t="n">
        <v>141114</v>
      </c>
      <c r="B347" s="29" t="s">
        <v>1586</v>
      </c>
      <c r="C347" s="29" t="s">
        <v>1587</v>
      </c>
      <c r="D347" s="29" t="s">
        <v>668</v>
      </c>
      <c r="E347" s="29" t="s">
        <v>669</v>
      </c>
      <c r="F347" s="29" t="s">
        <v>105</v>
      </c>
      <c r="G347" s="29" t="s">
        <v>66</v>
      </c>
      <c r="H347" s="29" t="s">
        <v>1379</v>
      </c>
      <c r="I347" s="29" t="s">
        <v>1861</v>
      </c>
      <c r="J347" s="29" t="n">
        <v>0</v>
      </c>
      <c r="K347" s="29" t="n">
        <v>0</v>
      </c>
      <c r="L347" s="29" t="s">
        <v>1849</v>
      </c>
    </row>
    <row r="348" customFormat="false" ht="15" hidden="false" customHeight="false" outlineLevel="0" collapsed="false">
      <c r="A348" s="29" t="n">
        <v>141114</v>
      </c>
      <c r="B348" s="29" t="s">
        <v>1586</v>
      </c>
      <c r="C348" s="29" t="s">
        <v>1587</v>
      </c>
      <c r="D348" s="29" t="s">
        <v>680</v>
      </c>
      <c r="E348" s="29" t="s">
        <v>681</v>
      </c>
      <c r="F348" s="29" t="s">
        <v>105</v>
      </c>
      <c r="G348" s="29" t="s">
        <v>66</v>
      </c>
      <c r="H348" s="29" t="s">
        <v>1379</v>
      </c>
      <c r="I348" s="29" t="s">
        <v>1861</v>
      </c>
      <c r="J348" s="29" t="n">
        <v>0</v>
      </c>
      <c r="K348" s="29" t="n">
        <v>0</v>
      </c>
      <c r="L348" s="29" t="s">
        <v>1849</v>
      </c>
    </row>
    <row r="349" customFormat="false" ht="15" hidden="false" customHeight="false" outlineLevel="0" collapsed="false">
      <c r="A349" s="29" t="n">
        <v>141114</v>
      </c>
      <c r="B349" s="29" t="s">
        <v>1586</v>
      </c>
      <c r="C349" s="29" t="s">
        <v>1587</v>
      </c>
      <c r="D349" s="29" t="s">
        <v>711</v>
      </c>
      <c r="E349" s="29" t="s">
        <v>712</v>
      </c>
      <c r="F349" s="29" t="s">
        <v>116</v>
      </c>
      <c r="G349" s="29" t="s">
        <v>66</v>
      </c>
      <c r="H349" s="29" t="s">
        <v>1379</v>
      </c>
      <c r="I349" s="29" t="s">
        <v>1861</v>
      </c>
      <c r="J349" s="29" t="n">
        <v>0</v>
      </c>
      <c r="K349" s="29" t="n">
        <v>0</v>
      </c>
      <c r="L349" s="29" t="s">
        <v>1849</v>
      </c>
    </row>
    <row r="350" customFormat="false" ht="15" hidden="false" customHeight="false" outlineLevel="0" collapsed="false">
      <c r="A350" s="29" t="n">
        <v>141114</v>
      </c>
      <c r="B350" s="29" t="s">
        <v>1586</v>
      </c>
      <c r="C350" s="29" t="s">
        <v>1587</v>
      </c>
      <c r="D350" s="29" t="s">
        <v>721</v>
      </c>
      <c r="E350" s="29" t="s">
        <v>722</v>
      </c>
      <c r="F350" s="29" t="s">
        <v>116</v>
      </c>
      <c r="G350" s="29" t="s">
        <v>66</v>
      </c>
      <c r="H350" s="29" t="s">
        <v>1379</v>
      </c>
      <c r="I350" s="29" t="s">
        <v>1861</v>
      </c>
      <c r="J350" s="29" t="n">
        <v>0</v>
      </c>
      <c r="K350" s="29" t="n">
        <v>0</v>
      </c>
      <c r="L350" s="29" t="s">
        <v>1849</v>
      </c>
    </row>
    <row r="351" customFormat="false" ht="15" hidden="false" customHeight="false" outlineLevel="0" collapsed="false">
      <c r="A351" s="29" t="n">
        <v>141415</v>
      </c>
      <c r="B351" s="29" t="s">
        <v>1591</v>
      </c>
      <c r="C351" s="29" t="s">
        <v>1592</v>
      </c>
      <c r="D351" s="29" t="s">
        <v>353</v>
      </c>
      <c r="E351" s="29" t="s">
        <v>354</v>
      </c>
      <c r="F351" s="29" t="s">
        <v>76</v>
      </c>
      <c r="G351" s="29" t="s">
        <v>67</v>
      </c>
      <c r="H351" s="29" t="s">
        <v>1844</v>
      </c>
      <c r="I351" s="29" t="s">
        <v>1853</v>
      </c>
      <c r="J351" s="29" t="n">
        <v>0</v>
      </c>
      <c r="K351" s="29" t="n">
        <v>0</v>
      </c>
      <c r="L351" s="29" t="s">
        <v>1849</v>
      </c>
    </row>
    <row r="352" customFormat="false" ht="15" hidden="false" customHeight="false" outlineLevel="0" collapsed="false">
      <c r="A352" s="29" t="n">
        <v>141415</v>
      </c>
      <c r="B352" s="29" t="s">
        <v>1591</v>
      </c>
      <c r="C352" s="29" t="s">
        <v>1592</v>
      </c>
      <c r="D352" s="29" t="s">
        <v>387</v>
      </c>
      <c r="E352" s="29" t="s">
        <v>388</v>
      </c>
      <c r="F352" s="29" t="s">
        <v>76</v>
      </c>
      <c r="G352" s="29" t="s">
        <v>68</v>
      </c>
      <c r="H352" s="29" t="s">
        <v>1381</v>
      </c>
      <c r="I352" s="29" t="s">
        <v>1853</v>
      </c>
      <c r="J352" s="29" t="n">
        <v>0</v>
      </c>
      <c r="K352" s="29" t="n">
        <v>0</v>
      </c>
      <c r="L352" s="29" t="s">
        <v>1849</v>
      </c>
    </row>
    <row r="353" customFormat="false" ht="15" hidden="false" customHeight="false" outlineLevel="0" collapsed="false">
      <c r="A353" s="29" t="n">
        <v>141415</v>
      </c>
      <c r="B353" s="29" t="s">
        <v>1591</v>
      </c>
      <c r="C353" s="29" t="s">
        <v>1592</v>
      </c>
      <c r="D353" s="29" t="s">
        <v>396</v>
      </c>
      <c r="E353" s="29" t="s">
        <v>397</v>
      </c>
      <c r="F353" s="29" t="s">
        <v>76</v>
      </c>
      <c r="G353" s="29" t="s">
        <v>68</v>
      </c>
      <c r="H353" s="29" t="s">
        <v>1381</v>
      </c>
      <c r="I353" s="29" t="s">
        <v>1853</v>
      </c>
      <c r="J353" s="29" t="n">
        <v>0</v>
      </c>
      <c r="K353" s="29" t="n">
        <v>0</v>
      </c>
      <c r="L353" s="29" t="s">
        <v>1849</v>
      </c>
    </row>
    <row r="354" customFormat="false" ht="15" hidden="false" customHeight="false" outlineLevel="0" collapsed="false">
      <c r="A354" s="29" t="n">
        <v>141415</v>
      </c>
      <c r="B354" s="29" t="s">
        <v>1591</v>
      </c>
      <c r="C354" s="29" t="s">
        <v>1592</v>
      </c>
      <c r="D354" s="29" t="s">
        <v>428</v>
      </c>
      <c r="E354" s="29" t="s">
        <v>429</v>
      </c>
      <c r="F354" s="29" t="s">
        <v>76</v>
      </c>
      <c r="G354" s="29" t="s">
        <v>68</v>
      </c>
      <c r="H354" s="29" t="s">
        <v>1381</v>
      </c>
      <c r="I354" s="29" t="s">
        <v>1853</v>
      </c>
      <c r="J354" s="29" t="n">
        <v>0</v>
      </c>
      <c r="K354" s="29" t="n">
        <v>0</v>
      </c>
      <c r="L354" s="29" t="s">
        <v>1849</v>
      </c>
    </row>
    <row r="355" customFormat="false" ht="15" hidden="false" customHeight="false" outlineLevel="0" collapsed="false">
      <c r="A355" s="29" t="n">
        <v>141415</v>
      </c>
      <c r="B355" s="29" t="s">
        <v>1591</v>
      </c>
      <c r="C355" s="29" t="s">
        <v>1592</v>
      </c>
      <c r="D355" s="29" t="s">
        <v>433</v>
      </c>
      <c r="E355" s="29" t="s">
        <v>434</v>
      </c>
      <c r="F355" s="29" t="s">
        <v>82</v>
      </c>
      <c r="G355" s="29" t="s">
        <v>66</v>
      </c>
      <c r="H355" s="29" t="s">
        <v>1379</v>
      </c>
      <c r="I355" s="29" t="s">
        <v>1861</v>
      </c>
      <c r="J355" s="29" t="n">
        <v>0</v>
      </c>
      <c r="K355" s="29" t="n">
        <v>0</v>
      </c>
      <c r="L355" s="29" t="s">
        <v>1849</v>
      </c>
    </row>
    <row r="356" customFormat="false" ht="15" hidden="false" customHeight="false" outlineLevel="0" collapsed="false">
      <c r="A356" s="29" t="n">
        <v>141415</v>
      </c>
      <c r="B356" s="29" t="s">
        <v>1591</v>
      </c>
      <c r="C356" s="29" t="s">
        <v>1592</v>
      </c>
      <c r="D356" s="29" t="s">
        <v>443</v>
      </c>
      <c r="E356" s="29" t="s">
        <v>444</v>
      </c>
      <c r="F356" s="29" t="s">
        <v>82</v>
      </c>
      <c r="G356" s="29" t="s">
        <v>67</v>
      </c>
      <c r="H356" s="29" t="s">
        <v>1379</v>
      </c>
      <c r="I356" s="29" t="s">
        <v>1861</v>
      </c>
      <c r="J356" s="29" t="n">
        <v>0</v>
      </c>
      <c r="K356" s="29" t="n">
        <v>0</v>
      </c>
      <c r="L356" s="29" t="s">
        <v>1849</v>
      </c>
    </row>
    <row r="357" customFormat="false" ht="15" hidden="false" customHeight="false" outlineLevel="0" collapsed="false">
      <c r="A357" s="29" t="n">
        <v>141415</v>
      </c>
      <c r="B357" s="29" t="s">
        <v>1591</v>
      </c>
      <c r="C357" s="29" t="s">
        <v>1592</v>
      </c>
      <c r="D357" s="29" t="s">
        <v>472</v>
      </c>
      <c r="E357" s="29" t="s">
        <v>473</v>
      </c>
      <c r="F357" s="29" t="s">
        <v>82</v>
      </c>
      <c r="G357" s="29" t="s">
        <v>67</v>
      </c>
      <c r="H357" s="29" t="s">
        <v>1379</v>
      </c>
      <c r="I357" s="29" t="s">
        <v>1861</v>
      </c>
      <c r="J357" s="29" t="n">
        <v>0</v>
      </c>
      <c r="K357" s="29" t="n">
        <v>0</v>
      </c>
      <c r="L357" s="29" t="s">
        <v>1849</v>
      </c>
    </row>
    <row r="358" customFormat="false" ht="15" hidden="false" customHeight="false" outlineLevel="0" collapsed="false">
      <c r="A358" s="29" t="n">
        <v>141415</v>
      </c>
      <c r="B358" s="29" t="s">
        <v>1591</v>
      </c>
      <c r="C358" s="29" t="s">
        <v>1592</v>
      </c>
      <c r="D358" s="29" t="s">
        <v>477</v>
      </c>
      <c r="E358" s="29" t="s">
        <v>478</v>
      </c>
      <c r="F358" s="29" t="s">
        <v>82</v>
      </c>
      <c r="G358" s="29" t="s">
        <v>67</v>
      </c>
      <c r="H358" s="29" t="s">
        <v>1379</v>
      </c>
      <c r="I358" s="29" t="s">
        <v>1861</v>
      </c>
      <c r="J358" s="29" t="n">
        <v>0</v>
      </c>
      <c r="K358" s="29" t="n">
        <v>0</v>
      </c>
      <c r="L358" s="29" t="s">
        <v>1849</v>
      </c>
    </row>
    <row r="359" customFormat="false" ht="15" hidden="false" customHeight="false" outlineLevel="0" collapsed="false">
      <c r="A359" s="29" t="n">
        <v>141415</v>
      </c>
      <c r="B359" s="29" t="s">
        <v>1591</v>
      </c>
      <c r="C359" s="29" t="s">
        <v>1592</v>
      </c>
      <c r="D359" s="29" t="s">
        <v>668</v>
      </c>
      <c r="E359" s="29" t="s">
        <v>669</v>
      </c>
      <c r="F359" s="29" t="s">
        <v>105</v>
      </c>
      <c r="G359" s="29" t="s">
        <v>66</v>
      </c>
      <c r="H359" s="29" t="s">
        <v>1379</v>
      </c>
      <c r="I359" s="29" t="s">
        <v>1861</v>
      </c>
      <c r="J359" s="29" t="n">
        <v>0</v>
      </c>
      <c r="K359" s="29" t="n">
        <v>0</v>
      </c>
      <c r="L359" s="29" t="s">
        <v>1849</v>
      </c>
    </row>
    <row r="360" customFormat="false" ht="15" hidden="false" customHeight="false" outlineLevel="0" collapsed="false">
      <c r="A360" s="29" t="n">
        <v>141415</v>
      </c>
      <c r="B360" s="29" t="s">
        <v>1591</v>
      </c>
      <c r="C360" s="29" t="s">
        <v>1592</v>
      </c>
      <c r="D360" s="29" t="s">
        <v>680</v>
      </c>
      <c r="E360" s="29" t="s">
        <v>681</v>
      </c>
      <c r="F360" s="29" t="s">
        <v>105</v>
      </c>
      <c r="G360" s="29" t="s">
        <v>66</v>
      </c>
      <c r="H360" s="29" t="s">
        <v>1379</v>
      </c>
      <c r="I360" s="29" t="s">
        <v>1861</v>
      </c>
      <c r="J360" s="29" t="n">
        <v>0</v>
      </c>
      <c r="K360" s="29" t="n">
        <v>0</v>
      </c>
      <c r="L360" s="29" t="s">
        <v>1849</v>
      </c>
    </row>
    <row r="361" customFormat="false" ht="15" hidden="false" customHeight="false" outlineLevel="0" collapsed="false">
      <c r="A361" s="29" t="n">
        <v>141415</v>
      </c>
      <c r="B361" s="29" t="s">
        <v>1591</v>
      </c>
      <c r="C361" s="29" t="s">
        <v>1592</v>
      </c>
      <c r="D361" s="29" t="s">
        <v>711</v>
      </c>
      <c r="E361" s="29" t="s">
        <v>712</v>
      </c>
      <c r="F361" s="29" t="s">
        <v>116</v>
      </c>
      <c r="G361" s="29" t="s">
        <v>66</v>
      </c>
      <c r="H361" s="29" t="s">
        <v>1379</v>
      </c>
      <c r="I361" s="29" t="s">
        <v>1861</v>
      </c>
      <c r="J361" s="29" t="n">
        <v>0</v>
      </c>
      <c r="K361" s="29" t="n">
        <v>0</v>
      </c>
      <c r="L361" s="29" t="s">
        <v>1849</v>
      </c>
    </row>
    <row r="362" customFormat="false" ht="15" hidden="false" customHeight="false" outlineLevel="0" collapsed="false">
      <c r="A362" s="29" t="n">
        <v>141415</v>
      </c>
      <c r="B362" s="29" t="s">
        <v>1591</v>
      </c>
      <c r="C362" s="29" t="s">
        <v>1592</v>
      </c>
      <c r="D362" s="29" t="s">
        <v>721</v>
      </c>
      <c r="E362" s="29" t="s">
        <v>722</v>
      </c>
      <c r="F362" s="29" t="s">
        <v>116</v>
      </c>
      <c r="G362" s="29" t="s">
        <v>66</v>
      </c>
      <c r="H362" s="29" t="s">
        <v>1379</v>
      </c>
      <c r="I362" s="29" t="s">
        <v>1861</v>
      </c>
      <c r="J362" s="29" t="n">
        <v>0</v>
      </c>
      <c r="K362" s="29" t="n">
        <v>0</v>
      </c>
      <c r="L362" s="29" t="s">
        <v>1849</v>
      </c>
    </row>
    <row r="363" customFormat="false" ht="15" hidden="false" customHeight="false" outlineLevel="0" collapsed="false">
      <c r="A363" s="29" t="n">
        <v>123542</v>
      </c>
      <c r="B363" s="29" t="s">
        <v>1596</v>
      </c>
      <c r="C363" s="29" t="s">
        <v>1597</v>
      </c>
      <c r="D363" s="29" t="s">
        <v>247</v>
      </c>
      <c r="E363" s="29" t="s">
        <v>248</v>
      </c>
      <c r="F363" s="29" t="s">
        <v>69</v>
      </c>
      <c r="G363" s="29" t="s">
        <v>67</v>
      </c>
      <c r="H363" s="29" t="s">
        <v>1844</v>
      </c>
      <c r="I363" s="29" t="s">
        <v>1848</v>
      </c>
      <c r="J363" s="29" t="n">
        <v>0</v>
      </c>
      <c r="K363" s="29" t="n">
        <v>0</v>
      </c>
      <c r="L363" s="29" t="s">
        <v>1846</v>
      </c>
    </row>
    <row r="364" customFormat="false" ht="15" hidden="false" customHeight="false" outlineLevel="0" collapsed="false">
      <c r="A364" s="29" t="n">
        <v>123542</v>
      </c>
      <c r="B364" s="29" t="s">
        <v>1596</v>
      </c>
      <c r="C364" s="29" t="s">
        <v>1597</v>
      </c>
      <c r="D364" s="29" t="s">
        <v>265</v>
      </c>
      <c r="E364" s="29" t="s">
        <v>266</v>
      </c>
      <c r="F364" s="29" t="s">
        <v>69</v>
      </c>
      <c r="G364" s="29" t="s">
        <v>67</v>
      </c>
      <c r="H364" s="29" t="s">
        <v>1379</v>
      </c>
      <c r="I364" s="29" t="s">
        <v>1863</v>
      </c>
      <c r="J364" s="29" t="n">
        <v>0</v>
      </c>
      <c r="K364" s="29" t="n">
        <v>0</v>
      </c>
      <c r="L364" s="29" t="s">
        <v>1846</v>
      </c>
    </row>
    <row r="365" customFormat="false" ht="15" hidden="false" customHeight="false" outlineLevel="0" collapsed="false">
      <c r="A365" s="29" t="n">
        <v>123542</v>
      </c>
      <c r="B365" s="29" t="s">
        <v>1596</v>
      </c>
      <c r="C365" s="29" t="s">
        <v>1597</v>
      </c>
      <c r="D365" s="29" t="s">
        <v>297</v>
      </c>
      <c r="E365" s="29" t="s">
        <v>298</v>
      </c>
      <c r="F365" s="29" t="s">
        <v>69</v>
      </c>
      <c r="G365" s="29" t="s">
        <v>68</v>
      </c>
      <c r="H365" s="29" t="s">
        <v>1381</v>
      </c>
      <c r="I365" s="29" t="s">
        <v>1848</v>
      </c>
      <c r="J365" s="29" t="n">
        <v>0</v>
      </c>
      <c r="K365" s="29" t="n">
        <v>0</v>
      </c>
      <c r="L365" s="29" t="s">
        <v>1846</v>
      </c>
    </row>
    <row r="366" customFormat="false" ht="15" hidden="false" customHeight="false" outlineLevel="0" collapsed="false">
      <c r="A366" s="29" t="n">
        <v>123542</v>
      </c>
      <c r="B366" s="29" t="s">
        <v>1596</v>
      </c>
      <c r="C366" s="29" t="s">
        <v>1597</v>
      </c>
      <c r="D366" s="29" t="s">
        <v>428</v>
      </c>
      <c r="E366" s="29" t="s">
        <v>429</v>
      </c>
      <c r="F366" s="29" t="s">
        <v>76</v>
      </c>
      <c r="G366" s="29" t="s">
        <v>68</v>
      </c>
      <c r="H366" s="29" t="s">
        <v>1381</v>
      </c>
      <c r="I366" s="29" t="s">
        <v>1872</v>
      </c>
      <c r="J366" s="29" t="n">
        <v>0</v>
      </c>
      <c r="K366" s="29" t="n">
        <v>0</v>
      </c>
      <c r="L366" s="29" t="s">
        <v>1846</v>
      </c>
    </row>
    <row r="367" customFormat="false" ht="15" hidden="false" customHeight="false" outlineLevel="0" collapsed="false">
      <c r="A367" s="29" t="n">
        <v>123542</v>
      </c>
      <c r="B367" s="29" t="s">
        <v>1596</v>
      </c>
      <c r="C367" s="29" t="s">
        <v>1597</v>
      </c>
      <c r="D367" s="29" t="s">
        <v>433</v>
      </c>
      <c r="E367" s="29" t="s">
        <v>434</v>
      </c>
      <c r="F367" s="29" t="s">
        <v>82</v>
      </c>
      <c r="G367" s="29" t="s">
        <v>66</v>
      </c>
      <c r="H367" s="29" t="s">
        <v>1379</v>
      </c>
      <c r="I367" s="29" t="s">
        <v>1863</v>
      </c>
      <c r="J367" s="29" t="n">
        <v>0</v>
      </c>
      <c r="K367" s="29" t="n">
        <v>0</v>
      </c>
      <c r="L367" s="29" t="s">
        <v>1846</v>
      </c>
    </row>
    <row r="368" customFormat="false" ht="15" hidden="false" customHeight="false" outlineLevel="0" collapsed="false">
      <c r="A368" s="29" t="n">
        <v>123542</v>
      </c>
      <c r="B368" s="29" t="s">
        <v>1596</v>
      </c>
      <c r="C368" s="29" t="s">
        <v>1597</v>
      </c>
      <c r="D368" s="29" t="s">
        <v>668</v>
      </c>
      <c r="E368" s="29" t="s">
        <v>669</v>
      </c>
      <c r="F368" s="29" t="s">
        <v>105</v>
      </c>
      <c r="G368" s="29" t="s">
        <v>66</v>
      </c>
      <c r="H368" s="29" t="s">
        <v>1379</v>
      </c>
      <c r="I368" s="29" t="s">
        <v>1863</v>
      </c>
      <c r="J368" s="29" t="n">
        <v>0</v>
      </c>
      <c r="K368" s="29" t="n">
        <v>0</v>
      </c>
      <c r="L368" s="29" t="s">
        <v>1846</v>
      </c>
    </row>
    <row r="369" customFormat="false" ht="15" hidden="false" customHeight="false" outlineLevel="0" collapsed="false">
      <c r="A369" s="29" t="n">
        <v>123542</v>
      </c>
      <c r="B369" s="29" t="s">
        <v>1596</v>
      </c>
      <c r="C369" s="29" t="s">
        <v>1597</v>
      </c>
      <c r="D369" s="29" t="s">
        <v>680</v>
      </c>
      <c r="E369" s="29" t="s">
        <v>681</v>
      </c>
      <c r="F369" s="29" t="s">
        <v>105</v>
      </c>
      <c r="G369" s="29" t="s">
        <v>66</v>
      </c>
      <c r="H369" s="29" t="s">
        <v>1379</v>
      </c>
      <c r="I369" s="29" t="s">
        <v>1863</v>
      </c>
      <c r="J369" s="29" t="n">
        <v>0</v>
      </c>
      <c r="K369" s="29" t="n">
        <v>0</v>
      </c>
      <c r="L369" s="29" t="s">
        <v>1846</v>
      </c>
    </row>
    <row r="370" customFormat="false" ht="15" hidden="false" customHeight="false" outlineLevel="0" collapsed="false">
      <c r="A370" s="29" t="n">
        <v>123542</v>
      </c>
      <c r="B370" s="29" t="s">
        <v>1596</v>
      </c>
      <c r="C370" s="29" t="s">
        <v>1597</v>
      </c>
      <c r="D370" s="29" t="s">
        <v>689</v>
      </c>
      <c r="E370" s="29" t="s">
        <v>690</v>
      </c>
      <c r="F370" s="29" t="s">
        <v>105</v>
      </c>
      <c r="G370" s="29" t="s">
        <v>67</v>
      </c>
      <c r="H370" s="29" t="s">
        <v>1844</v>
      </c>
      <c r="I370" s="29" t="s">
        <v>1872</v>
      </c>
      <c r="J370" s="29" t="n">
        <v>0</v>
      </c>
      <c r="K370" s="29" t="n">
        <v>0</v>
      </c>
      <c r="L370" s="29" t="s">
        <v>1846</v>
      </c>
    </row>
    <row r="371" customFormat="false" ht="15" hidden="false" customHeight="false" outlineLevel="0" collapsed="false">
      <c r="A371" s="29" t="n">
        <v>123542</v>
      </c>
      <c r="B371" s="29" t="s">
        <v>1596</v>
      </c>
      <c r="C371" s="29" t="s">
        <v>1597</v>
      </c>
      <c r="D371" s="29" t="s">
        <v>711</v>
      </c>
      <c r="E371" s="29" t="s">
        <v>712</v>
      </c>
      <c r="F371" s="29" t="s">
        <v>116</v>
      </c>
      <c r="G371" s="29" t="s">
        <v>66</v>
      </c>
      <c r="H371" s="29" t="s">
        <v>1379</v>
      </c>
      <c r="I371" s="29" t="s">
        <v>1863</v>
      </c>
      <c r="J371" s="29" t="n">
        <v>0</v>
      </c>
      <c r="K371" s="29" t="n">
        <v>0</v>
      </c>
      <c r="L371" s="29" t="s">
        <v>1846</v>
      </c>
    </row>
    <row r="372" customFormat="false" ht="15" hidden="false" customHeight="false" outlineLevel="0" collapsed="false">
      <c r="A372" s="29" t="n">
        <v>140486</v>
      </c>
      <c r="B372" s="29" t="s">
        <v>1602</v>
      </c>
      <c r="C372" s="29" t="s">
        <v>1603</v>
      </c>
      <c r="D372" s="29" t="s">
        <v>247</v>
      </c>
      <c r="E372" s="29" t="s">
        <v>248</v>
      </c>
      <c r="F372" s="29" t="s">
        <v>69</v>
      </c>
      <c r="G372" s="29" t="s">
        <v>67</v>
      </c>
      <c r="H372" s="29" t="s">
        <v>1844</v>
      </c>
      <c r="I372" s="29" t="s">
        <v>1848</v>
      </c>
      <c r="J372" s="29" t="n">
        <v>0</v>
      </c>
      <c r="K372" s="29" t="n">
        <v>0</v>
      </c>
      <c r="L372" s="29" t="s">
        <v>1849</v>
      </c>
    </row>
    <row r="373" customFormat="false" ht="15" hidden="false" customHeight="false" outlineLevel="0" collapsed="false">
      <c r="A373" s="29" t="n">
        <v>140486</v>
      </c>
      <c r="B373" s="29" t="s">
        <v>1602</v>
      </c>
      <c r="C373" s="29" t="s">
        <v>1603</v>
      </c>
      <c r="D373" s="29" t="s">
        <v>265</v>
      </c>
      <c r="E373" s="29" t="s">
        <v>266</v>
      </c>
      <c r="F373" s="29" t="s">
        <v>69</v>
      </c>
      <c r="G373" s="29" t="s">
        <v>67</v>
      </c>
      <c r="H373" s="29" t="s">
        <v>1379</v>
      </c>
      <c r="I373" s="29" t="s">
        <v>1863</v>
      </c>
      <c r="J373" s="29" t="n">
        <v>0</v>
      </c>
      <c r="K373" s="29" t="n">
        <v>0</v>
      </c>
      <c r="L373" s="29" t="s">
        <v>1849</v>
      </c>
    </row>
    <row r="374" customFormat="false" ht="15" hidden="false" customHeight="false" outlineLevel="0" collapsed="false">
      <c r="A374" s="29" t="n">
        <v>140486</v>
      </c>
      <c r="B374" s="29" t="s">
        <v>1602</v>
      </c>
      <c r="C374" s="29" t="s">
        <v>1603</v>
      </c>
      <c r="D374" s="29" t="s">
        <v>285</v>
      </c>
      <c r="E374" s="29" t="s">
        <v>286</v>
      </c>
      <c r="F374" s="29" t="s">
        <v>69</v>
      </c>
      <c r="G374" s="29" t="s">
        <v>68</v>
      </c>
      <c r="H374" s="29" t="s">
        <v>1381</v>
      </c>
      <c r="I374" s="29" t="s">
        <v>1864</v>
      </c>
      <c r="J374" s="29" t="n">
        <v>0</v>
      </c>
      <c r="K374" s="29" t="n">
        <v>0</v>
      </c>
      <c r="L374" s="29" t="s">
        <v>1849</v>
      </c>
    </row>
    <row r="375" customFormat="false" ht="15" hidden="false" customHeight="false" outlineLevel="0" collapsed="false">
      <c r="A375" s="29" t="n">
        <v>140486</v>
      </c>
      <c r="B375" s="29" t="s">
        <v>1602</v>
      </c>
      <c r="C375" s="29" t="s">
        <v>1603</v>
      </c>
      <c r="D375" s="29" t="s">
        <v>291</v>
      </c>
      <c r="E375" s="29" t="s">
        <v>292</v>
      </c>
      <c r="F375" s="29" t="s">
        <v>69</v>
      </c>
      <c r="G375" s="29" t="s">
        <v>68</v>
      </c>
      <c r="H375" s="29" t="s">
        <v>1381</v>
      </c>
      <c r="I375" s="29" t="s">
        <v>1877</v>
      </c>
      <c r="J375" s="29" t="n">
        <v>0</v>
      </c>
      <c r="K375" s="29" t="n">
        <v>0</v>
      </c>
      <c r="L375" s="29" t="s">
        <v>1849</v>
      </c>
    </row>
    <row r="376" customFormat="false" ht="15" hidden="false" customHeight="false" outlineLevel="0" collapsed="false">
      <c r="A376" s="29" t="n">
        <v>140486</v>
      </c>
      <c r="B376" s="29" t="s">
        <v>1602</v>
      </c>
      <c r="C376" s="29" t="s">
        <v>1603</v>
      </c>
      <c r="D376" s="29" t="s">
        <v>297</v>
      </c>
      <c r="E376" s="29" t="s">
        <v>298</v>
      </c>
      <c r="F376" s="29" t="s">
        <v>69</v>
      </c>
      <c r="G376" s="29" t="s">
        <v>68</v>
      </c>
      <c r="H376" s="29" t="s">
        <v>1381</v>
      </c>
      <c r="I376" s="29" t="s">
        <v>1848</v>
      </c>
      <c r="J376" s="29" t="n">
        <v>0</v>
      </c>
      <c r="K376" s="29" t="n">
        <v>0</v>
      </c>
      <c r="L376" s="29" t="s">
        <v>1849</v>
      </c>
    </row>
    <row r="377" customFormat="false" ht="15" hidden="false" customHeight="false" outlineLevel="0" collapsed="false">
      <c r="A377" s="29" t="n">
        <v>140486</v>
      </c>
      <c r="B377" s="29" t="s">
        <v>1602</v>
      </c>
      <c r="C377" s="29" t="s">
        <v>1603</v>
      </c>
      <c r="D377" s="29" t="s">
        <v>433</v>
      </c>
      <c r="E377" s="29" t="s">
        <v>434</v>
      </c>
      <c r="F377" s="29" t="s">
        <v>82</v>
      </c>
      <c r="G377" s="29" t="s">
        <v>66</v>
      </c>
      <c r="H377" s="29" t="s">
        <v>1379</v>
      </c>
      <c r="I377" s="29" t="s">
        <v>1863</v>
      </c>
      <c r="J377" s="29" t="n">
        <v>0</v>
      </c>
      <c r="K377" s="29" t="n">
        <v>79</v>
      </c>
      <c r="L377" s="29" t="s">
        <v>1866</v>
      </c>
    </row>
    <row r="378" customFormat="false" ht="15" hidden="false" customHeight="false" outlineLevel="0" collapsed="false">
      <c r="A378" s="29" t="n">
        <v>140486</v>
      </c>
      <c r="B378" s="29" t="s">
        <v>1602</v>
      </c>
      <c r="C378" s="29" t="s">
        <v>1603</v>
      </c>
      <c r="D378" s="29" t="s">
        <v>668</v>
      </c>
      <c r="E378" s="29" t="s">
        <v>669</v>
      </c>
      <c r="F378" s="29" t="s">
        <v>105</v>
      </c>
      <c r="G378" s="29" t="s">
        <v>66</v>
      </c>
      <c r="H378" s="29" t="s">
        <v>1379</v>
      </c>
      <c r="I378" s="29" t="s">
        <v>1863</v>
      </c>
      <c r="J378" s="29" t="n">
        <v>0</v>
      </c>
      <c r="K378" s="29" t="n">
        <v>0</v>
      </c>
      <c r="L378" s="29" t="s">
        <v>1849</v>
      </c>
    </row>
    <row r="379" customFormat="false" ht="15" hidden="false" customHeight="false" outlineLevel="0" collapsed="false">
      <c r="A379" s="29" t="n">
        <v>140486</v>
      </c>
      <c r="B379" s="29" t="s">
        <v>1602</v>
      </c>
      <c r="C379" s="29" t="s">
        <v>1603</v>
      </c>
      <c r="D379" s="29" t="s">
        <v>680</v>
      </c>
      <c r="E379" s="29" t="s">
        <v>681</v>
      </c>
      <c r="F379" s="29" t="s">
        <v>105</v>
      </c>
      <c r="G379" s="29" t="s">
        <v>66</v>
      </c>
      <c r="H379" s="29" t="s">
        <v>1379</v>
      </c>
      <c r="I379" s="29" t="s">
        <v>1863</v>
      </c>
      <c r="J379" s="29" t="n">
        <v>0</v>
      </c>
      <c r="K379" s="29" t="n">
        <v>0</v>
      </c>
      <c r="L379" s="29" t="s">
        <v>1849</v>
      </c>
    </row>
    <row r="380" customFormat="false" ht="15" hidden="false" customHeight="false" outlineLevel="0" collapsed="false">
      <c r="A380" s="29" t="n">
        <v>140486</v>
      </c>
      <c r="B380" s="29" t="s">
        <v>1602</v>
      </c>
      <c r="C380" s="29" t="s">
        <v>1603</v>
      </c>
      <c r="D380" s="29" t="s">
        <v>711</v>
      </c>
      <c r="E380" s="29" t="s">
        <v>712</v>
      </c>
      <c r="F380" s="29" t="s">
        <v>116</v>
      </c>
      <c r="G380" s="29" t="s">
        <v>66</v>
      </c>
      <c r="H380" s="29" t="s">
        <v>1379</v>
      </c>
      <c r="I380" s="29" t="s">
        <v>1863</v>
      </c>
      <c r="J380" s="29" t="n">
        <v>0</v>
      </c>
      <c r="K380" s="29" t="n">
        <v>0</v>
      </c>
      <c r="L380" s="29" t="s">
        <v>1849</v>
      </c>
    </row>
    <row r="381" customFormat="false" ht="15" hidden="false" customHeight="false" outlineLevel="0" collapsed="false">
      <c r="A381" s="29" t="n">
        <v>141031</v>
      </c>
      <c r="B381" s="29" t="s">
        <v>1608</v>
      </c>
      <c r="C381" s="29" t="s">
        <v>1609</v>
      </c>
      <c r="D381" s="29" t="s">
        <v>247</v>
      </c>
      <c r="E381" s="29" t="s">
        <v>248</v>
      </c>
      <c r="F381" s="29" t="s">
        <v>69</v>
      </c>
      <c r="G381" s="29" t="s">
        <v>67</v>
      </c>
      <c r="H381" s="29" t="s">
        <v>1844</v>
      </c>
      <c r="I381" s="29" t="s">
        <v>1848</v>
      </c>
      <c r="J381" s="29" t="n">
        <v>0</v>
      </c>
      <c r="K381" s="29" t="n">
        <v>0</v>
      </c>
      <c r="L381" s="29" t="s">
        <v>1846</v>
      </c>
    </row>
    <row r="382" customFormat="false" ht="15" hidden="false" customHeight="false" outlineLevel="0" collapsed="false">
      <c r="A382" s="29" t="n">
        <v>141031</v>
      </c>
      <c r="B382" s="29" t="s">
        <v>1608</v>
      </c>
      <c r="C382" s="29" t="s">
        <v>1609</v>
      </c>
      <c r="D382" s="29" t="s">
        <v>265</v>
      </c>
      <c r="E382" s="29" t="s">
        <v>266</v>
      </c>
      <c r="F382" s="29" t="s">
        <v>69</v>
      </c>
      <c r="G382" s="29" t="s">
        <v>67</v>
      </c>
      <c r="H382" s="29" t="s">
        <v>1379</v>
      </c>
      <c r="I382" s="29" t="s">
        <v>1863</v>
      </c>
      <c r="J382" s="29" t="n">
        <v>0</v>
      </c>
      <c r="K382" s="29" t="n">
        <v>0</v>
      </c>
      <c r="L382" s="29" t="s">
        <v>1846</v>
      </c>
    </row>
    <row r="383" customFormat="false" ht="15" hidden="false" customHeight="false" outlineLevel="0" collapsed="false">
      <c r="A383" s="29" t="n">
        <v>141031</v>
      </c>
      <c r="B383" s="29" t="s">
        <v>1608</v>
      </c>
      <c r="C383" s="29" t="s">
        <v>1609</v>
      </c>
      <c r="D383" s="29" t="s">
        <v>291</v>
      </c>
      <c r="E383" s="29" t="s">
        <v>292</v>
      </c>
      <c r="F383" s="29" t="s">
        <v>69</v>
      </c>
      <c r="G383" s="29" t="s">
        <v>68</v>
      </c>
      <c r="H383" s="29" t="s">
        <v>1381</v>
      </c>
      <c r="I383" s="29" t="s">
        <v>1845</v>
      </c>
      <c r="J383" s="29" t="n">
        <v>0</v>
      </c>
      <c r="K383" s="29" t="n">
        <v>0</v>
      </c>
      <c r="L383" s="29" t="s">
        <v>1846</v>
      </c>
    </row>
    <row r="384" customFormat="false" ht="15" hidden="false" customHeight="false" outlineLevel="0" collapsed="false">
      <c r="A384" s="29" t="n">
        <v>141031</v>
      </c>
      <c r="B384" s="29" t="s">
        <v>1608</v>
      </c>
      <c r="C384" s="29" t="s">
        <v>1609</v>
      </c>
      <c r="D384" s="29" t="s">
        <v>297</v>
      </c>
      <c r="E384" s="29" t="s">
        <v>298</v>
      </c>
      <c r="F384" s="29" t="s">
        <v>69</v>
      </c>
      <c r="G384" s="29" t="s">
        <v>68</v>
      </c>
      <c r="H384" s="29" t="s">
        <v>1381</v>
      </c>
      <c r="I384" s="29" t="s">
        <v>1848</v>
      </c>
      <c r="J384" s="29" t="n">
        <v>0</v>
      </c>
      <c r="K384" s="29" t="n">
        <v>0</v>
      </c>
      <c r="L384" s="29" t="s">
        <v>1846</v>
      </c>
    </row>
    <row r="385" customFormat="false" ht="15" hidden="false" customHeight="false" outlineLevel="0" collapsed="false">
      <c r="A385" s="29" t="n">
        <v>141031</v>
      </c>
      <c r="B385" s="29" t="s">
        <v>1608</v>
      </c>
      <c r="C385" s="29" t="s">
        <v>1609</v>
      </c>
      <c r="D385" s="29" t="s">
        <v>433</v>
      </c>
      <c r="E385" s="29" t="s">
        <v>434</v>
      </c>
      <c r="F385" s="29" t="s">
        <v>82</v>
      </c>
      <c r="G385" s="29" t="s">
        <v>66</v>
      </c>
      <c r="H385" s="29" t="s">
        <v>1379</v>
      </c>
      <c r="I385" s="29" t="s">
        <v>1863</v>
      </c>
      <c r="J385" s="29" t="n">
        <v>0</v>
      </c>
      <c r="K385" s="29" t="n">
        <v>0</v>
      </c>
      <c r="L385" s="29" t="s">
        <v>1846</v>
      </c>
    </row>
    <row r="386" customFormat="false" ht="15" hidden="false" customHeight="false" outlineLevel="0" collapsed="false">
      <c r="A386" s="29" t="n">
        <v>141031</v>
      </c>
      <c r="B386" s="29" t="s">
        <v>1608</v>
      </c>
      <c r="C386" s="29" t="s">
        <v>1609</v>
      </c>
      <c r="D386" s="29" t="s">
        <v>668</v>
      </c>
      <c r="E386" s="29" t="s">
        <v>669</v>
      </c>
      <c r="F386" s="29" t="s">
        <v>105</v>
      </c>
      <c r="G386" s="29" t="s">
        <v>66</v>
      </c>
      <c r="H386" s="29" t="s">
        <v>1379</v>
      </c>
      <c r="I386" s="29" t="s">
        <v>1863</v>
      </c>
      <c r="J386" s="29" t="n">
        <v>0</v>
      </c>
      <c r="K386" s="29" t="n">
        <v>0</v>
      </c>
      <c r="L386" s="29" t="s">
        <v>1846</v>
      </c>
    </row>
    <row r="387" customFormat="false" ht="15" hidden="false" customHeight="false" outlineLevel="0" collapsed="false">
      <c r="A387" s="29" t="n">
        <v>141031</v>
      </c>
      <c r="B387" s="29" t="s">
        <v>1608</v>
      </c>
      <c r="C387" s="29" t="s">
        <v>1609</v>
      </c>
      <c r="D387" s="29" t="s">
        <v>680</v>
      </c>
      <c r="E387" s="29" t="s">
        <v>681</v>
      </c>
      <c r="F387" s="29" t="s">
        <v>105</v>
      </c>
      <c r="G387" s="29" t="s">
        <v>66</v>
      </c>
      <c r="H387" s="29" t="s">
        <v>1379</v>
      </c>
      <c r="I387" s="29" t="s">
        <v>1863</v>
      </c>
      <c r="J387" s="29" t="n">
        <v>0</v>
      </c>
      <c r="K387" s="29" t="n">
        <v>0</v>
      </c>
      <c r="L387" s="29" t="s">
        <v>1846</v>
      </c>
    </row>
    <row r="388" customFormat="false" ht="15" hidden="false" customHeight="false" outlineLevel="0" collapsed="false">
      <c r="A388" s="29" t="n">
        <v>141031</v>
      </c>
      <c r="B388" s="29" t="s">
        <v>1608</v>
      </c>
      <c r="C388" s="29" t="s">
        <v>1609</v>
      </c>
      <c r="D388" s="29" t="s">
        <v>711</v>
      </c>
      <c r="E388" s="29" t="s">
        <v>712</v>
      </c>
      <c r="F388" s="29" t="s">
        <v>116</v>
      </c>
      <c r="G388" s="29" t="s">
        <v>66</v>
      </c>
      <c r="H388" s="29" t="s">
        <v>1379</v>
      </c>
      <c r="I388" s="29" t="s">
        <v>1863</v>
      </c>
      <c r="J388" s="29" t="n">
        <v>0</v>
      </c>
      <c r="K388" s="29" t="n">
        <v>0</v>
      </c>
      <c r="L388" s="29" t="s">
        <v>1846</v>
      </c>
    </row>
    <row r="389" customFormat="false" ht="15" hidden="false" customHeight="false" outlineLevel="0" collapsed="false">
      <c r="A389" s="29" t="n">
        <v>131426</v>
      </c>
      <c r="B389" s="29" t="s">
        <v>1613</v>
      </c>
      <c r="C389" s="29" t="s">
        <v>1614</v>
      </c>
      <c r="D389" s="29" t="s">
        <v>247</v>
      </c>
      <c r="E389" s="29" t="s">
        <v>248</v>
      </c>
      <c r="F389" s="29" t="s">
        <v>69</v>
      </c>
      <c r="G389" s="29" t="s">
        <v>67</v>
      </c>
      <c r="H389" s="29" t="s">
        <v>1844</v>
      </c>
      <c r="I389" s="29" t="s">
        <v>1848</v>
      </c>
      <c r="J389" s="29" t="n">
        <v>0</v>
      </c>
      <c r="K389" s="29" t="n">
        <v>0</v>
      </c>
      <c r="L389" s="29" t="s">
        <v>1846</v>
      </c>
    </row>
    <row r="390" customFormat="false" ht="15" hidden="false" customHeight="false" outlineLevel="0" collapsed="false">
      <c r="A390" s="29" t="n">
        <v>131426</v>
      </c>
      <c r="B390" s="29" t="s">
        <v>1613</v>
      </c>
      <c r="C390" s="29" t="s">
        <v>1614</v>
      </c>
      <c r="D390" s="29" t="s">
        <v>297</v>
      </c>
      <c r="E390" s="29" t="s">
        <v>298</v>
      </c>
      <c r="F390" s="29" t="s">
        <v>69</v>
      </c>
      <c r="G390" s="29" t="s">
        <v>68</v>
      </c>
      <c r="H390" s="29" t="s">
        <v>1381</v>
      </c>
      <c r="I390" s="29" t="s">
        <v>1848</v>
      </c>
      <c r="J390" s="29" t="n">
        <v>0</v>
      </c>
      <c r="K390" s="29" t="n">
        <v>0</v>
      </c>
      <c r="L390" s="29" t="s">
        <v>1846</v>
      </c>
    </row>
    <row r="391" customFormat="false" ht="15" hidden="false" customHeight="false" outlineLevel="0" collapsed="false">
      <c r="A391" s="29" t="n">
        <v>131426</v>
      </c>
      <c r="B391" s="29" t="s">
        <v>1613</v>
      </c>
      <c r="C391" s="29" t="s">
        <v>1614</v>
      </c>
      <c r="D391" s="29" t="s">
        <v>581</v>
      </c>
      <c r="E391" s="29" t="s">
        <v>582</v>
      </c>
      <c r="F391" s="29" t="s">
        <v>93</v>
      </c>
      <c r="G391" s="29" t="s">
        <v>67</v>
      </c>
      <c r="H391" s="29" t="s">
        <v>1844</v>
      </c>
      <c r="I391" s="29" t="s">
        <v>1858</v>
      </c>
      <c r="J391" s="29" t="n">
        <v>0</v>
      </c>
      <c r="K391" s="29" t="n">
        <v>0</v>
      </c>
      <c r="L391" s="29" t="s">
        <v>1846</v>
      </c>
    </row>
    <row r="392" customFormat="false" ht="15" hidden="false" customHeight="false" outlineLevel="0" collapsed="false">
      <c r="A392" s="29" t="n">
        <v>131426</v>
      </c>
      <c r="B392" s="29" t="s">
        <v>1613</v>
      </c>
      <c r="C392" s="29" t="s">
        <v>1614</v>
      </c>
      <c r="D392" s="29" t="s">
        <v>627</v>
      </c>
      <c r="E392" s="29" t="s">
        <v>628</v>
      </c>
      <c r="F392" s="29" t="s">
        <v>93</v>
      </c>
      <c r="G392" s="29" t="s">
        <v>68</v>
      </c>
      <c r="H392" s="29" t="s">
        <v>1381</v>
      </c>
      <c r="I392" s="29" t="s">
        <v>1858</v>
      </c>
      <c r="J392" s="29" t="n">
        <v>0</v>
      </c>
      <c r="K392" s="29" t="n">
        <v>0</v>
      </c>
      <c r="L392" s="29" t="s">
        <v>1846</v>
      </c>
    </row>
    <row r="393" customFormat="false" ht="15" hidden="false" customHeight="false" outlineLevel="0" collapsed="false">
      <c r="A393" s="29" t="n">
        <v>131426</v>
      </c>
      <c r="B393" s="29" t="s">
        <v>1613</v>
      </c>
      <c r="C393" s="29" t="s">
        <v>1614</v>
      </c>
      <c r="D393" s="29" t="s">
        <v>636</v>
      </c>
      <c r="E393" s="29" t="s">
        <v>637</v>
      </c>
      <c r="F393" s="29" t="s">
        <v>93</v>
      </c>
      <c r="G393" s="29" t="s">
        <v>68</v>
      </c>
      <c r="H393" s="29" t="s">
        <v>1381</v>
      </c>
      <c r="I393" s="29" t="s">
        <v>1858</v>
      </c>
      <c r="J393" s="29" t="n">
        <v>0</v>
      </c>
      <c r="K393" s="29" t="n">
        <v>0</v>
      </c>
      <c r="L393" s="29" t="s">
        <v>1846</v>
      </c>
    </row>
    <row r="394" customFormat="false" ht="15" hidden="false" customHeight="false" outlineLevel="0" collapsed="false">
      <c r="A394" s="29" t="n">
        <v>131427</v>
      </c>
      <c r="B394" s="29" t="s">
        <v>1619</v>
      </c>
      <c r="C394" s="29" t="s">
        <v>1620</v>
      </c>
      <c r="D394" s="29" t="s">
        <v>247</v>
      </c>
      <c r="E394" s="29" t="s">
        <v>248</v>
      </c>
      <c r="F394" s="29" t="s">
        <v>69</v>
      </c>
      <c r="G394" s="29" t="s">
        <v>67</v>
      </c>
      <c r="H394" s="29" t="s">
        <v>1844</v>
      </c>
      <c r="I394" s="29" t="s">
        <v>1848</v>
      </c>
      <c r="J394" s="29" t="n">
        <v>0</v>
      </c>
      <c r="K394" s="29" t="n">
        <v>0</v>
      </c>
      <c r="L394" s="29" t="s">
        <v>1846</v>
      </c>
    </row>
    <row r="395" customFormat="false" ht="15" hidden="false" customHeight="false" outlineLevel="0" collapsed="false">
      <c r="A395" s="29" t="n">
        <v>131427</v>
      </c>
      <c r="B395" s="29" t="s">
        <v>1619</v>
      </c>
      <c r="C395" s="29" t="s">
        <v>1620</v>
      </c>
      <c r="D395" s="29" t="s">
        <v>297</v>
      </c>
      <c r="E395" s="29" t="s">
        <v>298</v>
      </c>
      <c r="F395" s="29" t="s">
        <v>69</v>
      </c>
      <c r="G395" s="29" t="s">
        <v>68</v>
      </c>
      <c r="H395" s="29" t="s">
        <v>1381</v>
      </c>
      <c r="I395" s="29" t="s">
        <v>1848</v>
      </c>
      <c r="J395" s="29" t="n">
        <v>0</v>
      </c>
      <c r="K395" s="29" t="n">
        <v>0</v>
      </c>
      <c r="L395" s="29" t="s">
        <v>1846</v>
      </c>
    </row>
    <row r="396" customFormat="false" ht="15" hidden="false" customHeight="false" outlineLevel="0" collapsed="false">
      <c r="A396" s="29" t="n">
        <v>131427</v>
      </c>
      <c r="B396" s="29" t="s">
        <v>1619</v>
      </c>
      <c r="C396" s="29" t="s">
        <v>1620</v>
      </c>
      <c r="D396" s="29" t="s">
        <v>581</v>
      </c>
      <c r="E396" s="29" t="s">
        <v>582</v>
      </c>
      <c r="F396" s="29" t="s">
        <v>93</v>
      </c>
      <c r="G396" s="29" t="s">
        <v>67</v>
      </c>
      <c r="H396" s="29" t="s">
        <v>1844</v>
      </c>
      <c r="I396" s="29" t="s">
        <v>1858</v>
      </c>
      <c r="J396" s="29" t="n">
        <v>0</v>
      </c>
      <c r="K396" s="29" t="n">
        <v>0</v>
      </c>
      <c r="L396" s="29" t="s">
        <v>1846</v>
      </c>
    </row>
    <row r="397" customFormat="false" ht="15" hidden="false" customHeight="false" outlineLevel="0" collapsed="false">
      <c r="A397" s="29" t="n">
        <v>131427</v>
      </c>
      <c r="B397" s="29" t="s">
        <v>1619</v>
      </c>
      <c r="C397" s="29" t="s">
        <v>1620</v>
      </c>
      <c r="D397" s="29" t="s">
        <v>627</v>
      </c>
      <c r="E397" s="29" t="s">
        <v>628</v>
      </c>
      <c r="F397" s="29" t="s">
        <v>93</v>
      </c>
      <c r="G397" s="29" t="s">
        <v>68</v>
      </c>
      <c r="H397" s="29" t="s">
        <v>1381</v>
      </c>
      <c r="I397" s="29" t="s">
        <v>1858</v>
      </c>
      <c r="J397" s="29" t="n">
        <v>0</v>
      </c>
      <c r="K397" s="29" t="n">
        <v>0</v>
      </c>
      <c r="L397" s="29" t="s">
        <v>1846</v>
      </c>
    </row>
    <row r="398" customFormat="false" ht="15" hidden="false" customHeight="false" outlineLevel="0" collapsed="false">
      <c r="A398" s="29" t="n">
        <v>131427</v>
      </c>
      <c r="B398" s="29" t="s">
        <v>1619</v>
      </c>
      <c r="C398" s="29" t="s">
        <v>1620</v>
      </c>
      <c r="D398" s="29" t="s">
        <v>636</v>
      </c>
      <c r="E398" s="29" t="s">
        <v>637</v>
      </c>
      <c r="F398" s="29" t="s">
        <v>93</v>
      </c>
      <c r="G398" s="29" t="s">
        <v>68</v>
      </c>
      <c r="H398" s="29" t="s">
        <v>1381</v>
      </c>
      <c r="I398" s="29" t="s">
        <v>1858</v>
      </c>
      <c r="J398" s="29" t="n">
        <v>0</v>
      </c>
      <c r="K398" s="29" t="n">
        <v>0</v>
      </c>
      <c r="L398" s="29" t="s">
        <v>1846</v>
      </c>
    </row>
    <row r="399" customFormat="false" ht="15" hidden="false" customHeight="false" outlineLevel="0" collapsed="false">
      <c r="A399" s="29" t="n">
        <v>141054</v>
      </c>
      <c r="B399" s="29" t="s">
        <v>1623</v>
      </c>
      <c r="C399" s="29" t="s">
        <v>1624</v>
      </c>
      <c r="D399" s="29" t="s">
        <v>451</v>
      </c>
      <c r="E399" s="29" t="s">
        <v>452</v>
      </c>
      <c r="F399" s="29" t="s">
        <v>82</v>
      </c>
      <c r="G399" s="29" t="s">
        <v>67</v>
      </c>
      <c r="H399" s="29" t="s">
        <v>1844</v>
      </c>
      <c r="I399" s="29" t="s">
        <v>1869</v>
      </c>
      <c r="J399" s="29" t="n">
        <v>0</v>
      </c>
      <c r="K399" s="29" t="n">
        <v>0</v>
      </c>
      <c r="L399" s="29" t="s">
        <v>1846</v>
      </c>
    </row>
    <row r="400" customFormat="false" ht="15" hidden="false" customHeight="false" outlineLevel="0" collapsed="false">
      <c r="A400" s="29" t="n">
        <v>141054</v>
      </c>
      <c r="B400" s="29" t="s">
        <v>1623</v>
      </c>
      <c r="C400" s="29" t="s">
        <v>1624</v>
      </c>
      <c r="D400" s="29" t="s">
        <v>459</v>
      </c>
      <c r="E400" s="29" t="s">
        <v>460</v>
      </c>
      <c r="F400" s="29" t="s">
        <v>82</v>
      </c>
      <c r="G400" s="29" t="s">
        <v>67</v>
      </c>
      <c r="H400" s="29" t="s">
        <v>1844</v>
      </c>
      <c r="I400" s="29" t="s">
        <v>1869</v>
      </c>
      <c r="J400" s="29" t="n">
        <v>0</v>
      </c>
      <c r="K400" s="29" t="n">
        <v>5</v>
      </c>
      <c r="L400" s="29" t="s">
        <v>1866</v>
      </c>
    </row>
    <row r="401" customFormat="false" ht="15" hidden="false" customHeight="false" outlineLevel="0" collapsed="false">
      <c r="A401" s="29" t="n">
        <v>141054</v>
      </c>
      <c r="B401" s="29" t="s">
        <v>1623</v>
      </c>
      <c r="C401" s="29" t="s">
        <v>1624</v>
      </c>
      <c r="D401" s="29" t="s">
        <v>466</v>
      </c>
      <c r="E401" s="29" t="s">
        <v>467</v>
      </c>
      <c r="F401" s="29" t="s">
        <v>82</v>
      </c>
      <c r="G401" s="29" t="s">
        <v>67</v>
      </c>
      <c r="H401" s="29" t="s">
        <v>1844</v>
      </c>
      <c r="I401" s="29" t="s">
        <v>1869</v>
      </c>
      <c r="J401" s="29" t="n">
        <v>0</v>
      </c>
      <c r="K401" s="29" t="n">
        <v>0</v>
      </c>
      <c r="L401" s="29" t="s">
        <v>1846</v>
      </c>
    </row>
    <row r="402" customFormat="false" ht="15" hidden="false" customHeight="false" outlineLevel="0" collapsed="false">
      <c r="A402" s="29" t="n">
        <v>141054</v>
      </c>
      <c r="B402" s="29" t="s">
        <v>1623</v>
      </c>
      <c r="C402" s="29" t="s">
        <v>1624</v>
      </c>
      <c r="D402" s="29" t="s">
        <v>486</v>
      </c>
      <c r="E402" s="29" t="s">
        <v>487</v>
      </c>
      <c r="F402" s="29" t="s">
        <v>82</v>
      </c>
      <c r="G402" s="29" t="s">
        <v>67</v>
      </c>
      <c r="H402" s="29" t="s">
        <v>1844</v>
      </c>
      <c r="I402" s="29" t="s">
        <v>1862</v>
      </c>
      <c r="J402" s="29" t="n">
        <v>0</v>
      </c>
      <c r="K402" s="29" t="n">
        <v>0</v>
      </c>
      <c r="L402" s="29" t="s">
        <v>1846</v>
      </c>
    </row>
    <row r="403" customFormat="false" ht="15" hidden="false" customHeight="false" outlineLevel="0" collapsed="false">
      <c r="A403" s="29" t="n">
        <v>141054</v>
      </c>
      <c r="B403" s="29" t="s">
        <v>1623</v>
      </c>
      <c r="C403" s="29" t="s">
        <v>1624</v>
      </c>
      <c r="D403" s="29" t="s">
        <v>500</v>
      </c>
      <c r="E403" s="29" t="s">
        <v>501</v>
      </c>
      <c r="F403" s="29" t="s">
        <v>82</v>
      </c>
      <c r="G403" s="29" t="s">
        <v>68</v>
      </c>
      <c r="H403" s="29" t="s">
        <v>1381</v>
      </c>
      <c r="I403" s="29" t="s">
        <v>1862</v>
      </c>
      <c r="J403" s="29" t="n">
        <v>0</v>
      </c>
      <c r="K403" s="29" t="n">
        <v>0</v>
      </c>
      <c r="L403" s="29" t="s">
        <v>1846</v>
      </c>
    </row>
    <row r="404" customFormat="false" ht="15" hidden="false" customHeight="false" outlineLevel="0" collapsed="false">
      <c r="A404" s="29" t="n">
        <v>141054</v>
      </c>
      <c r="B404" s="29" t="s">
        <v>1623</v>
      </c>
      <c r="C404" s="29" t="s">
        <v>1624</v>
      </c>
      <c r="D404" s="29" t="s">
        <v>590</v>
      </c>
      <c r="E404" s="29" t="s">
        <v>591</v>
      </c>
      <c r="F404" s="29" t="s">
        <v>93</v>
      </c>
      <c r="G404" s="29" t="s">
        <v>67</v>
      </c>
      <c r="H404" s="29" t="s">
        <v>1844</v>
      </c>
      <c r="I404" s="29" t="s">
        <v>1859</v>
      </c>
      <c r="J404" s="29" t="n">
        <v>0</v>
      </c>
      <c r="K404" s="29" t="n">
        <v>3</v>
      </c>
      <c r="L404" s="29" t="s">
        <v>1866</v>
      </c>
    </row>
    <row r="405" customFormat="false" ht="15" hidden="false" customHeight="false" outlineLevel="0" collapsed="false">
      <c r="A405" s="29" t="n">
        <v>141054</v>
      </c>
      <c r="B405" s="29" t="s">
        <v>1623</v>
      </c>
      <c r="C405" s="29" t="s">
        <v>1624</v>
      </c>
      <c r="D405" s="29" t="s">
        <v>597</v>
      </c>
      <c r="E405" s="29" t="s">
        <v>598</v>
      </c>
      <c r="F405" s="29" t="s">
        <v>93</v>
      </c>
      <c r="G405" s="29" t="s">
        <v>67</v>
      </c>
      <c r="H405" s="29" t="s">
        <v>1844</v>
      </c>
      <c r="I405" s="29" t="s">
        <v>1859</v>
      </c>
      <c r="J405" s="29" t="n">
        <v>0</v>
      </c>
      <c r="K405" s="29" t="n">
        <v>0</v>
      </c>
      <c r="L405" s="29" t="s">
        <v>1846</v>
      </c>
    </row>
    <row r="406" customFormat="false" ht="15" hidden="false" customHeight="false" outlineLevel="0" collapsed="false">
      <c r="A406" s="29" t="n">
        <v>141054</v>
      </c>
      <c r="B406" s="29" t="s">
        <v>1623</v>
      </c>
      <c r="C406" s="29" t="s">
        <v>1624</v>
      </c>
      <c r="D406" s="29" t="s">
        <v>604</v>
      </c>
      <c r="E406" s="29" t="s">
        <v>605</v>
      </c>
      <c r="F406" s="29" t="s">
        <v>93</v>
      </c>
      <c r="G406" s="29" t="s">
        <v>68</v>
      </c>
      <c r="H406" s="29" t="s">
        <v>1381</v>
      </c>
      <c r="I406" s="29" t="s">
        <v>1859</v>
      </c>
      <c r="J406" s="29" t="n">
        <v>0</v>
      </c>
      <c r="K406" s="29" t="n">
        <v>0</v>
      </c>
      <c r="L406" s="29" t="s">
        <v>1846</v>
      </c>
    </row>
    <row r="407" customFormat="false" ht="15" hidden="false" customHeight="false" outlineLevel="0" collapsed="false">
      <c r="A407" s="29" t="n">
        <v>141054</v>
      </c>
      <c r="B407" s="29" t="s">
        <v>1623</v>
      </c>
      <c r="C407" s="29" t="s">
        <v>1624</v>
      </c>
      <c r="D407" s="29" t="s">
        <v>612</v>
      </c>
      <c r="E407" s="29" t="s">
        <v>613</v>
      </c>
      <c r="F407" s="29" t="s">
        <v>93</v>
      </c>
      <c r="G407" s="29" t="s">
        <v>68</v>
      </c>
      <c r="H407" s="29" t="s">
        <v>1381</v>
      </c>
      <c r="I407" s="29" t="s">
        <v>1859</v>
      </c>
      <c r="J407" s="29" t="n">
        <v>0</v>
      </c>
      <c r="K407" s="29" t="n">
        <v>0</v>
      </c>
      <c r="L407" s="29" t="s">
        <v>1846</v>
      </c>
    </row>
    <row r="408" customFormat="false" ht="15" hidden="false" customHeight="false" outlineLevel="0" collapsed="false">
      <c r="A408" s="29" t="n">
        <v>141054</v>
      </c>
      <c r="B408" s="29" t="s">
        <v>1623</v>
      </c>
      <c r="C408" s="29" t="s">
        <v>1624</v>
      </c>
      <c r="D408" s="29" t="s">
        <v>618</v>
      </c>
      <c r="E408" s="29" t="s">
        <v>619</v>
      </c>
      <c r="F408" s="29" t="s">
        <v>93</v>
      </c>
      <c r="G408" s="29" t="s">
        <v>68</v>
      </c>
      <c r="H408" s="29" t="s">
        <v>1381</v>
      </c>
      <c r="I408" s="29" t="s">
        <v>1859</v>
      </c>
      <c r="J408" s="29" t="n">
        <v>0</v>
      </c>
      <c r="K408" s="29" t="n">
        <v>0</v>
      </c>
      <c r="L408" s="29" t="s">
        <v>1846</v>
      </c>
    </row>
    <row r="409" customFormat="false" ht="15" hidden="false" customHeight="false" outlineLevel="0" collapsed="false">
      <c r="A409" s="29" t="n">
        <v>141098</v>
      </c>
      <c r="B409" s="29" t="s">
        <v>1629</v>
      </c>
      <c r="C409" s="29" t="s">
        <v>1630</v>
      </c>
      <c r="D409" s="29" t="s">
        <v>353</v>
      </c>
      <c r="E409" s="29" t="s">
        <v>354</v>
      </c>
      <c r="F409" s="29" t="s">
        <v>76</v>
      </c>
      <c r="G409" s="29" t="s">
        <v>67</v>
      </c>
      <c r="H409" s="29" t="s">
        <v>1844</v>
      </c>
      <c r="I409" s="29" t="s">
        <v>1853</v>
      </c>
      <c r="J409" s="29" t="n">
        <v>0</v>
      </c>
      <c r="K409" s="29" t="n">
        <v>8</v>
      </c>
      <c r="L409" s="29" t="s">
        <v>1866</v>
      </c>
    </row>
    <row r="410" customFormat="false" ht="15" hidden="false" customHeight="false" outlineLevel="0" collapsed="false">
      <c r="A410" s="29" t="n">
        <v>141098</v>
      </c>
      <c r="B410" s="29" t="s">
        <v>1629</v>
      </c>
      <c r="C410" s="29" t="s">
        <v>1630</v>
      </c>
      <c r="D410" s="29" t="s">
        <v>387</v>
      </c>
      <c r="E410" s="29" t="s">
        <v>388</v>
      </c>
      <c r="F410" s="29" t="s">
        <v>76</v>
      </c>
      <c r="G410" s="29" t="s">
        <v>68</v>
      </c>
      <c r="H410" s="29" t="s">
        <v>1381</v>
      </c>
      <c r="I410" s="29" t="s">
        <v>1853</v>
      </c>
      <c r="J410" s="29" t="n">
        <v>0</v>
      </c>
      <c r="K410" s="29" t="n">
        <v>0</v>
      </c>
      <c r="L410" s="29" t="s">
        <v>1849</v>
      </c>
    </row>
    <row r="411" customFormat="false" ht="15" hidden="false" customHeight="false" outlineLevel="0" collapsed="false">
      <c r="A411" s="29" t="n">
        <v>141098</v>
      </c>
      <c r="B411" s="29" t="s">
        <v>1629</v>
      </c>
      <c r="C411" s="29" t="s">
        <v>1630</v>
      </c>
      <c r="D411" s="29" t="s">
        <v>396</v>
      </c>
      <c r="E411" s="29" t="s">
        <v>397</v>
      </c>
      <c r="F411" s="29" t="s">
        <v>76</v>
      </c>
      <c r="G411" s="29" t="s">
        <v>68</v>
      </c>
      <c r="H411" s="29" t="s">
        <v>1381</v>
      </c>
      <c r="I411" s="29" t="s">
        <v>1853</v>
      </c>
      <c r="J411" s="29" t="n">
        <v>0</v>
      </c>
      <c r="K411" s="29" t="n">
        <v>0</v>
      </c>
      <c r="L411" s="29" t="s">
        <v>1849</v>
      </c>
    </row>
    <row r="412" customFormat="false" ht="15" hidden="false" customHeight="false" outlineLevel="0" collapsed="false">
      <c r="A412" s="29" t="n">
        <v>141098</v>
      </c>
      <c r="B412" s="29" t="s">
        <v>1629</v>
      </c>
      <c r="C412" s="29" t="s">
        <v>1630</v>
      </c>
      <c r="D412" s="29" t="s">
        <v>428</v>
      </c>
      <c r="E412" s="29" t="s">
        <v>429</v>
      </c>
      <c r="F412" s="29" t="s">
        <v>76</v>
      </c>
      <c r="G412" s="29" t="s">
        <v>68</v>
      </c>
      <c r="H412" s="29" t="s">
        <v>1381</v>
      </c>
      <c r="I412" s="29" t="s">
        <v>1878</v>
      </c>
      <c r="J412" s="29" t="n">
        <v>0</v>
      </c>
      <c r="K412" s="29" t="n">
        <v>0</v>
      </c>
      <c r="L412" s="29" t="s">
        <v>1849</v>
      </c>
    </row>
    <row r="413" customFormat="false" ht="15" hidden="false" customHeight="false" outlineLevel="0" collapsed="false">
      <c r="A413" s="29" t="n">
        <v>141098</v>
      </c>
      <c r="B413" s="29" t="s">
        <v>1629</v>
      </c>
      <c r="C413" s="29" t="s">
        <v>1630</v>
      </c>
      <c r="D413" s="29" t="s">
        <v>443</v>
      </c>
      <c r="E413" s="29" t="s">
        <v>444</v>
      </c>
      <c r="F413" s="29" t="s">
        <v>82</v>
      </c>
      <c r="G413" s="29" t="s">
        <v>67</v>
      </c>
      <c r="H413" s="29" t="s">
        <v>1844</v>
      </c>
      <c r="I413" s="29" t="s">
        <v>1868</v>
      </c>
      <c r="J413" s="29" t="n">
        <v>0</v>
      </c>
      <c r="K413" s="29" t="n">
        <v>1</v>
      </c>
      <c r="L413" s="29" t="s">
        <v>1866</v>
      </c>
    </row>
    <row r="414" customFormat="false" ht="15" hidden="false" customHeight="false" outlineLevel="0" collapsed="false">
      <c r="A414" s="29" t="n">
        <v>141098</v>
      </c>
      <c r="B414" s="29" t="s">
        <v>1629</v>
      </c>
      <c r="C414" s="29" t="s">
        <v>1630</v>
      </c>
      <c r="D414" s="29" t="s">
        <v>472</v>
      </c>
      <c r="E414" s="29" t="s">
        <v>473</v>
      </c>
      <c r="F414" s="29" t="s">
        <v>82</v>
      </c>
      <c r="G414" s="29" t="s">
        <v>67</v>
      </c>
      <c r="H414" s="29" t="s">
        <v>1844</v>
      </c>
      <c r="I414" s="29" t="s">
        <v>1868</v>
      </c>
      <c r="J414" s="29" t="n">
        <v>0</v>
      </c>
      <c r="K414" s="29" t="n">
        <v>0</v>
      </c>
      <c r="L414" s="29" t="s">
        <v>1849</v>
      </c>
    </row>
    <row r="415" customFormat="false" ht="15" hidden="false" customHeight="false" outlineLevel="0" collapsed="false">
      <c r="A415" s="29" t="n">
        <v>141098</v>
      </c>
      <c r="B415" s="29" t="s">
        <v>1629</v>
      </c>
      <c r="C415" s="29" t="s">
        <v>1630</v>
      </c>
      <c r="D415" s="29" t="s">
        <v>477</v>
      </c>
      <c r="E415" s="29" t="s">
        <v>478</v>
      </c>
      <c r="F415" s="29" t="s">
        <v>82</v>
      </c>
      <c r="G415" s="29" t="s">
        <v>67</v>
      </c>
      <c r="H415" s="29" t="s">
        <v>1844</v>
      </c>
      <c r="I415" s="29" t="s">
        <v>1868</v>
      </c>
      <c r="J415" s="29" t="n">
        <v>0</v>
      </c>
      <c r="K415" s="29" t="n">
        <v>0</v>
      </c>
      <c r="L415" s="29" t="s">
        <v>1849</v>
      </c>
    </row>
    <row r="416" customFormat="false" ht="15" hidden="false" customHeight="false" outlineLevel="0" collapsed="false">
      <c r="A416" s="29" t="n">
        <v>141098</v>
      </c>
      <c r="B416" s="29" t="s">
        <v>1629</v>
      </c>
      <c r="C416" s="29" t="s">
        <v>1630</v>
      </c>
      <c r="D416" s="29" t="s">
        <v>689</v>
      </c>
      <c r="E416" s="29" t="s">
        <v>690</v>
      </c>
      <c r="F416" s="29" t="s">
        <v>105</v>
      </c>
      <c r="G416" s="29" t="s">
        <v>67</v>
      </c>
      <c r="H416" s="29" t="s">
        <v>1844</v>
      </c>
      <c r="I416" s="29" t="s">
        <v>1872</v>
      </c>
      <c r="J416" s="29" t="n">
        <v>0</v>
      </c>
      <c r="K416" s="29" t="n">
        <v>3</v>
      </c>
      <c r="L416" s="29" t="s">
        <v>1866</v>
      </c>
    </row>
    <row r="417" customFormat="false" ht="15" hidden="false" customHeight="false" outlineLevel="0" collapsed="false">
      <c r="A417" s="29" t="n">
        <v>130492</v>
      </c>
      <c r="B417" s="29" t="s">
        <v>1638</v>
      </c>
      <c r="C417" s="29" t="s">
        <v>1640</v>
      </c>
      <c r="D417" s="29" t="s">
        <v>247</v>
      </c>
      <c r="E417" s="29" t="s">
        <v>248</v>
      </c>
      <c r="F417" s="29" t="s">
        <v>69</v>
      </c>
      <c r="G417" s="29" t="s">
        <v>67</v>
      </c>
      <c r="H417" s="29" t="s">
        <v>1844</v>
      </c>
      <c r="I417" s="29" t="s">
        <v>1848</v>
      </c>
      <c r="J417" s="29" t="n">
        <v>0</v>
      </c>
      <c r="K417" s="29" t="n">
        <v>0</v>
      </c>
      <c r="L417" s="29" t="s">
        <v>1849</v>
      </c>
    </row>
    <row r="418" customFormat="false" ht="15" hidden="false" customHeight="false" outlineLevel="0" collapsed="false">
      <c r="A418" s="29" t="n">
        <v>130492</v>
      </c>
      <c r="B418" s="29" t="s">
        <v>1638</v>
      </c>
      <c r="C418" s="29" t="s">
        <v>1640</v>
      </c>
      <c r="D418" s="29" t="s">
        <v>277</v>
      </c>
      <c r="E418" s="29" t="s">
        <v>278</v>
      </c>
      <c r="F418" s="29" t="s">
        <v>69</v>
      </c>
      <c r="G418" s="29" t="s">
        <v>67</v>
      </c>
      <c r="H418" s="29" t="s">
        <v>1379</v>
      </c>
      <c r="I418" s="29" t="s">
        <v>1850</v>
      </c>
      <c r="J418" s="29" t="n">
        <v>0</v>
      </c>
      <c r="K418" s="29" t="n">
        <v>0</v>
      </c>
      <c r="L418" s="29" t="s">
        <v>1849</v>
      </c>
    </row>
    <row r="419" customFormat="false" ht="15" hidden="false" customHeight="false" outlineLevel="0" collapsed="false">
      <c r="A419" s="29" t="n">
        <v>130492</v>
      </c>
      <c r="B419" s="29" t="s">
        <v>1638</v>
      </c>
      <c r="C419" s="29" t="s">
        <v>1640</v>
      </c>
      <c r="D419" s="29" t="s">
        <v>297</v>
      </c>
      <c r="E419" s="29" t="s">
        <v>298</v>
      </c>
      <c r="F419" s="29" t="s">
        <v>69</v>
      </c>
      <c r="G419" s="29" t="s">
        <v>68</v>
      </c>
      <c r="H419" s="29" t="s">
        <v>1381</v>
      </c>
      <c r="I419" s="29" t="s">
        <v>1848</v>
      </c>
      <c r="J419" s="29" t="n">
        <v>0</v>
      </c>
      <c r="K419" s="29" t="n">
        <v>0</v>
      </c>
      <c r="L419" s="29" t="s">
        <v>1849</v>
      </c>
    </row>
    <row r="420" customFormat="false" ht="15" hidden="false" customHeight="false" outlineLevel="0" collapsed="false">
      <c r="A420" s="29" t="n">
        <v>130492</v>
      </c>
      <c r="B420" s="29" t="s">
        <v>1638</v>
      </c>
      <c r="C420" s="29" t="s">
        <v>1640</v>
      </c>
      <c r="D420" s="29" t="s">
        <v>325</v>
      </c>
      <c r="E420" s="29" t="s">
        <v>326</v>
      </c>
      <c r="F420" s="29" t="s">
        <v>76</v>
      </c>
      <c r="G420" s="29" t="s">
        <v>67</v>
      </c>
      <c r="H420" s="29" t="s">
        <v>1844</v>
      </c>
      <c r="I420" s="29" t="s">
        <v>1852</v>
      </c>
      <c r="J420" s="29" t="n">
        <v>0</v>
      </c>
      <c r="K420" s="29" t="n">
        <v>0</v>
      </c>
      <c r="L420" s="29" t="s">
        <v>1849</v>
      </c>
    </row>
    <row r="421" customFormat="false" ht="15" hidden="false" customHeight="false" outlineLevel="0" collapsed="false">
      <c r="A421" s="29" t="n">
        <v>130492</v>
      </c>
      <c r="B421" s="29" t="s">
        <v>1638</v>
      </c>
      <c r="C421" s="29" t="s">
        <v>1640</v>
      </c>
      <c r="D421" s="29" t="s">
        <v>336</v>
      </c>
      <c r="E421" s="29" t="s">
        <v>337</v>
      </c>
      <c r="F421" s="29" t="s">
        <v>76</v>
      </c>
      <c r="G421" s="29" t="s">
        <v>67</v>
      </c>
      <c r="H421" s="29" t="s">
        <v>1844</v>
      </c>
      <c r="I421" s="29" t="s">
        <v>1852</v>
      </c>
      <c r="J421" s="29" t="n">
        <v>0</v>
      </c>
      <c r="K421" s="29" t="n">
        <v>3</v>
      </c>
      <c r="L421" s="29" t="s">
        <v>1866</v>
      </c>
    </row>
    <row r="422" customFormat="false" ht="15" hidden="false" customHeight="false" outlineLevel="0" collapsed="false">
      <c r="A422" s="29" t="n">
        <v>130492</v>
      </c>
      <c r="B422" s="29" t="s">
        <v>1638</v>
      </c>
      <c r="C422" s="29" t="s">
        <v>1640</v>
      </c>
      <c r="D422" s="29" t="s">
        <v>403</v>
      </c>
      <c r="E422" s="29" t="s">
        <v>404</v>
      </c>
      <c r="F422" s="29" t="s">
        <v>76</v>
      </c>
      <c r="G422" s="29" t="s">
        <v>68</v>
      </c>
      <c r="H422" s="29" t="s">
        <v>1381</v>
      </c>
      <c r="I422" s="29" t="s">
        <v>1852</v>
      </c>
      <c r="J422" s="29" t="n">
        <v>0</v>
      </c>
      <c r="K422" s="29" t="n">
        <v>0</v>
      </c>
      <c r="L422" s="29" t="s">
        <v>1849</v>
      </c>
    </row>
    <row r="423" customFormat="false" ht="15" hidden="false" customHeight="false" outlineLevel="0" collapsed="false">
      <c r="A423" s="29" t="n">
        <v>130492</v>
      </c>
      <c r="B423" s="29" t="s">
        <v>1638</v>
      </c>
      <c r="C423" s="29" t="s">
        <v>1640</v>
      </c>
      <c r="D423" s="29" t="s">
        <v>433</v>
      </c>
      <c r="E423" s="29" t="s">
        <v>434</v>
      </c>
      <c r="F423" s="29" t="s">
        <v>82</v>
      </c>
      <c r="G423" s="29" t="s">
        <v>66</v>
      </c>
      <c r="H423" s="29" t="s">
        <v>1379</v>
      </c>
      <c r="I423" s="29" t="s">
        <v>1850</v>
      </c>
      <c r="J423" s="29" t="n">
        <v>0</v>
      </c>
      <c r="K423" s="29" t="n">
        <v>0</v>
      </c>
      <c r="L423" s="29" t="s">
        <v>1849</v>
      </c>
    </row>
    <row r="424" customFormat="false" ht="15" hidden="false" customHeight="false" outlineLevel="0" collapsed="false">
      <c r="A424" s="29" t="n">
        <v>130492</v>
      </c>
      <c r="B424" s="29" t="s">
        <v>1638</v>
      </c>
      <c r="C424" s="29" t="s">
        <v>1640</v>
      </c>
      <c r="D424" s="29" t="s">
        <v>508</v>
      </c>
      <c r="E424" s="29" t="s">
        <v>509</v>
      </c>
      <c r="F424" s="29" t="s">
        <v>88</v>
      </c>
      <c r="G424" s="29" t="s">
        <v>67</v>
      </c>
      <c r="H424" s="29" t="s">
        <v>1379</v>
      </c>
      <c r="I424" s="29" t="s">
        <v>1850</v>
      </c>
      <c r="J424" s="29" t="n">
        <v>0</v>
      </c>
      <c r="K424" s="29" t="n">
        <v>0</v>
      </c>
      <c r="L424" s="29" t="s">
        <v>1849</v>
      </c>
    </row>
    <row r="425" customFormat="false" ht="15" hidden="false" customHeight="false" outlineLevel="0" collapsed="false">
      <c r="A425" s="29" t="n">
        <v>130492</v>
      </c>
      <c r="B425" s="29" t="s">
        <v>1638</v>
      </c>
      <c r="C425" s="29" t="s">
        <v>1640</v>
      </c>
      <c r="D425" s="29" t="s">
        <v>515</v>
      </c>
      <c r="E425" s="29" t="s">
        <v>516</v>
      </c>
      <c r="F425" s="29" t="s">
        <v>88</v>
      </c>
      <c r="G425" s="29" t="s">
        <v>67</v>
      </c>
      <c r="H425" s="29" t="s">
        <v>1379</v>
      </c>
      <c r="I425" s="29" t="s">
        <v>1850</v>
      </c>
      <c r="J425" s="29" t="n">
        <v>0</v>
      </c>
      <c r="K425" s="29" t="n">
        <v>0</v>
      </c>
      <c r="L425" s="29" t="s">
        <v>1849</v>
      </c>
    </row>
    <row r="426" customFormat="false" ht="15" hidden="false" customHeight="false" outlineLevel="0" collapsed="false">
      <c r="A426" s="29" t="n">
        <v>130492</v>
      </c>
      <c r="B426" s="29" t="s">
        <v>1638</v>
      </c>
      <c r="C426" s="29" t="s">
        <v>1640</v>
      </c>
      <c r="D426" s="29" t="s">
        <v>668</v>
      </c>
      <c r="E426" s="29" t="s">
        <v>669</v>
      </c>
      <c r="F426" s="29" t="s">
        <v>105</v>
      </c>
      <c r="G426" s="29" t="s">
        <v>66</v>
      </c>
      <c r="H426" s="29" t="s">
        <v>1379</v>
      </c>
      <c r="I426" s="29" t="s">
        <v>1850</v>
      </c>
      <c r="J426" s="29" t="n">
        <v>1</v>
      </c>
      <c r="K426" s="29" t="n">
        <v>0</v>
      </c>
      <c r="L426" s="29" t="s">
        <v>1867</v>
      </c>
    </row>
    <row r="427" customFormat="false" ht="15" hidden="false" customHeight="false" outlineLevel="0" collapsed="false">
      <c r="A427" s="29" t="n">
        <v>130492</v>
      </c>
      <c r="B427" s="29" t="s">
        <v>1638</v>
      </c>
      <c r="C427" s="29" t="s">
        <v>1640</v>
      </c>
      <c r="D427" s="29" t="s">
        <v>680</v>
      </c>
      <c r="E427" s="29" t="s">
        <v>681</v>
      </c>
      <c r="F427" s="29" t="s">
        <v>105</v>
      </c>
      <c r="G427" s="29" t="s">
        <v>66</v>
      </c>
      <c r="H427" s="29" t="s">
        <v>1379</v>
      </c>
      <c r="I427" s="29" t="s">
        <v>1850</v>
      </c>
      <c r="J427" s="29" t="n">
        <v>0</v>
      </c>
      <c r="K427" s="29" t="n">
        <v>0</v>
      </c>
      <c r="L427" s="29" t="s">
        <v>1849</v>
      </c>
    </row>
    <row r="428" customFormat="false" ht="15" hidden="false" customHeight="false" outlineLevel="0" collapsed="false">
      <c r="A428" s="29" t="n">
        <v>130492</v>
      </c>
      <c r="B428" s="29" t="s">
        <v>1638</v>
      </c>
      <c r="C428" s="29" t="s">
        <v>1640</v>
      </c>
      <c r="D428" s="29" t="s">
        <v>711</v>
      </c>
      <c r="E428" s="29" t="s">
        <v>712</v>
      </c>
      <c r="F428" s="29" t="s">
        <v>116</v>
      </c>
      <c r="G428" s="29" t="s">
        <v>66</v>
      </c>
      <c r="H428" s="29" t="s">
        <v>1379</v>
      </c>
      <c r="I428" s="29" t="s">
        <v>1850</v>
      </c>
      <c r="J428" s="29" t="n">
        <v>2</v>
      </c>
      <c r="K428" s="29" t="n">
        <v>0</v>
      </c>
      <c r="L428" s="29" t="s">
        <v>1867</v>
      </c>
    </row>
    <row r="429" customFormat="false" ht="15" hidden="false" customHeight="false" outlineLevel="0" collapsed="false">
      <c r="A429" s="29" t="n">
        <v>130492</v>
      </c>
      <c r="B429" s="29" t="s">
        <v>1638</v>
      </c>
      <c r="C429" s="29" t="s">
        <v>1640</v>
      </c>
      <c r="D429" s="29" t="s">
        <v>721</v>
      </c>
      <c r="E429" s="29" t="s">
        <v>722</v>
      </c>
      <c r="F429" s="29" t="s">
        <v>116</v>
      </c>
      <c r="G429" s="29" t="s">
        <v>66</v>
      </c>
      <c r="H429" s="29" t="s">
        <v>1379</v>
      </c>
      <c r="I429" s="29" t="s">
        <v>1850</v>
      </c>
      <c r="J429" s="29" t="n">
        <v>0</v>
      </c>
      <c r="K429" s="29" t="n">
        <v>0</v>
      </c>
      <c r="L429" s="29" t="s">
        <v>1849</v>
      </c>
    </row>
    <row r="430" customFormat="false" ht="15" hidden="false" customHeight="false" outlineLevel="0" collapsed="false">
      <c r="A430" s="29" t="n">
        <v>130492</v>
      </c>
      <c r="B430" s="29" t="s">
        <v>1638</v>
      </c>
      <c r="C430" s="29" t="s">
        <v>1640</v>
      </c>
      <c r="D430" s="29" t="s">
        <v>745</v>
      </c>
      <c r="E430" s="29" t="s">
        <v>746</v>
      </c>
      <c r="F430" s="29" t="s">
        <v>116</v>
      </c>
      <c r="G430" s="29" t="s">
        <v>67</v>
      </c>
      <c r="H430" s="29" t="s">
        <v>1844</v>
      </c>
      <c r="I430" s="29" t="s">
        <v>1860</v>
      </c>
      <c r="J430" s="29" t="n">
        <v>0</v>
      </c>
      <c r="K430" s="29" t="n">
        <v>0</v>
      </c>
      <c r="L430" s="29" t="s">
        <v>1849</v>
      </c>
    </row>
    <row r="431" customFormat="false" ht="15" hidden="false" customHeight="false" outlineLevel="0" collapsed="false">
      <c r="A431" s="29" t="n">
        <v>130492</v>
      </c>
      <c r="B431" s="29" t="s">
        <v>1638</v>
      </c>
      <c r="C431" s="29" t="s">
        <v>1640</v>
      </c>
      <c r="D431" s="29" t="s">
        <v>753</v>
      </c>
      <c r="E431" s="29" t="s">
        <v>754</v>
      </c>
      <c r="F431" s="29" t="s">
        <v>116</v>
      </c>
      <c r="G431" s="29" t="s">
        <v>68</v>
      </c>
      <c r="H431" s="29" t="s">
        <v>1381</v>
      </c>
      <c r="I431" s="29" t="s">
        <v>1860</v>
      </c>
      <c r="J431" s="29" t="n">
        <v>0</v>
      </c>
      <c r="K431" s="29" t="n">
        <v>0</v>
      </c>
      <c r="L431" s="29" t="s">
        <v>1849</v>
      </c>
    </row>
    <row r="432" customFormat="false" ht="15" hidden="false" customHeight="false" outlineLevel="0" collapsed="false">
      <c r="A432" s="29" t="n">
        <v>140280</v>
      </c>
      <c r="B432" s="29" t="s">
        <v>1645</v>
      </c>
      <c r="C432" s="29" t="s">
        <v>1646</v>
      </c>
      <c r="D432" s="29" t="s">
        <v>247</v>
      </c>
      <c r="E432" s="29" t="s">
        <v>248</v>
      </c>
      <c r="F432" s="29" t="s">
        <v>69</v>
      </c>
      <c r="G432" s="29" t="s">
        <v>67</v>
      </c>
      <c r="H432" s="29" t="s">
        <v>1844</v>
      </c>
      <c r="I432" s="29" t="s">
        <v>1848</v>
      </c>
      <c r="J432" s="29" t="n">
        <v>0</v>
      </c>
      <c r="K432" s="29" t="n">
        <v>0</v>
      </c>
      <c r="L432" s="29" t="s">
        <v>1849</v>
      </c>
    </row>
    <row r="433" customFormat="false" ht="15" hidden="false" customHeight="false" outlineLevel="0" collapsed="false">
      <c r="A433" s="29" t="n">
        <v>140280</v>
      </c>
      <c r="B433" s="29" t="s">
        <v>1645</v>
      </c>
      <c r="C433" s="29" t="s">
        <v>1646</v>
      </c>
      <c r="D433" s="29" t="s">
        <v>277</v>
      </c>
      <c r="E433" s="29" t="s">
        <v>278</v>
      </c>
      <c r="F433" s="29" t="s">
        <v>69</v>
      </c>
      <c r="G433" s="29" t="s">
        <v>67</v>
      </c>
      <c r="H433" s="29" t="s">
        <v>1379</v>
      </c>
      <c r="I433" s="29" t="s">
        <v>1850</v>
      </c>
      <c r="J433" s="29" t="n">
        <v>0</v>
      </c>
      <c r="K433" s="29" t="n">
        <v>0</v>
      </c>
      <c r="L433" s="29" t="s">
        <v>1849</v>
      </c>
    </row>
    <row r="434" customFormat="false" ht="15" hidden="false" customHeight="false" outlineLevel="0" collapsed="false">
      <c r="A434" s="29" t="n">
        <v>140280</v>
      </c>
      <c r="B434" s="29" t="s">
        <v>1645</v>
      </c>
      <c r="C434" s="29" t="s">
        <v>1646</v>
      </c>
      <c r="D434" s="29" t="s">
        <v>297</v>
      </c>
      <c r="E434" s="29" t="s">
        <v>298</v>
      </c>
      <c r="F434" s="29" t="s">
        <v>69</v>
      </c>
      <c r="G434" s="29" t="s">
        <v>68</v>
      </c>
      <c r="H434" s="29" t="s">
        <v>1381</v>
      </c>
      <c r="I434" s="29" t="s">
        <v>1848</v>
      </c>
      <c r="J434" s="29" t="n">
        <v>0</v>
      </c>
      <c r="K434" s="29" t="n">
        <v>0</v>
      </c>
      <c r="L434" s="29" t="s">
        <v>1849</v>
      </c>
    </row>
    <row r="435" customFormat="false" ht="15" hidden="false" customHeight="false" outlineLevel="0" collapsed="false">
      <c r="A435" s="29" t="n">
        <v>140280</v>
      </c>
      <c r="B435" s="29" t="s">
        <v>1645</v>
      </c>
      <c r="C435" s="29" t="s">
        <v>1646</v>
      </c>
      <c r="D435" s="29" t="s">
        <v>304</v>
      </c>
      <c r="E435" s="29" t="s">
        <v>305</v>
      </c>
      <c r="F435" s="29" t="s">
        <v>69</v>
      </c>
      <c r="G435" s="29" t="s">
        <v>68</v>
      </c>
      <c r="H435" s="29" t="s">
        <v>1381</v>
      </c>
      <c r="I435" s="29" t="s">
        <v>1851</v>
      </c>
      <c r="J435" s="29" t="n">
        <v>0</v>
      </c>
      <c r="K435" s="29" t="n">
        <v>0</v>
      </c>
      <c r="L435" s="29" t="s">
        <v>1849</v>
      </c>
    </row>
    <row r="436" customFormat="false" ht="15" hidden="false" customHeight="false" outlineLevel="0" collapsed="false">
      <c r="A436" s="29" t="n">
        <v>140280</v>
      </c>
      <c r="B436" s="29" t="s">
        <v>1645</v>
      </c>
      <c r="C436" s="29" t="s">
        <v>1646</v>
      </c>
      <c r="D436" s="29" t="s">
        <v>311</v>
      </c>
      <c r="E436" s="29" t="s">
        <v>312</v>
      </c>
      <c r="F436" s="29" t="s">
        <v>69</v>
      </c>
      <c r="G436" s="29" t="s">
        <v>68</v>
      </c>
      <c r="H436" s="29" t="s">
        <v>1381</v>
      </c>
      <c r="I436" s="29" t="s">
        <v>1851</v>
      </c>
      <c r="J436" s="29" t="n">
        <v>0</v>
      </c>
      <c r="K436" s="29" t="n">
        <v>0</v>
      </c>
      <c r="L436" s="29" t="s">
        <v>1849</v>
      </c>
    </row>
    <row r="437" customFormat="false" ht="15" hidden="false" customHeight="false" outlineLevel="0" collapsed="false">
      <c r="A437" s="29" t="n">
        <v>140280</v>
      </c>
      <c r="B437" s="29" t="s">
        <v>1645</v>
      </c>
      <c r="C437" s="29" t="s">
        <v>1646</v>
      </c>
      <c r="D437" s="29" t="s">
        <v>325</v>
      </c>
      <c r="E437" s="29" t="s">
        <v>326</v>
      </c>
      <c r="F437" s="29" t="s">
        <v>76</v>
      </c>
      <c r="G437" s="29" t="s">
        <v>67</v>
      </c>
      <c r="H437" s="29" t="s">
        <v>1844</v>
      </c>
      <c r="I437" s="29" t="s">
        <v>1852</v>
      </c>
      <c r="J437" s="29" t="n">
        <v>0</v>
      </c>
      <c r="K437" s="29" t="n">
        <v>0</v>
      </c>
      <c r="L437" s="29" t="s">
        <v>1849</v>
      </c>
    </row>
    <row r="438" customFormat="false" ht="15" hidden="false" customHeight="false" outlineLevel="0" collapsed="false">
      <c r="A438" s="29" t="n">
        <v>140280</v>
      </c>
      <c r="B438" s="29" t="s">
        <v>1645</v>
      </c>
      <c r="C438" s="29" t="s">
        <v>1646</v>
      </c>
      <c r="D438" s="29" t="s">
        <v>336</v>
      </c>
      <c r="E438" s="29" t="s">
        <v>337</v>
      </c>
      <c r="F438" s="29" t="s">
        <v>76</v>
      </c>
      <c r="G438" s="29" t="s">
        <v>67</v>
      </c>
      <c r="H438" s="29" t="s">
        <v>1844</v>
      </c>
      <c r="I438" s="29" t="s">
        <v>1852</v>
      </c>
      <c r="J438" s="29" t="n">
        <v>0</v>
      </c>
      <c r="K438" s="29" t="n">
        <v>0</v>
      </c>
      <c r="L438" s="29" t="s">
        <v>1849</v>
      </c>
    </row>
    <row r="439" customFormat="false" ht="15" hidden="false" customHeight="false" outlineLevel="0" collapsed="false">
      <c r="A439" s="29" t="n">
        <v>140280</v>
      </c>
      <c r="B439" s="29" t="s">
        <v>1645</v>
      </c>
      <c r="C439" s="29" t="s">
        <v>1646</v>
      </c>
      <c r="D439" s="29" t="s">
        <v>353</v>
      </c>
      <c r="E439" s="29" t="s">
        <v>354</v>
      </c>
      <c r="F439" s="29" t="s">
        <v>76</v>
      </c>
      <c r="G439" s="29" t="s">
        <v>67</v>
      </c>
      <c r="H439" s="29" t="s">
        <v>1844</v>
      </c>
      <c r="I439" s="29" t="s">
        <v>1853</v>
      </c>
      <c r="J439" s="29" t="n">
        <v>0</v>
      </c>
      <c r="K439" s="29" t="n">
        <v>0</v>
      </c>
      <c r="L439" s="29" t="s">
        <v>1849</v>
      </c>
    </row>
    <row r="440" customFormat="false" ht="15" hidden="false" customHeight="false" outlineLevel="0" collapsed="false">
      <c r="A440" s="29" t="n">
        <v>140280</v>
      </c>
      <c r="B440" s="29" t="s">
        <v>1645</v>
      </c>
      <c r="C440" s="29" t="s">
        <v>1646</v>
      </c>
      <c r="D440" s="29" t="s">
        <v>387</v>
      </c>
      <c r="E440" s="29" t="s">
        <v>388</v>
      </c>
      <c r="F440" s="29" t="s">
        <v>76</v>
      </c>
      <c r="G440" s="29" t="s">
        <v>68</v>
      </c>
      <c r="H440" s="29" t="s">
        <v>1381</v>
      </c>
      <c r="I440" s="29" t="s">
        <v>1853</v>
      </c>
      <c r="J440" s="29" t="n">
        <v>0</v>
      </c>
      <c r="K440" s="29" t="n">
        <v>0</v>
      </c>
      <c r="L440" s="29" t="s">
        <v>1849</v>
      </c>
    </row>
    <row r="441" customFormat="false" ht="15" hidden="false" customHeight="false" outlineLevel="0" collapsed="false">
      <c r="A441" s="29" t="n">
        <v>140280</v>
      </c>
      <c r="B441" s="29" t="s">
        <v>1645</v>
      </c>
      <c r="C441" s="29" t="s">
        <v>1646</v>
      </c>
      <c r="D441" s="29" t="s">
        <v>396</v>
      </c>
      <c r="E441" s="29" t="s">
        <v>397</v>
      </c>
      <c r="F441" s="29" t="s">
        <v>76</v>
      </c>
      <c r="G441" s="29" t="s">
        <v>68</v>
      </c>
      <c r="H441" s="29" t="s">
        <v>1381</v>
      </c>
      <c r="I441" s="29" t="s">
        <v>1853</v>
      </c>
      <c r="J441" s="29" t="n">
        <v>0</v>
      </c>
      <c r="K441" s="29" t="n">
        <v>0</v>
      </c>
      <c r="L441" s="29" t="s">
        <v>1849</v>
      </c>
    </row>
    <row r="442" customFormat="false" ht="15" hidden="false" customHeight="false" outlineLevel="0" collapsed="false">
      <c r="A442" s="29" t="n">
        <v>140280</v>
      </c>
      <c r="B442" s="29" t="s">
        <v>1645</v>
      </c>
      <c r="C442" s="29" t="s">
        <v>1646</v>
      </c>
      <c r="D442" s="29" t="s">
        <v>403</v>
      </c>
      <c r="E442" s="29" t="s">
        <v>404</v>
      </c>
      <c r="F442" s="29" t="s">
        <v>76</v>
      </c>
      <c r="G442" s="29" t="s">
        <v>68</v>
      </c>
      <c r="H442" s="29" t="s">
        <v>1381</v>
      </c>
      <c r="I442" s="29" t="s">
        <v>1852</v>
      </c>
      <c r="J442" s="29" t="n">
        <v>0</v>
      </c>
      <c r="K442" s="29" t="n">
        <v>0</v>
      </c>
      <c r="L442" s="29" t="s">
        <v>1849</v>
      </c>
    </row>
    <row r="443" customFormat="false" ht="15" hidden="false" customHeight="false" outlineLevel="0" collapsed="false">
      <c r="A443" s="29" t="n">
        <v>140280</v>
      </c>
      <c r="B443" s="29" t="s">
        <v>1645</v>
      </c>
      <c r="C443" s="29" t="s">
        <v>1646</v>
      </c>
      <c r="D443" s="29" t="s">
        <v>428</v>
      </c>
      <c r="E443" s="29" t="s">
        <v>429</v>
      </c>
      <c r="F443" s="29" t="s">
        <v>76</v>
      </c>
      <c r="G443" s="29" t="s">
        <v>68</v>
      </c>
      <c r="H443" s="29" t="s">
        <v>1381</v>
      </c>
      <c r="I443" s="29" t="s">
        <v>1853</v>
      </c>
      <c r="J443" s="29" t="n">
        <v>0</v>
      </c>
      <c r="K443" s="29" t="n">
        <v>0</v>
      </c>
      <c r="L443" s="29" t="s">
        <v>1849</v>
      </c>
    </row>
    <row r="444" customFormat="false" ht="15" hidden="false" customHeight="false" outlineLevel="0" collapsed="false">
      <c r="A444" s="29" t="n">
        <v>140280</v>
      </c>
      <c r="B444" s="29" t="s">
        <v>1645</v>
      </c>
      <c r="C444" s="29" t="s">
        <v>1646</v>
      </c>
      <c r="D444" s="29" t="s">
        <v>433</v>
      </c>
      <c r="E444" s="29" t="s">
        <v>434</v>
      </c>
      <c r="F444" s="29" t="s">
        <v>82</v>
      </c>
      <c r="G444" s="29" t="s">
        <v>66</v>
      </c>
      <c r="H444" s="29" t="s">
        <v>1379</v>
      </c>
      <c r="I444" s="29" t="s">
        <v>1850</v>
      </c>
      <c r="J444" s="29" t="n">
        <v>0</v>
      </c>
      <c r="K444" s="29" t="n">
        <v>0</v>
      </c>
      <c r="L444" s="29" t="s">
        <v>1849</v>
      </c>
    </row>
    <row r="445" customFormat="false" ht="15" hidden="false" customHeight="false" outlineLevel="0" collapsed="false">
      <c r="A445" s="29" t="n">
        <v>140280</v>
      </c>
      <c r="B445" s="29" t="s">
        <v>1645</v>
      </c>
      <c r="C445" s="29" t="s">
        <v>1646</v>
      </c>
      <c r="D445" s="29" t="s">
        <v>508</v>
      </c>
      <c r="E445" s="29" t="s">
        <v>509</v>
      </c>
      <c r="F445" s="29" t="s">
        <v>88</v>
      </c>
      <c r="G445" s="29" t="s">
        <v>67</v>
      </c>
      <c r="H445" s="29" t="s">
        <v>1379</v>
      </c>
      <c r="I445" s="29" t="s">
        <v>1850</v>
      </c>
      <c r="J445" s="29" t="n">
        <v>0</v>
      </c>
      <c r="K445" s="29" t="n">
        <v>0</v>
      </c>
      <c r="L445" s="29" t="s">
        <v>1849</v>
      </c>
    </row>
    <row r="446" customFormat="false" ht="15" hidden="false" customHeight="false" outlineLevel="0" collapsed="false">
      <c r="A446" s="29" t="n">
        <v>140280</v>
      </c>
      <c r="B446" s="29" t="s">
        <v>1645</v>
      </c>
      <c r="C446" s="29" t="s">
        <v>1646</v>
      </c>
      <c r="D446" s="29" t="s">
        <v>515</v>
      </c>
      <c r="E446" s="29" t="s">
        <v>516</v>
      </c>
      <c r="F446" s="29" t="s">
        <v>88</v>
      </c>
      <c r="G446" s="29" t="s">
        <v>67</v>
      </c>
      <c r="H446" s="29" t="s">
        <v>1379</v>
      </c>
      <c r="I446" s="29" t="s">
        <v>1850</v>
      </c>
      <c r="J446" s="29" t="n">
        <v>0</v>
      </c>
      <c r="K446" s="29" t="n">
        <v>0</v>
      </c>
      <c r="L446" s="29" t="s">
        <v>1849</v>
      </c>
    </row>
    <row r="447" customFormat="false" ht="15" hidden="false" customHeight="false" outlineLevel="0" collapsed="false">
      <c r="A447" s="29" t="n">
        <v>140280</v>
      </c>
      <c r="B447" s="29" t="s">
        <v>1645</v>
      </c>
      <c r="C447" s="29" t="s">
        <v>1646</v>
      </c>
      <c r="D447" s="29" t="s">
        <v>530</v>
      </c>
      <c r="E447" s="29" t="s">
        <v>531</v>
      </c>
      <c r="F447" s="29" t="s">
        <v>88</v>
      </c>
      <c r="G447" s="29" t="s">
        <v>68</v>
      </c>
      <c r="H447" s="29" t="s">
        <v>1381</v>
      </c>
      <c r="I447" s="29" t="s">
        <v>1847</v>
      </c>
      <c r="J447" s="29" t="n">
        <v>0</v>
      </c>
      <c r="K447" s="29" t="n">
        <v>0</v>
      </c>
      <c r="L447" s="29" t="s">
        <v>1849</v>
      </c>
    </row>
    <row r="448" customFormat="false" ht="15" hidden="false" customHeight="false" outlineLevel="0" collapsed="false">
      <c r="A448" s="29" t="n">
        <v>140280</v>
      </c>
      <c r="B448" s="29" t="s">
        <v>1645</v>
      </c>
      <c r="C448" s="29" t="s">
        <v>1646</v>
      </c>
      <c r="D448" s="29" t="s">
        <v>536</v>
      </c>
      <c r="E448" s="29" t="s">
        <v>537</v>
      </c>
      <c r="F448" s="29" t="s">
        <v>88</v>
      </c>
      <c r="G448" s="29" t="s">
        <v>68</v>
      </c>
      <c r="H448" s="29" t="s">
        <v>1381</v>
      </c>
      <c r="I448" s="29" t="s">
        <v>1847</v>
      </c>
      <c r="J448" s="29" t="n">
        <v>0</v>
      </c>
      <c r="K448" s="29" t="n">
        <v>0</v>
      </c>
      <c r="L448" s="29" t="s">
        <v>1849</v>
      </c>
    </row>
    <row r="449" customFormat="false" ht="15" hidden="false" customHeight="false" outlineLevel="0" collapsed="false">
      <c r="A449" s="29" t="n">
        <v>140280</v>
      </c>
      <c r="B449" s="29" t="s">
        <v>1645</v>
      </c>
      <c r="C449" s="29" t="s">
        <v>1646</v>
      </c>
      <c r="D449" s="29" t="s">
        <v>543</v>
      </c>
      <c r="E449" s="29" t="s">
        <v>544</v>
      </c>
      <c r="F449" s="29" t="s">
        <v>88</v>
      </c>
      <c r="G449" s="29" t="s">
        <v>68</v>
      </c>
      <c r="H449" s="29" t="s">
        <v>1381</v>
      </c>
      <c r="I449" s="29" t="s">
        <v>1847</v>
      </c>
      <c r="J449" s="29" t="n">
        <v>0</v>
      </c>
      <c r="K449" s="29" t="n">
        <v>0</v>
      </c>
      <c r="L449" s="29" t="s">
        <v>1849</v>
      </c>
    </row>
    <row r="450" customFormat="false" ht="15" hidden="false" customHeight="false" outlineLevel="0" collapsed="false">
      <c r="A450" s="29" t="n">
        <v>140280</v>
      </c>
      <c r="B450" s="29" t="s">
        <v>1645</v>
      </c>
      <c r="C450" s="29" t="s">
        <v>1646</v>
      </c>
      <c r="D450" s="29" t="s">
        <v>551</v>
      </c>
      <c r="E450" s="29" t="s">
        <v>552</v>
      </c>
      <c r="F450" s="29" t="s">
        <v>88</v>
      </c>
      <c r="G450" s="29" t="s">
        <v>68</v>
      </c>
      <c r="H450" s="29" t="s">
        <v>1381</v>
      </c>
      <c r="I450" s="29" t="s">
        <v>1847</v>
      </c>
      <c r="J450" s="29" t="n">
        <v>0</v>
      </c>
      <c r="K450" s="29" t="n">
        <v>0</v>
      </c>
      <c r="L450" s="29" t="s">
        <v>1849</v>
      </c>
    </row>
    <row r="451" customFormat="false" ht="15" hidden="false" customHeight="false" outlineLevel="0" collapsed="false">
      <c r="A451" s="29" t="n">
        <v>140280</v>
      </c>
      <c r="B451" s="29" t="s">
        <v>1645</v>
      </c>
      <c r="C451" s="29" t="s">
        <v>1646</v>
      </c>
      <c r="D451" s="29" t="s">
        <v>572</v>
      </c>
      <c r="E451" s="29" t="s">
        <v>573</v>
      </c>
      <c r="F451" s="29" t="s">
        <v>88</v>
      </c>
      <c r="G451" s="29" t="s">
        <v>68</v>
      </c>
      <c r="H451" s="29" t="s">
        <v>1381</v>
      </c>
      <c r="I451" s="29" t="s">
        <v>1847</v>
      </c>
      <c r="J451" s="29" t="n">
        <v>0</v>
      </c>
      <c r="K451" s="29" t="n">
        <v>0</v>
      </c>
      <c r="L451" s="29" t="s">
        <v>1849</v>
      </c>
    </row>
    <row r="452" customFormat="false" ht="15" hidden="false" customHeight="false" outlineLevel="0" collapsed="false">
      <c r="A452" s="29" t="n">
        <v>140280</v>
      </c>
      <c r="B452" s="29" t="s">
        <v>1645</v>
      </c>
      <c r="C452" s="29" t="s">
        <v>1646</v>
      </c>
      <c r="D452" s="29" t="s">
        <v>581</v>
      </c>
      <c r="E452" s="29" t="s">
        <v>582</v>
      </c>
      <c r="F452" s="29" t="s">
        <v>93</v>
      </c>
      <c r="G452" s="29" t="s">
        <v>67</v>
      </c>
      <c r="H452" s="29" t="s">
        <v>1844</v>
      </c>
      <c r="I452" s="29" t="s">
        <v>1858</v>
      </c>
      <c r="J452" s="29" t="n">
        <v>0</v>
      </c>
      <c r="K452" s="29" t="n">
        <v>0</v>
      </c>
      <c r="L452" s="29" t="s">
        <v>1849</v>
      </c>
    </row>
    <row r="453" customFormat="false" ht="15" hidden="false" customHeight="false" outlineLevel="0" collapsed="false">
      <c r="A453" s="29" t="n">
        <v>140280</v>
      </c>
      <c r="B453" s="29" t="s">
        <v>1645</v>
      </c>
      <c r="C453" s="29" t="s">
        <v>1646</v>
      </c>
      <c r="D453" s="29" t="s">
        <v>590</v>
      </c>
      <c r="E453" s="29" t="s">
        <v>591</v>
      </c>
      <c r="F453" s="29" t="s">
        <v>93</v>
      </c>
      <c r="G453" s="29" t="s">
        <v>67</v>
      </c>
      <c r="H453" s="29" t="s">
        <v>1844</v>
      </c>
      <c r="I453" s="29" t="s">
        <v>1859</v>
      </c>
      <c r="J453" s="29" t="n">
        <v>0</v>
      </c>
      <c r="K453" s="29" t="n">
        <v>0</v>
      </c>
      <c r="L453" s="29" t="s">
        <v>1849</v>
      </c>
    </row>
    <row r="454" customFormat="false" ht="15" hidden="false" customHeight="false" outlineLevel="0" collapsed="false">
      <c r="A454" s="29" t="n">
        <v>140280</v>
      </c>
      <c r="B454" s="29" t="s">
        <v>1645</v>
      </c>
      <c r="C454" s="29" t="s">
        <v>1646</v>
      </c>
      <c r="D454" s="29" t="s">
        <v>597</v>
      </c>
      <c r="E454" s="29" t="s">
        <v>598</v>
      </c>
      <c r="F454" s="29" t="s">
        <v>93</v>
      </c>
      <c r="G454" s="29" t="s">
        <v>67</v>
      </c>
      <c r="H454" s="29" t="s">
        <v>1844</v>
      </c>
      <c r="I454" s="29" t="s">
        <v>1859</v>
      </c>
      <c r="J454" s="29" t="n">
        <v>0</v>
      </c>
      <c r="K454" s="29" t="n">
        <v>0</v>
      </c>
      <c r="L454" s="29" t="s">
        <v>1849</v>
      </c>
    </row>
    <row r="455" customFormat="false" ht="15" hidden="false" customHeight="false" outlineLevel="0" collapsed="false">
      <c r="A455" s="29" t="n">
        <v>140280</v>
      </c>
      <c r="B455" s="29" t="s">
        <v>1645</v>
      </c>
      <c r="C455" s="29" t="s">
        <v>1646</v>
      </c>
      <c r="D455" s="29" t="s">
        <v>604</v>
      </c>
      <c r="E455" s="29" t="s">
        <v>605</v>
      </c>
      <c r="F455" s="29" t="s">
        <v>93</v>
      </c>
      <c r="G455" s="29" t="s">
        <v>68</v>
      </c>
      <c r="H455" s="29" t="s">
        <v>1381</v>
      </c>
      <c r="I455" s="29" t="s">
        <v>1859</v>
      </c>
      <c r="J455" s="29" t="n">
        <v>0</v>
      </c>
      <c r="K455" s="29" t="n">
        <v>0</v>
      </c>
      <c r="L455" s="29" t="s">
        <v>1849</v>
      </c>
    </row>
    <row r="456" customFormat="false" ht="15" hidden="false" customHeight="false" outlineLevel="0" collapsed="false">
      <c r="A456" s="29" t="n">
        <v>140280</v>
      </c>
      <c r="B456" s="29" t="s">
        <v>1645</v>
      </c>
      <c r="C456" s="29" t="s">
        <v>1646</v>
      </c>
      <c r="D456" s="29" t="s">
        <v>612</v>
      </c>
      <c r="E456" s="29" t="s">
        <v>613</v>
      </c>
      <c r="F456" s="29" t="s">
        <v>93</v>
      </c>
      <c r="G456" s="29" t="s">
        <v>68</v>
      </c>
      <c r="H456" s="29" t="s">
        <v>1381</v>
      </c>
      <c r="I456" s="29" t="s">
        <v>1859</v>
      </c>
      <c r="J456" s="29" t="n">
        <v>0</v>
      </c>
      <c r="K456" s="29" t="n">
        <v>0</v>
      </c>
      <c r="L456" s="29" t="s">
        <v>1849</v>
      </c>
    </row>
    <row r="457" customFormat="false" ht="15" hidden="false" customHeight="false" outlineLevel="0" collapsed="false">
      <c r="A457" s="29" t="n">
        <v>140280</v>
      </c>
      <c r="B457" s="29" t="s">
        <v>1645</v>
      </c>
      <c r="C457" s="29" t="s">
        <v>1646</v>
      </c>
      <c r="D457" s="29" t="s">
        <v>618</v>
      </c>
      <c r="E457" s="29" t="s">
        <v>619</v>
      </c>
      <c r="F457" s="29" t="s">
        <v>93</v>
      </c>
      <c r="G457" s="29" t="s">
        <v>68</v>
      </c>
      <c r="H457" s="29" t="s">
        <v>1381</v>
      </c>
      <c r="I457" s="29" t="s">
        <v>1859</v>
      </c>
      <c r="J457" s="29" t="n">
        <v>0</v>
      </c>
      <c r="K457" s="29" t="n">
        <v>0</v>
      </c>
      <c r="L457" s="29" t="s">
        <v>1849</v>
      </c>
    </row>
    <row r="458" customFormat="false" ht="15" hidden="false" customHeight="false" outlineLevel="0" collapsed="false">
      <c r="A458" s="29" t="n">
        <v>140280</v>
      </c>
      <c r="B458" s="29" t="s">
        <v>1645</v>
      </c>
      <c r="C458" s="29" t="s">
        <v>1646</v>
      </c>
      <c r="D458" s="29" t="s">
        <v>627</v>
      </c>
      <c r="E458" s="29" t="s">
        <v>628</v>
      </c>
      <c r="F458" s="29" t="s">
        <v>93</v>
      </c>
      <c r="G458" s="29" t="s">
        <v>68</v>
      </c>
      <c r="H458" s="29" t="s">
        <v>1381</v>
      </c>
      <c r="I458" s="29" t="s">
        <v>1858</v>
      </c>
      <c r="J458" s="29" t="n">
        <v>0</v>
      </c>
      <c r="K458" s="29" t="n">
        <v>0</v>
      </c>
      <c r="L458" s="29" t="s">
        <v>1849</v>
      </c>
    </row>
    <row r="459" customFormat="false" ht="15" hidden="false" customHeight="false" outlineLevel="0" collapsed="false">
      <c r="A459" s="29" t="n">
        <v>140280</v>
      </c>
      <c r="B459" s="29" t="s">
        <v>1645</v>
      </c>
      <c r="C459" s="29" t="s">
        <v>1646</v>
      </c>
      <c r="D459" s="29" t="s">
        <v>636</v>
      </c>
      <c r="E459" s="29" t="s">
        <v>637</v>
      </c>
      <c r="F459" s="29" t="s">
        <v>93</v>
      </c>
      <c r="G459" s="29" t="s">
        <v>68</v>
      </c>
      <c r="H459" s="29" t="s">
        <v>1381</v>
      </c>
      <c r="I459" s="29" t="s">
        <v>1858</v>
      </c>
      <c r="J459" s="29" t="n">
        <v>0</v>
      </c>
      <c r="K459" s="29" t="n">
        <v>0</v>
      </c>
      <c r="L459" s="29" t="s">
        <v>1849</v>
      </c>
    </row>
    <row r="460" customFormat="false" ht="15" hidden="false" customHeight="false" outlineLevel="0" collapsed="false">
      <c r="A460" s="29" t="n">
        <v>140280</v>
      </c>
      <c r="B460" s="29" t="s">
        <v>1645</v>
      </c>
      <c r="C460" s="29" t="s">
        <v>1646</v>
      </c>
      <c r="D460" s="29" t="s">
        <v>668</v>
      </c>
      <c r="E460" s="29" t="s">
        <v>669</v>
      </c>
      <c r="F460" s="29" t="s">
        <v>105</v>
      </c>
      <c r="G460" s="29" t="s">
        <v>66</v>
      </c>
      <c r="H460" s="29" t="s">
        <v>1379</v>
      </c>
      <c r="I460" s="29" t="s">
        <v>1850</v>
      </c>
      <c r="J460" s="29" t="n">
        <v>0</v>
      </c>
      <c r="K460" s="29" t="n">
        <v>0</v>
      </c>
      <c r="L460" s="29" t="s">
        <v>1849</v>
      </c>
    </row>
    <row r="461" customFormat="false" ht="15" hidden="false" customHeight="false" outlineLevel="0" collapsed="false">
      <c r="A461" s="29" t="n">
        <v>140280</v>
      </c>
      <c r="B461" s="29" t="s">
        <v>1645</v>
      </c>
      <c r="C461" s="29" t="s">
        <v>1646</v>
      </c>
      <c r="D461" s="29" t="s">
        <v>680</v>
      </c>
      <c r="E461" s="29" t="s">
        <v>681</v>
      </c>
      <c r="F461" s="29" t="s">
        <v>105</v>
      </c>
      <c r="G461" s="29" t="s">
        <v>66</v>
      </c>
      <c r="H461" s="29" t="s">
        <v>1379</v>
      </c>
      <c r="I461" s="29" t="s">
        <v>1850</v>
      </c>
      <c r="J461" s="29" t="n">
        <v>0</v>
      </c>
      <c r="K461" s="29" t="n">
        <v>0</v>
      </c>
      <c r="L461" s="29" t="s">
        <v>1849</v>
      </c>
    </row>
    <row r="462" customFormat="false" ht="15" hidden="false" customHeight="false" outlineLevel="0" collapsed="false">
      <c r="A462" s="29" t="n">
        <v>140280</v>
      </c>
      <c r="B462" s="29" t="s">
        <v>1645</v>
      </c>
      <c r="C462" s="29" t="s">
        <v>1646</v>
      </c>
      <c r="D462" s="29" t="s">
        <v>711</v>
      </c>
      <c r="E462" s="29" t="s">
        <v>712</v>
      </c>
      <c r="F462" s="29" t="s">
        <v>116</v>
      </c>
      <c r="G462" s="29" t="s">
        <v>66</v>
      </c>
      <c r="H462" s="29" t="s">
        <v>1379</v>
      </c>
      <c r="I462" s="29" t="s">
        <v>1850</v>
      </c>
      <c r="J462" s="29" t="n">
        <v>0</v>
      </c>
      <c r="K462" s="29" t="n">
        <v>0</v>
      </c>
      <c r="L462" s="29" t="s">
        <v>1849</v>
      </c>
    </row>
    <row r="463" customFormat="false" ht="15" hidden="false" customHeight="false" outlineLevel="0" collapsed="false">
      <c r="A463" s="29" t="n">
        <v>140280</v>
      </c>
      <c r="B463" s="29" t="s">
        <v>1645</v>
      </c>
      <c r="C463" s="29" t="s">
        <v>1646</v>
      </c>
      <c r="D463" s="29" t="s">
        <v>721</v>
      </c>
      <c r="E463" s="29" t="s">
        <v>722</v>
      </c>
      <c r="F463" s="29" t="s">
        <v>116</v>
      </c>
      <c r="G463" s="29" t="s">
        <v>66</v>
      </c>
      <c r="H463" s="29" t="s">
        <v>1379</v>
      </c>
      <c r="I463" s="29" t="s">
        <v>1850</v>
      </c>
      <c r="J463" s="29" t="n">
        <v>0</v>
      </c>
      <c r="K463" s="29" t="n">
        <v>0</v>
      </c>
      <c r="L463" s="29" t="s">
        <v>1849</v>
      </c>
    </row>
    <row r="464" customFormat="false" ht="15" hidden="false" customHeight="false" outlineLevel="0" collapsed="false">
      <c r="A464" s="29" t="n">
        <v>140280</v>
      </c>
      <c r="B464" s="29" t="s">
        <v>1645</v>
      </c>
      <c r="C464" s="29" t="s">
        <v>1646</v>
      </c>
      <c r="D464" s="29" t="s">
        <v>729</v>
      </c>
      <c r="E464" s="29" t="s">
        <v>730</v>
      </c>
      <c r="F464" s="29" t="s">
        <v>116</v>
      </c>
      <c r="G464" s="29" t="s">
        <v>67</v>
      </c>
      <c r="H464" s="29" t="s">
        <v>1844</v>
      </c>
      <c r="I464" s="29" t="s">
        <v>1879</v>
      </c>
      <c r="J464" s="29" t="n">
        <v>0</v>
      </c>
      <c r="K464" s="29" t="n">
        <v>0</v>
      </c>
      <c r="L464" s="29" t="s">
        <v>1849</v>
      </c>
    </row>
    <row r="465" customFormat="false" ht="15" hidden="false" customHeight="false" outlineLevel="0" collapsed="false">
      <c r="A465" s="29" t="n">
        <v>140280</v>
      </c>
      <c r="B465" s="29" t="s">
        <v>1645</v>
      </c>
      <c r="C465" s="29" t="s">
        <v>1646</v>
      </c>
      <c r="D465" s="29" t="s">
        <v>737</v>
      </c>
      <c r="E465" s="29" t="s">
        <v>738</v>
      </c>
      <c r="F465" s="29" t="s">
        <v>116</v>
      </c>
      <c r="G465" s="29" t="s">
        <v>67</v>
      </c>
      <c r="H465" s="29" t="s">
        <v>1844</v>
      </c>
      <c r="I465" s="29" t="s">
        <v>1879</v>
      </c>
      <c r="J465" s="29" t="n">
        <v>0</v>
      </c>
      <c r="K465" s="29" t="n">
        <v>0</v>
      </c>
      <c r="L465" s="29" t="s">
        <v>1849</v>
      </c>
    </row>
    <row r="466" customFormat="false" ht="15" hidden="false" customHeight="false" outlineLevel="0" collapsed="false">
      <c r="A466" s="29" t="n">
        <v>140280</v>
      </c>
      <c r="B466" s="29" t="s">
        <v>1645</v>
      </c>
      <c r="C466" s="29" t="s">
        <v>1646</v>
      </c>
      <c r="D466" s="29" t="s">
        <v>745</v>
      </c>
      <c r="E466" s="29" t="s">
        <v>746</v>
      </c>
      <c r="F466" s="29" t="s">
        <v>116</v>
      </c>
      <c r="G466" s="29" t="s">
        <v>67</v>
      </c>
      <c r="H466" s="29" t="s">
        <v>1844</v>
      </c>
      <c r="I466" s="29" t="s">
        <v>1860</v>
      </c>
      <c r="J466" s="29" t="n">
        <v>0</v>
      </c>
      <c r="K466" s="29" t="n">
        <v>0</v>
      </c>
      <c r="L466" s="29" t="s">
        <v>1849</v>
      </c>
    </row>
    <row r="467" customFormat="false" ht="15" hidden="false" customHeight="false" outlineLevel="0" collapsed="false">
      <c r="A467" s="29" t="n">
        <v>140280</v>
      </c>
      <c r="B467" s="29" t="s">
        <v>1645</v>
      </c>
      <c r="C467" s="29" t="s">
        <v>1646</v>
      </c>
      <c r="D467" s="29" t="s">
        <v>753</v>
      </c>
      <c r="E467" s="29" t="s">
        <v>754</v>
      </c>
      <c r="F467" s="29" t="s">
        <v>116</v>
      </c>
      <c r="G467" s="29" t="s">
        <v>68</v>
      </c>
      <c r="H467" s="29" t="s">
        <v>1381</v>
      </c>
      <c r="I467" s="29" t="s">
        <v>1860</v>
      </c>
      <c r="J467" s="29" t="n">
        <v>0</v>
      </c>
      <c r="K467" s="29" t="n">
        <v>0</v>
      </c>
      <c r="L467" s="29" t="s">
        <v>1849</v>
      </c>
    </row>
    <row r="468" customFormat="false" ht="15" hidden="false" customHeight="false" outlineLevel="0" collapsed="false">
      <c r="A468" s="29" t="n">
        <v>140442</v>
      </c>
      <c r="B468" s="29" t="s">
        <v>1651</v>
      </c>
      <c r="C468" s="29" t="s">
        <v>1652</v>
      </c>
      <c r="D468" s="29" t="s">
        <v>433</v>
      </c>
      <c r="E468" s="29" t="s">
        <v>434</v>
      </c>
      <c r="F468" s="29" t="s">
        <v>82</v>
      </c>
      <c r="G468" s="29" t="s">
        <v>66</v>
      </c>
      <c r="H468" s="29" t="s">
        <v>1379</v>
      </c>
      <c r="I468" s="29" t="s">
        <v>1861</v>
      </c>
      <c r="J468" s="29" t="n">
        <v>0</v>
      </c>
      <c r="K468" s="29" t="n">
        <v>0</v>
      </c>
      <c r="L468" s="29" t="s">
        <v>1849</v>
      </c>
    </row>
    <row r="469" customFormat="false" ht="15" hidden="false" customHeight="false" outlineLevel="0" collapsed="false">
      <c r="A469" s="29" t="n">
        <v>140442</v>
      </c>
      <c r="B469" s="29" t="s">
        <v>1651</v>
      </c>
      <c r="C469" s="29" t="s">
        <v>1652</v>
      </c>
      <c r="D469" s="29" t="s">
        <v>443</v>
      </c>
      <c r="E469" s="29" t="s">
        <v>444</v>
      </c>
      <c r="F469" s="29" t="s">
        <v>82</v>
      </c>
      <c r="G469" s="29" t="s">
        <v>67</v>
      </c>
      <c r="H469" s="29" t="s">
        <v>1379</v>
      </c>
      <c r="I469" s="29" t="s">
        <v>1861</v>
      </c>
      <c r="J469" s="29" t="n">
        <v>0</v>
      </c>
      <c r="K469" s="29" t="n">
        <v>0</v>
      </c>
      <c r="L469" s="29" t="s">
        <v>1849</v>
      </c>
    </row>
    <row r="470" customFormat="false" ht="15" hidden="false" customHeight="false" outlineLevel="0" collapsed="false">
      <c r="A470" s="29" t="n">
        <v>140442</v>
      </c>
      <c r="B470" s="29" t="s">
        <v>1651</v>
      </c>
      <c r="C470" s="29" t="s">
        <v>1652</v>
      </c>
      <c r="D470" s="29" t="s">
        <v>472</v>
      </c>
      <c r="E470" s="29" t="s">
        <v>473</v>
      </c>
      <c r="F470" s="29" t="s">
        <v>82</v>
      </c>
      <c r="G470" s="29" t="s">
        <v>67</v>
      </c>
      <c r="H470" s="29" t="s">
        <v>1379</v>
      </c>
      <c r="I470" s="29" t="s">
        <v>1861</v>
      </c>
      <c r="J470" s="29" t="n">
        <v>0</v>
      </c>
      <c r="K470" s="29" t="n">
        <v>1</v>
      </c>
      <c r="L470" s="29" t="s">
        <v>1866</v>
      </c>
    </row>
    <row r="471" customFormat="false" ht="15" hidden="false" customHeight="false" outlineLevel="0" collapsed="false">
      <c r="A471" s="29" t="n">
        <v>140442</v>
      </c>
      <c r="B471" s="29" t="s">
        <v>1651</v>
      </c>
      <c r="C471" s="29" t="s">
        <v>1652</v>
      </c>
      <c r="D471" s="29" t="s">
        <v>477</v>
      </c>
      <c r="E471" s="29" t="s">
        <v>478</v>
      </c>
      <c r="F471" s="29" t="s">
        <v>82</v>
      </c>
      <c r="G471" s="29" t="s">
        <v>67</v>
      </c>
      <c r="H471" s="29" t="s">
        <v>1379</v>
      </c>
      <c r="I471" s="29" t="s">
        <v>1861</v>
      </c>
      <c r="J471" s="29" t="n">
        <v>0</v>
      </c>
      <c r="K471" s="29" t="n">
        <v>0</v>
      </c>
      <c r="L471" s="29" t="s">
        <v>1849</v>
      </c>
    </row>
    <row r="472" customFormat="false" ht="15" hidden="false" customHeight="false" outlineLevel="0" collapsed="false">
      <c r="A472" s="29" t="n">
        <v>140442</v>
      </c>
      <c r="B472" s="29" t="s">
        <v>1651</v>
      </c>
      <c r="C472" s="29" t="s">
        <v>1652</v>
      </c>
      <c r="D472" s="29" t="s">
        <v>642</v>
      </c>
      <c r="E472" s="29" t="s">
        <v>643</v>
      </c>
      <c r="F472" s="29" t="s">
        <v>99</v>
      </c>
      <c r="G472" s="29" t="s">
        <v>67</v>
      </c>
      <c r="H472" s="29" t="s">
        <v>1844</v>
      </c>
      <c r="I472" s="29" t="s">
        <v>1880</v>
      </c>
      <c r="J472" s="29" t="n">
        <v>1</v>
      </c>
      <c r="K472" s="29" t="n">
        <v>1</v>
      </c>
      <c r="L472" s="29" t="s">
        <v>1867</v>
      </c>
    </row>
    <row r="473" customFormat="false" ht="15" hidden="false" customHeight="false" outlineLevel="0" collapsed="false">
      <c r="A473" s="29" t="n">
        <v>140442</v>
      </c>
      <c r="B473" s="29" t="s">
        <v>1651</v>
      </c>
      <c r="C473" s="29" t="s">
        <v>1652</v>
      </c>
      <c r="D473" s="29" t="s">
        <v>650</v>
      </c>
      <c r="E473" s="29" t="s">
        <v>651</v>
      </c>
      <c r="F473" s="29" t="s">
        <v>99</v>
      </c>
      <c r="G473" s="29" t="s">
        <v>68</v>
      </c>
      <c r="H473" s="29" t="s">
        <v>1381</v>
      </c>
      <c r="I473" s="29" t="s">
        <v>1880</v>
      </c>
      <c r="J473" s="29" t="n">
        <v>0</v>
      </c>
      <c r="K473" s="29" t="n">
        <v>0</v>
      </c>
      <c r="L473" s="29" t="s">
        <v>1849</v>
      </c>
    </row>
    <row r="474" customFormat="false" ht="15" hidden="false" customHeight="false" outlineLevel="0" collapsed="false">
      <c r="A474" s="29" t="n">
        <v>140442</v>
      </c>
      <c r="B474" s="29" t="s">
        <v>1651</v>
      </c>
      <c r="C474" s="29" t="s">
        <v>1652</v>
      </c>
      <c r="D474" s="29" t="s">
        <v>658</v>
      </c>
      <c r="E474" s="29" t="s">
        <v>659</v>
      </c>
      <c r="F474" s="29" t="s">
        <v>99</v>
      </c>
      <c r="G474" s="29" t="s">
        <v>68</v>
      </c>
      <c r="H474" s="29" t="s">
        <v>1381</v>
      </c>
      <c r="I474" s="29" t="s">
        <v>1880</v>
      </c>
      <c r="J474" s="29" t="n">
        <v>0</v>
      </c>
      <c r="K474" s="29" t="n">
        <v>0</v>
      </c>
      <c r="L474" s="29" t="s">
        <v>1849</v>
      </c>
    </row>
    <row r="475" customFormat="false" ht="15" hidden="false" customHeight="false" outlineLevel="0" collapsed="false">
      <c r="A475" s="29" t="n">
        <v>140442</v>
      </c>
      <c r="B475" s="29" t="s">
        <v>1651</v>
      </c>
      <c r="C475" s="29" t="s">
        <v>1652</v>
      </c>
      <c r="D475" s="29" t="s">
        <v>663</v>
      </c>
      <c r="E475" s="29" t="s">
        <v>664</v>
      </c>
      <c r="F475" s="29" t="s">
        <v>99</v>
      </c>
      <c r="G475" s="29" t="s">
        <v>68</v>
      </c>
      <c r="H475" s="29" t="s">
        <v>1381</v>
      </c>
      <c r="I475" s="29" t="s">
        <v>1880</v>
      </c>
      <c r="J475" s="29" t="n">
        <v>0</v>
      </c>
      <c r="K475" s="29" t="n">
        <v>0</v>
      </c>
      <c r="L475" s="29" t="s">
        <v>1849</v>
      </c>
    </row>
    <row r="476" customFormat="false" ht="15" hidden="false" customHeight="false" outlineLevel="0" collapsed="false">
      <c r="A476" s="29" t="n">
        <v>140442</v>
      </c>
      <c r="B476" s="29" t="s">
        <v>1651</v>
      </c>
      <c r="C476" s="29" t="s">
        <v>1652</v>
      </c>
      <c r="D476" s="29" t="s">
        <v>668</v>
      </c>
      <c r="E476" s="29" t="s">
        <v>669</v>
      </c>
      <c r="F476" s="29" t="s">
        <v>105</v>
      </c>
      <c r="G476" s="29" t="s">
        <v>66</v>
      </c>
      <c r="H476" s="29" t="s">
        <v>1379</v>
      </c>
      <c r="I476" s="29" t="s">
        <v>1861</v>
      </c>
      <c r="J476" s="29" t="n">
        <v>1</v>
      </c>
      <c r="K476" s="29" t="n">
        <v>0</v>
      </c>
      <c r="L476" s="29" t="s">
        <v>1867</v>
      </c>
    </row>
    <row r="477" customFormat="false" ht="15" hidden="false" customHeight="false" outlineLevel="0" collapsed="false">
      <c r="A477" s="29" t="n">
        <v>140442</v>
      </c>
      <c r="B477" s="29" t="s">
        <v>1651</v>
      </c>
      <c r="C477" s="29" t="s">
        <v>1652</v>
      </c>
      <c r="D477" s="29" t="s">
        <v>680</v>
      </c>
      <c r="E477" s="29" t="s">
        <v>681</v>
      </c>
      <c r="F477" s="29" t="s">
        <v>105</v>
      </c>
      <c r="G477" s="29" t="s">
        <v>66</v>
      </c>
      <c r="H477" s="29" t="s">
        <v>1379</v>
      </c>
      <c r="I477" s="29" t="s">
        <v>1861</v>
      </c>
      <c r="J477" s="29" t="n">
        <v>0</v>
      </c>
      <c r="K477" s="29" t="n">
        <v>0</v>
      </c>
      <c r="L477" s="29" t="s">
        <v>1849</v>
      </c>
    </row>
    <row r="478" customFormat="false" ht="15" hidden="false" customHeight="false" outlineLevel="0" collapsed="false">
      <c r="A478" s="29" t="n">
        <v>140442</v>
      </c>
      <c r="B478" s="29" t="s">
        <v>1651</v>
      </c>
      <c r="C478" s="29" t="s">
        <v>1652</v>
      </c>
      <c r="D478" s="29" t="s">
        <v>711</v>
      </c>
      <c r="E478" s="29" t="s">
        <v>712</v>
      </c>
      <c r="F478" s="29" t="s">
        <v>116</v>
      </c>
      <c r="G478" s="29" t="s">
        <v>66</v>
      </c>
      <c r="H478" s="29" t="s">
        <v>1379</v>
      </c>
      <c r="I478" s="29" t="s">
        <v>1861</v>
      </c>
      <c r="J478" s="29" t="n">
        <v>0</v>
      </c>
      <c r="K478" s="29" t="n">
        <v>0</v>
      </c>
      <c r="L478" s="29" t="s">
        <v>1849</v>
      </c>
    </row>
    <row r="479" customFormat="false" ht="15" hidden="false" customHeight="false" outlineLevel="0" collapsed="false">
      <c r="A479" s="29" t="n">
        <v>140442</v>
      </c>
      <c r="B479" s="29" t="s">
        <v>1651</v>
      </c>
      <c r="C479" s="29" t="s">
        <v>1652</v>
      </c>
      <c r="D479" s="29" t="s">
        <v>721</v>
      </c>
      <c r="E479" s="29" t="s">
        <v>722</v>
      </c>
      <c r="F479" s="29" t="s">
        <v>116</v>
      </c>
      <c r="G479" s="29" t="s">
        <v>66</v>
      </c>
      <c r="H479" s="29" t="s">
        <v>1379</v>
      </c>
      <c r="I479" s="29" t="s">
        <v>1861</v>
      </c>
      <c r="J479" s="29" t="n">
        <v>0</v>
      </c>
      <c r="K479" s="29" t="n">
        <v>0</v>
      </c>
      <c r="L479" s="29" t="s">
        <v>1849</v>
      </c>
    </row>
    <row r="480" customFormat="false" ht="15" hidden="false" customHeight="false" outlineLevel="0" collapsed="false">
      <c r="A480" s="29" t="n">
        <v>140442</v>
      </c>
      <c r="B480" s="29" t="s">
        <v>1651</v>
      </c>
      <c r="C480" s="29" t="s">
        <v>1652</v>
      </c>
      <c r="D480" s="29" t="s">
        <v>745</v>
      </c>
      <c r="E480" s="29" t="s">
        <v>746</v>
      </c>
      <c r="F480" s="29" t="s">
        <v>116</v>
      </c>
      <c r="G480" s="29" t="s">
        <v>67</v>
      </c>
      <c r="H480" s="29" t="s">
        <v>1844</v>
      </c>
      <c r="I480" s="29" t="s">
        <v>1860</v>
      </c>
      <c r="J480" s="29" t="n">
        <v>0</v>
      </c>
      <c r="K480" s="29" t="n">
        <v>0</v>
      </c>
      <c r="L480" s="29" t="s">
        <v>1849</v>
      </c>
    </row>
    <row r="481" customFormat="false" ht="15" hidden="false" customHeight="false" outlineLevel="0" collapsed="false">
      <c r="A481" s="29" t="n">
        <v>140442</v>
      </c>
      <c r="B481" s="29" t="s">
        <v>1651</v>
      </c>
      <c r="C481" s="29" t="s">
        <v>1652</v>
      </c>
      <c r="D481" s="29" t="s">
        <v>753</v>
      </c>
      <c r="E481" s="29" t="s">
        <v>754</v>
      </c>
      <c r="F481" s="29" t="s">
        <v>116</v>
      </c>
      <c r="G481" s="29" t="s">
        <v>68</v>
      </c>
      <c r="H481" s="29" t="s">
        <v>1381</v>
      </c>
      <c r="I481" s="29" t="s">
        <v>1860</v>
      </c>
      <c r="J481" s="29" t="n">
        <v>0</v>
      </c>
      <c r="K481" s="29" t="n">
        <v>0</v>
      </c>
      <c r="L481" s="29" t="s">
        <v>1849</v>
      </c>
    </row>
    <row r="482" customFormat="false" ht="15" hidden="false" customHeight="false" outlineLevel="0" collapsed="false">
      <c r="A482" s="29" t="n">
        <v>129333</v>
      </c>
      <c r="B482" s="29" t="s">
        <v>1658</v>
      </c>
      <c r="C482" s="29" t="s">
        <v>1659</v>
      </c>
      <c r="D482" s="29" t="s">
        <v>247</v>
      </c>
      <c r="E482" s="29" t="s">
        <v>248</v>
      </c>
      <c r="F482" s="29" t="s">
        <v>69</v>
      </c>
      <c r="G482" s="29" t="s">
        <v>67</v>
      </c>
      <c r="H482" s="29" t="s">
        <v>1844</v>
      </c>
      <c r="I482" s="29" t="s">
        <v>1848</v>
      </c>
      <c r="J482" s="29" t="n">
        <v>0</v>
      </c>
      <c r="K482" s="29" t="n">
        <v>0</v>
      </c>
      <c r="L482" s="29" t="s">
        <v>1849</v>
      </c>
    </row>
    <row r="483" customFormat="false" ht="15" hidden="false" customHeight="false" outlineLevel="0" collapsed="false">
      <c r="A483" s="29" t="n">
        <v>129333</v>
      </c>
      <c r="B483" s="29" t="s">
        <v>1658</v>
      </c>
      <c r="C483" s="29" t="s">
        <v>1659</v>
      </c>
      <c r="D483" s="29" t="s">
        <v>265</v>
      </c>
      <c r="E483" s="29" t="s">
        <v>266</v>
      </c>
      <c r="F483" s="29" t="s">
        <v>69</v>
      </c>
      <c r="G483" s="29" t="s">
        <v>67</v>
      </c>
      <c r="H483" s="29" t="s">
        <v>1379</v>
      </c>
      <c r="I483" s="29" t="s">
        <v>1863</v>
      </c>
      <c r="J483" s="29" t="n">
        <v>0</v>
      </c>
      <c r="K483" s="29" t="n">
        <v>0</v>
      </c>
      <c r="L483" s="29" t="s">
        <v>1849</v>
      </c>
    </row>
    <row r="484" customFormat="false" ht="15" hidden="false" customHeight="false" outlineLevel="0" collapsed="false">
      <c r="A484" s="29" t="n">
        <v>129333</v>
      </c>
      <c r="B484" s="29" t="s">
        <v>1658</v>
      </c>
      <c r="C484" s="29" t="s">
        <v>1659</v>
      </c>
      <c r="D484" s="29" t="s">
        <v>297</v>
      </c>
      <c r="E484" s="29" t="s">
        <v>298</v>
      </c>
      <c r="F484" s="29" t="s">
        <v>69</v>
      </c>
      <c r="G484" s="29" t="s">
        <v>68</v>
      </c>
      <c r="H484" s="29" t="s">
        <v>1381</v>
      </c>
      <c r="I484" s="29" t="s">
        <v>1848</v>
      </c>
      <c r="J484" s="29" t="n">
        <v>0</v>
      </c>
      <c r="K484" s="29" t="n">
        <v>0</v>
      </c>
      <c r="L484" s="29" t="s">
        <v>1849</v>
      </c>
    </row>
    <row r="485" customFormat="false" ht="15" hidden="false" customHeight="false" outlineLevel="0" collapsed="false">
      <c r="A485" s="29" t="n">
        <v>129333</v>
      </c>
      <c r="B485" s="29" t="s">
        <v>1658</v>
      </c>
      <c r="C485" s="29" t="s">
        <v>1659</v>
      </c>
      <c r="D485" s="29" t="s">
        <v>428</v>
      </c>
      <c r="E485" s="29" t="s">
        <v>429</v>
      </c>
      <c r="F485" s="29" t="s">
        <v>76</v>
      </c>
      <c r="G485" s="29" t="s">
        <v>68</v>
      </c>
      <c r="H485" s="29" t="s">
        <v>1381</v>
      </c>
      <c r="I485" s="29" t="s">
        <v>1872</v>
      </c>
      <c r="J485" s="29" t="n">
        <v>0</v>
      </c>
      <c r="K485" s="29" t="n">
        <v>0</v>
      </c>
      <c r="L485" s="29" t="s">
        <v>1849</v>
      </c>
    </row>
    <row r="486" customFormat="false" ht="15" hidden="false" customHeight="false" outlineLevel="0" collapsed="false">
      <c r="A486" s="29" t="n">
        <v>129333</v>
      </c>
      <c r="B486" s="29" t="s">
        <v>1658</v>
      </c>
      <c r="C486" s="29" t="s">
        <v>1659</v>
      </c>
      <c r="D486" s="29" t="s">
        <v>433</v>
      </c>
      <c r="E486" s="29" t="s">
        <v>434</v>
      </c>
      <c r="F486" s="29" t="s">
        <v>82</v>
      </c>
      <c r="G486" s="29" t="s">
        <v>66</v>
      </c>
      <c r="H486" s="29" t="s">
        <v>1379</v>
      </c>
      <c r="I486" s="29" t="s">
        <v>1863</v>
      </c>
      <c r="J486" s="29" t="n">
        <v>0</v>
      </c>
      <c r="K486" s="29" t="n">
        <v>0</v>
      </c>
      <c r="L486" s="29" t="s">
        <v>1849</v>
      </c>
    </row>
    <row r="487" customFormat="false" ht="15" hidden="false" customHeight="false" outlineLevel="0" collapsed="false">
      <c r="A487" s="29" t="n">
        <v>129333</v>
      </c>
      <c r="B487" s="29" t="s">
        <v>1658</v>
      </c>
      <c r="C487" s="29" t="s">
        <v>1659</v>
      </c>
      <c r="D487" s="29" t="s">
        <v>668</v>
      </c>
      <c r="E487" s="29" t="s">
        <v>669</v>
      </c>
      <c r="F487" s="29" t="s">
        <v>105</v>
      </c>
      <c r="G487" s="29" t="s">
        <v>66</v>
      </c>
      <c r="H487" s="29" t="s">
        <v>1379</v>
      </c>
      <c r="I487" s="29" t="s">
        <v>1863</v>
      </c>
      <c r="J487" s="29" t="n">
        <v>0</v>
      </c>
      <c r="K487" s="29" t="n">
        <v>0</v>
      </c>
      <c r="L487" s="29" t="s">
        <v>1849</v>
      </c>
    </row>
    <row r="488" customFormat="false" ht="15" hidden="false" customHeight="false" outlineLevel="0" collapsed="false">
      <c r="A488" s="29" t="n">
        <v>129333</v>
      </c>
      <c r="B488" s="29" t="s">
        <v>1658</v>
      </c>
      <c r="C488" s="29" t="s">
        <v>1659</v>
      </c>
      <c r="D488" s="29" t="s">
        <v>680</v>
      </c>
      <c r="E488" s="29" t="s">
        <v>681</v>
      </c>
      <c r="F488" s="29" t="s">
        <v>105</v>
      </c>
      <c r="G488" s="29" t="s">
        <v>66</v>
      </c>
      <c r="H488" s="29" t="s">
        <v>1379</v>
      </c>
      <c r="I488" s="29" t="s">
        <v>1863</v>
      </c>
      <c r="J488" s="29" t="n">
        <v>0</v>
      </c>
      <c r="K488" s="29" t="n">
        <v>0</v>
      </c>
      <c r="L488" s="29" t="s">
        <v>1849</v>
      </c>
    </row>
    <row r="489" customFormat="false" ht="15" hidden="false" customHeight="false" outlineLevel="0" collapsed="false">
      <c r="A489" s="29" t="n">
        <v>129333</v>
      </c>
      <c r="B489" s="29" t="s">
        <v>1658</v>
      </c>
      <c r="C489" s="29" t="s">
        <v>1659</v>
      </c>
      <c r="D489" s="29" t="s">
        <v>689</v>
      </c>
      <c r="E489" s="29" t="s">
        <v>690</v>
      </c>
      <c r="F489" s="29" t="s">
        <v>105</v>
      </c>
      <c r="G489" s="29" t="s">
        <v>67</v>
      </c>
      <c r="H489" s="29" t="s">
        <v>1844</v>
      </c>
      <c r="I489" s="29" t="s">
        <v>1872</v>
      </c>
      <c r="J489" s="29" t="n">
        <v>1</v>
      </c>
      <c r="K489" s="29" t="n">
        <v>3</v>
      </c>
      <c r="L489" s="29" t="s">
        <v>1867</v>
      </c>
    </row>
    <row r="490" customFormat="false" ht="15" hidden="false" customHeight="false" outlineLevel="0" collapsed="false">
      <c r="A490" s="29" t="n">
        <v>129333</v>
      </c>
      <c r="B490" s="29" t="s">
        <v>1658</v>
      </c>
      <c r="C490" s="29" t="s">
        <v>1659</v>
      </c>
      <c r="D490" s="29" t="s">
        <v>711</v>
      </c>
      <c r="E490" s="29" t="s">
        <v>712</v>
      </c>
      <c r="F490" s="29" t="s">
        <v>116</v>
      </c>
      <c r="G490" s="29" t="s">
        <v>66</v>
      </c>
      <c r="H490" s="29" t="s">
        <v>1379</v>
      </c>
      <c r="I490" s="29" t="s">
        <v>1863</v>
      </c>
      <c r="J490" s="29" t="n">
        <v>0</v>
      </c>
      <c r="K490" s="29" t="n">
        <v>0</v>
      </c>
      <c r="L490" s="29" t="s">
        <v>1849</v>
      </c>
    </row>
    <row r="491" customFormat="false" ht="15" hidden="false" customHeight="false" outlineLevel="0" collapsed="false">
      <c r="A491" s="29" t="n">
        <v>129481</v>
      </c>
      <c r="B491" s="29" t="s">
        <v>1663</v>
      </c>
      <c r="C491" s="29" t="s">
        <v>1515</v>
      </c>
      <c r="D491" s="29" t="s">
        <v>247</v>
      </c>
      <c r="E491" s="29" t="s">
        <v>248</v>
      </c>
      <c r="F491" s="29" t="s">
        <v>69</v>
      </c>
      <c r="G491" s="29" t="s">
        <v>67</v>
      </c>
      <c r="H491" s="29" t="s">
        <v>1844</v>
      </c>
      <c r="I491" s="29" t="s">
        <v>1848</v>
      </c>
      <c r="J491" s="29" t="n">
        <v>0</v>
      </c>
      <c r="K491" s="29" t="n">
        <v>0</v>
      </c>
      <c r="L491" s="29" t="s">
        <v>1846</v>
      </c>
    </row>
    <row r="492" customFormat="false" ht="15" hidden="false" customHeight="false" outlineLevel="0" collapsed="false">
      <c r="A492" s="29" t="n">
        <v>129481</v>
      </c>
      <c r="B492" s="29" t="s">
        <v>1663</v>
      </c>
      <c r="C492" s="29" t="s">
        <v>1515</v>
      </c>
      <c r="D492" s="29" t="s">
        <v>265</v>
      </c>
      <c r="E492" s="29" t="s">
        <v>266</v>
      </c>
      <c r="F492" s="29" t="s">
        <v>69</v>
      </c>
      <c r="G492" s="29" t="s">
        <v>67</v>
      </c>
      <c r="H492" s="29" t="s">
        <v>1379</v>
      </c>
      <c r="I492" s="29" t="s">
        <v>1863</v>
      </c>
      <c r="J492" s="29" t="n">
        <v>0</v>
      </c>
      <c r="K492" s="29" t="n">
        <v>0</v>
      </c>
      <c r="L492" s="29" t="s">
        <v>1846</v>
      </c>
    </row>
    <row r="493" customFormat="false" ht="15" hidden="false" customHeight="false" outlineLevel="0" collapsed="false">
      <c r="A493" s="29" t="n">
        <v>129481</v>
      </c>
      <c r="B493" s="29" t="s">
        <v>1663</v>
      </c>
      <c r="C493" s="29" t="s">
        <v>1515</v>
      </c>
      <c r="D493" s="29" t="s">
        <v>285</v>
      </c>
      <c r="E493" s="29" t="s">
        <v>286</v>
      </c>
      <c r="F493" s="29" t="s">
        <v>69</v>
      </c>
      <c r="G493" s="29" t="s">
        <v>68</v>
      </c>
      <c r="H493" s="29" t="s">
        <v>1381</v>
      </c>
      <c r="I493" s="29" t="s">
        <v>1864</v>
      </c>
      <c r="J493" s="29" t="n">
        <v>0</v>
      </c>
      <c r="K493" s="29" t="n">
        <v>0</v>
      </c>
      <c r="L493" s="29" t="s">
        <v>1846</v>
      </c>
    </row>
    <row r="494" customFormat="false" ht="15" hidden="false" customHeight="false" outlineLevel="0" collapsed="false">
      <c r="A494" s="29" t="n">
        <v>129481</v>
      </c>
      <c r="B494" s="29" t="s">
        <v>1663</v>
      </c>
      <c r="C494" s="29" t="s">
        <v>1515</v>
      </c>
      <c r="D494" s="29" t="s">
        <v>291</v>
      </c>
      <c r="E494" s="29" t="s">
        <v>292</v>
      </c>
      <c r="F494" s="29" t="s">
        <v>69</v>
      </c>
      <c r="G494" s="29" t="s">
        <v>68</v>
      </c>
      <c r="H494" s="29" t="s">
        <v>1381</v>
      </c>
      <c r="I494" s="29" t="s">
        <v>1865</v>
      </c>
      <c r="J494" s="29" t="n">
        <v>0</v>
      </c>
      <c r="K494" s="29" t="n">
        <v>0</v>
      </c>
      <c r="L494" s="29" t="s">
        <v>1846</v>
      </c>
    </row>
    <row r="495" customFormat="false" ht="15" hidden="false" customHeight="false" outlineLevel="0" collapsed="false">
      <c r="A495" s="29" t="n">
        <v>129481</v>
      </c>
      <c r="B495" s="29" t="s">
        <v>1663</v>
      </c>
      <c r="C495" s="29" t="s">
        <v>1515</v>
      </c>
      <c r="D495" s="29" t="s">
        <v>297</v>
      </c>
      <c r="E495" s="29" t="s">
        <v>298</v>
      </c>
      <c r="F495" s="29" t="s">
        <v>69</v>
      </c>
      <c r="G495" s="29" t="s">
        <v>68</v>
      </c>
      <c r="H495" s="29" t="s">
        <v>1381</v>
      </c>
      <c r="I495" s="29" t="s">
        <v>1848</v>
      </c>
      <c r="J495" s="29" t="n">
        <v>0</v>
      </c>
      <c r="K495" s="29" t="n">
        <v>0</v>
      </c>
      <c r="L495" s="29" t="s">
        <v>1846</v>
      </c>
    </row>
    <row r="496" customFormat="false" ht="15" hidden="false" customHeight="false" outlineLevel="0" collapsed="false">
      <c r="A496" s="29" t="n">
        <v>129481</v>
      </c>
      <c r="B496" s="29" t="s">
        <v>1663</v>
      </c>
      <c r="C496" s="29" t="s">
        <v>1515</v>
      </c>
      <c r="D496" s="29" t="s">
        <v>433</v>
      </c>
      <c r="E496" s="29" t="s">
        <v>434</v>
      </c>
      <c r="F496" s="29" t="s">
        <v>82</v>
      </c>
      <c r="G496" s="29" t="s">
        <v>66</v>
      </c>
      <c r="H496" s="29" t="s">
        <v>1379</v>
      </c>
      <c r="I496" s="29" t="s">
        <v>1863</v>
      </c>
      <c r="J496" s="29" t="n">
        <v>0</v>
      </c>
      <c r="K496" s="29" t="n">
        <v>0</v>
      </c>
      <c r="L496" s="29" t="s">
        <v>1846</v>
      </c>
    </row>
    <row r="497" customFormat="false" ht="15" hidden="false" customHeight="false" outlineLevel="0" collapsed="false">
      <c r="A497" s="29" t="n">
        <v>129481</v>
      </c>
      <c r="B497" s="29" t="s">
        <v>1663</v>
      </c>
      <c r="C497" s="29" t="s">
        <v>1515</v>
      </c>
      <c r="D497" s="29" t="s">
        <v>668</v>
      </c>
      <c r="E497" s="29" t="s">
        <v>669</v>
      </c>
      <c r="F497" s="29" t="s">
        <v>105</v>
      </c>
      <c r="G497" s="29" t="s">
        <v>66</v>
      </c>
      <c r="H497" s="29" t="s">
        <v>1379</v>
      </c>
      <c r="I497" s="29" t="s">
        <v>1863</v>
      </c>
      <c r="J497" s="29" t="n">
        <v>0</v>
      </c>
      <c r="K497" s="29" t="n">
        <v>0</v>
      </c>
      <c r="L497" s="29" t="s">
        <v>1846</v>
      </c>
    </row>
    <row r="498" customFormat="false" ht="15" hidden="false" customHeight="false" outlineLevel="0" collapsed="false">
      <c r="A498" s="29" t="n">
        <v>129481</v>
      </c>
      <c r="B498" s="29" t="s">
        <v>1663</v>
      </c>
      <c r="C498" s="29" t="s">
        <v>1515</v>
      </c>
      <c r="D498" s="29" t="s">
        <v>680</v>
      </c>
      <c r="E498" s="29" t="s">
        <v>681</v>
      </c>
      <c r="F498" s="29" t="s">
        <v>105</v>
      </c>
      <c r="G498" s="29" t="s">
        <v>66</v>
      </c>
      <c r="H498" s="29" t="s">
        <v>1379</v>
      </c>
      <c r="I498" s="29" t="s">
        <v>1863</v>
      </c>
      <c r="J498" s="29" t="n">
        <v>0</v>
      </c>
      <c r="K498" s="29" t="n">
        <v>0</v>
      </c>
      <c r="L498" s="29" t="s">
        <v>1846</v>
      </c>
    </row>
    <row r="499" customFormat="false" ht="15" hidden="false" customHeight="false" outlineLevel="0" collapsed="false">
      <c r="A499" s="29" t="n">
        <v>129481</v>
      </c>
      <c r="B499" s="29" t="s">
        <v>1663</v>
      </c>
      <c r="C499" s="29" t="s">
        <v>1515</v>
      </c>
      <c r="D499" s="29" t="s">
        <v>711</v>
      </c>
      <c r="E499" s="29" t="s">
        <v>712</v>
      </c>
      <c r="F499" s="29" t="s">
        <v>116</v>
      </c>
      <c r="G499" s="29" t="s">
        <v>66</v>
      </c>
      <c r="H499" s="29" t="s">
        <v>1379</v>
      </c>
      <c r="I499" s="29" t="s">
        <v>1863</v>
      </c>
      <c r="J499" s="29" t="n">
        <v>0</v>
      </c>
      <c r="K499" s="29" t="n">
        <v>0</v>
      </c>
      <c r="L499" s="29" t="s">
        <v>1846</v>
      </c>
    </row>
    <row r="500" customFormat="false" ht="15" hidden="false" customHeight="false" outlineLevel="0" collapsed="false">
      <c r="A500" s="29" t="n">
        <v>134411</v>
      </c>
      <c r="B500" s="29" t="s">
        <v>1667</v>
      </c>
      <c r="C500" s="29" t="s">
        <v>1668</v>
      </c>
      <c r="D500" s="29" t="s">
        <v>247</v>
      </c>
      <c r="E500" s="29" t="s">
        <v>248</v>
      </c>
      <c r="F500" s="29" t="s">
        <v>69</v>
      </c>
      <c r="G500" s="29" t="s">
        <v>67</v>
      </c>
      <c r="H500" s="29" t="s">
        <v>1844</v>
      </c>
      <c r="I500" s="29" t="s">
        <v>1848</v>
      </c>
      <c r="J500" s="29" t="n">
        <v>0</v>
      </c>
      <c r="K500" s="29" t="n">
        <v>0</v>
      </c>
      <c r="L500" s="29" t="s">
        <v>1849</v>
      </c>
    </row>
    <row r="501" customFormat="false" ht="15" hidden="false" customHeight="false" outlineLevel="0" collapsed="false">
      <c r="A501" s="29" t="n">
        <v>134411</v>
      </c>
      <c r="B501" s="29" t="s">
        <v>1667</v>
      </c>
      <c r="C501" s="29" t="s">
        <v>1668</v>
      </c>
      <c r="D501" s="29" t="s">
        <v>265</v>
      </c>
      <c r="E501" s="29" t="s">
        <v>266</v>
      </c>
      <c r="F501" s="29" t="s">
        <v>69</v>
      </c>
      <c r="G501" s="29" t="s">
        <v>67</v>
      </c>
      <c r="H501" s="29" t="s">
        <v>1379</v>
      </c>
      <c r="I501" s="29" t="s">
        <v>1863</v>
      </c>
      <c r="J501" s="29" t="n">
        <v>0</v>
      </c>
      <c r="K501" s="29" t="n">
        <v>1</v>
      </c>
      <c r="L501" s="29" t="s">
        <v>1866</v>
      </c>
    </row>
    <row r="502" customFormat="false" ht="15" hidden="false" customHeight="false" outlineLevel="0" collapsed="false">
      <c r="A502" s="29" t="n">
        <v>134411</v>
      </c>
      <c r="B502" s="29" t="s">
        <v>1667</v>
      </c>
      <c r="C502" s="29" t="s">
        <v>1668</v>
      </c>
      <c r="D502" s="29" t="s">
        <v>277</v>
      </c>
      <c r="E502" s="29" t="s">
        <v>278</v>
      </c>
      <c r="F502" s="29" t="s">
        <v>69</v>
      </c>
      <c r="G502" s="29" t="s">
        <v>67</v>
      </c>
      <c r="H502" s="29" t="s">
        <v>1844</v>
      </c>
      <c r="I502" s="29" t="s">
        <v>1851</v>
      </c>
      <c r="J502" s="29" t="n">
        <v>0</v>
      </c>
      <c r="K502" s="29" t="n">
        <v>1</v>
      </c>
      <c r="L502" s="29" t="s">
        <v>1866</v>
      </c>
    </row>
    <row r="503" customFormat="false" ht="15" hidden="false" customHeight="false" outlineLevel="0" collapsed="false">
      <c r="A503" s="29" t="n">
        <v>134411</v>
      </c>
      <c r="B503" s="29" t="s">
        <v>1667</v>
      </c>
      <c r="C503" s="29" t="s">
        <v>1668</v>
      </c>
      <c r="D503" s="29" t="s">
        <v>291</v>
      </c>
      <c r="E503" s="29" t="s">
        <v>292</v>
      </c>
      <c r="F503" s="29" t="s">
        <v>69</v>
      </c>
      <c r="G503" s="29" t="s">
        <v>68</v>
      </c>
      <c r="H503" s="29" t="s">
        <v>1381</v>
      </c>
      <c r="I503" s="29" t="s">
        <v>1845</v>
      </c>
      <c r="J503" s="29" t="n">
        <v>0</v>
      </c>
      <c r="K503" s="29" t="n">
        <v>0</v>
      </c>
      <c r="L503" s="29" t="s">
        <v>1849</v>
      </c>
    </row>
    <row r="504" customFormat="false" ht="15" hidden="false" customHeight="false" outlineLevel="0" collapsed="false">
      <c r="A504" s="29" t="n">
        <v>134411</v>
      </c>
      <c r="B504" s="29" t="s">
        <v>1667</v>
      </c>
      <c r="C504" s="29" t="s">
        <v>1668</v>
      </c>
      <c r="D504" s="29" t="s">
        <v>297</v>
      </c>
      <c r="E504" s="29" t="s">
        <v>298</v>
      </c>
      <c r="F504" s="29" t="s">
        <v>69</v>
      </c>
      <c r="G504" s="29" t="s">
        <v>68</v>
      </c>
      <c r="H504" s="29" t="s">
        <v>1381</v>
      </c>
      <c r="I504" s="29" t="s">
        <v>1848</v>
      </c>
      <c r="J504" s="29" t="n">
        <v>0</v>
      </c>
      <c r="K504" s="29" t="n">
        <v>0</v>
      </c>
      <c r="L504" s="29" t="s">
        <v>1849</v>
      </c>
    </row>
    <row r="505" customFormat="false" ht="15" hidden="false" customHeight="false" outlineLevel="0" collapsed="false">
      <c r="A505" s="29" t="n">
        <v>134411</v>
      </c>
      <c r="B505" s="29" t="s">
        <v>1667</v>
      </c>
      <c r="C505" s="29" t="s">
        <v>1668</v>
      </c>
      <c r="D505" s="29" t="s">
        <v>304</v>
      </c>
      <c r="E505" s="29" t="s">
        <v>305</v>
      </c>
      <c r="F505" s="29" t="s">
        <v>69</v>
      </c>
      <c r="G505" s="29" t="s">
        <v>68</v>
      </c>
      <c r="H505" s="29" t="s">
        <v>1381</v>
      </c>
      <c r="I505" s="29" t="s">
        <v>1851</v>
      </c>
      <c r="J505" s="29" t="n">
        <v>0</v>
      </c>
      <c r="K505" s="29" t="n">
        <v>0</v>
      </c>
      <c r="L505" s="29" t="s">
        <v>1849</v>
      </c>
    </row>
    <row r="506" customFormat="false" ht="15" hidden="false" customHeight="false" outlineLevel="0" collapsed="false">
      <c r="A506" s="29" t="n">
        <v>134411</v>
      </c>
      <c r="B506" s="29" t="s">
        <v>1667</v>
      </c>
      <c r="C506" s="29" t="s">
        <v>1668</v>
      </c>
      <c r="D506" s="29" t="s">
        <v>311</v>
      </c>
      <c r="E506" s="29" t="s">
        <v>312</v>
      </c>
      <c r="F506" s="29" t="s">
        <v>69</v>
      </c>
      <c r="G506" s="29" t="s">
        <v>68</v>
      </c>
      <c r="H506" s="29" t="s">
        <v>1381</v>
      </c>
      <c r="I506" s="29" t="s">
        <v>1851</v>
      </c>
      <c r="J506" s="29" t="n">
        <v>0</v>
      </c>
      <c r="K506" s="29" t="n">
        <v>0</v>
      </c>
      <c r="L506" s="29" t="s">
        <v>1849</v>
      </c>
    </row>
    <row r="507" customFormat="false" ht="15" hidden="false" customHeight="false" outlineLevel="0" collapsed="false">
      <c r="A507" s="29" t="n">
        <v>134411</v>
      </c>
      <c r="B507" s="29" t="s">
        <v>1667</v>
      </c>
      <c r="C507" s="29" t="s">
        <v>1668</v>
      </c>
      <c r="D507" s="29" t="s">
        <v>433</v>
      </c>
      <c r="E507" s="29" t="s">
        <v>434</v>
      </c>
      <c r="F507" s="29" t="s">
        <v>82</v>
      </c>
      <c r="G507" s="29" t="s">
        <v>66</v>
      </c>
      <c r="H507" s="29" t="s">
        <v>1379</v>
      </c>
      <c r="I507" s="29" t="s">
        <v>1863</v>
      </c>
      <c r="J507" s="29" t="n">
        <v>0</v>
      </c>
      <c r="K507" s="29" t="n">
        <v>0</v>
      </c>
      <c r="L507" s="29" t="s">
        <v>1849</v>
      </c>
    </row>
    <row r="508" customFormat="false" ht="15" hidden="false" customHeight="false" outlineLevel="0" collapsed="false">
      <c r="A508" s="29" t="n">
        <v>134411</v>
      </c>
      <c r="B508" s="29" t="s">
        <v>1667</v>
      </c>
      <c r="C508" s="29" t="s">
        <v>1668</v>
      </c>
      <c r="D508" s="29" t="s">
        <v>508</v>
      </c>
      <c r="E508" s="29" t="s">
        <v>509</v>
      </c>
      <c r="F508" s="29" t="s">
        <v>88</v>
      </c>
      <c r="G508" s="29" t="s">
        <v>67</v>
      </c>
      <c r="H508" s="29" t="s">
        <v>1844</v>
      </c>
      <c r="I508" s="29" t="s">
        <v>1847</v>
      </c>
      <c r="J508" s="29" t="n">
        <v>0</v>
      </c>
      <c r="K508" s="29" t="n">
        <v>1</v>
      </c>
      <c r="L508" s="29" t="s">
        <v>1866</v>
      </c>
    </row>
    <row r="509" customFormat="false" ht="15" hidden="false" customHeight="false" outlineLevel="0" collapsed="false">
      <c r="A509" s="29" t="n">
        <v>134411</v>
      </c>
      <c r="B509" s="29" t="s">
        <v>1667</v>
      </c>
      <c r="C509" s="29" t="s">
        <v>1668</v>
      </c>
      <c r="D509" s="29" t="s">
        <v>515</v>
      </c>
      <c r="E509" s="29" t="s">
        <v>516</v>
      </c>
      <c r="F509" s="29" t="s">
        <v>88</v>
      </c>
      <c r="G509" s="29" t="s">
        <v>67</v>
      </c>
      <c r="H509" s="29" t="s">
        <v>1844</v>
      </c>
      <c r="I509" s="29" t="s">
        <v>1847</v>
      </c>
      <c r="J509" s="29" t="n">
        <v>0</v>
      </c>
      <c r="K509" s="29" t="n">
        <v>0</v>
      </c>
      <c r="L509" s="29" t="s">
        <v>1849</v>
      </c>
    </row>
    <row r="510" customFormat="false" ht="15" hidden="false" customHeight="false" outlineLevel="0" collapsed="false">
      <c r="A510" s="29" t="n">
        <v>134411</v>
      </c>
      <c r="B510" s="29" t="s">
        <v>1667</v>
      </c>
      <c r="C510" s="29" t="s">
        <v>1668</v>
      </c>
      <c r="D510" s="29" t="s">
        <v>523</v>
      </c>
      <c r="E510" s="29" t="s">
        <v>524</v>
      </c>
      <c r="F510" s="29" t="s">
        <v>88</v>
      </c>
      <c r="G510" s="29" t="s">
        <v>67</v>
      </c>
      <c r="H510" s="29" t="s">
        <v>1844</v>
      </c>
      <c r="I510" s="29" t="s">
        <v>1856</v>
      </c>
      <c r="J510" s="29" t="n">
        <v>0</v>
      </c>
      <c r="K510" s="29" t="n">
        <v>0</v>
      </c>
      <c r="L510" s="29" t="s">
        <v>1849</v>
      </c>
    </row>
    <row r="511" customFormat="false" ht="15" hidden="false" customHeight="false" outlineLevel="0" collapsed="false">
      <c r="A511" s="29" t="n">
        <v>134411</v>
      </c>
      <c r="B511" s="29" t="s">
        <v>1667</v>
      </c>
      <c r="C511" s="29" t="s">
        <v>1668</v>
      </c>
      <c r="D511" s="29" t="s">
        <v>530</v>
      </c>
      <c r="E511" s="29" t="s">
        <v>531</v>
      </c>
      <c r="F511" s="29" t="s">
        <v>88</v>
      </c>
      <c r="G511" s="29" t="s">
        <v>68</v>
      </c>
      <c r="H511" s="29" t="s">
        <v>1381</v>
      </c>
      <c r="I511" s="29" t="s">
        <v>1847</v>
      </c>
      <c r="J511" s="29" t="n">
        <v>0</v>
      </c>
      <c r="K511" s="29" t="n">
        <v>0</v>
      </c>
      <c r="L511" s="29" t="s">
        <v>1849</v>
      </c>
    </row>
    <row r="512" customFormat="false" ht="15" hidden="false" customHeight="false" outlineLevel="0" collapsed="false">
      <c r="A512" s="29" t="n">
        <v>134411</v>
      </c>
      <c r="B512" s="29" t="s">
        <v>1667</v>
      </c>
      <c r="C512" s="29" t="s">
        <v>1668</v>
      </c>
      <c r="D512" s="29" t="s">
        <v>536</v>
      </c>
      <c r="E512" s="29" t="s">
        <v>537</v>
      </c>
      <c r="F512" s="29" t="s">
        <v>88</v>
      </c>
      <c r="G512" s="29" t="s">
        <v>68</v>
      </c>
      <c r="H512" s="29" t="s">
        <v>1381</v>
      </c>
      <c r="I512" s="29" t="s">
        <v>1847</v>
      </c>
      <c r="J512" s="29" t="n">
        <v>0</v>
      </c>
      <c r="K512" s="29" t="n">
        <v>0</v>
      </c>
      <c r="L512" s="29" t="s">
        <v>1849</v>
      </c>
    </row>
    <row r="513" customFormat="false" ht="15" hidden="false" customHeight="false" outlineLevel="0" collapsed="false">
      <c r="A513" s="29" t="n">
        <v>134411</v>
      </c>
      <c r="B513" s="29" t="s">
        <v>1667</v>
      </c>
      <c r="C513" s="29" t="s">
        <v>1668</v>
      </c>
      <c r="D513" s="29" t="s">
        <v>543</v>
      </c>
      <c r="E513" s="29" t="s">
        <v>544</v>
      </c>
      <c r="F513" s="29" t="s">
        <v>88</v>
      </c>
      <c r="G513" s="29" t="s">
        <v>68</v>
      </c>
      <c r="H513" s="29" t="s">
        <v>1381</v>
      </c>
      <c r="I513" s="29" t="s">
        <v>1847</v>
      </c>
      <c r="J513" s="29" t="n">
        <v>0</v>
      </c>
      <c r="K513" s="29" t="n">
        <v>0</v>
      </c>
      <c r="L513" s="29" t="s">
        <v>1849</v>
      </c>
    </row>
    <row r="514" customFormat="false" ht="15" hidden="false" customHeight="false" outlineLevel="0" collapsed="false">
      <c r="A514" s="29" t="n">
        <v>134411</v>
      </c>
      <c r="B514" s="29" t="s">
        <v>1667</v>
      </c>
      <c r="C514" s="29" t="s">
        <v>1668</v>
      </c>
      <c r="D514" s="29" t="s">
        <v>551</v>
      </c>
      <c r="E514" s="29" t="s">
        <v>552</v>
      </c>
      <c r="F514" s="29" t="s">
        <v>88</v>
      </c>
      <c r="G514" s="29" t="s">
        <v>68</v>
      </c>
      <c r="H514" s="29" t="s">
        <v>1381</v>
      </c>
      <c r="I514" s="29" t="s">
        <v>1857</v>
      </c>
      <c r="J514" s="29" t="n">
        <v>0</v>
      </c>
      <c r="K514" s="29" t="n">
        <v>0</v>
      </c>
      <c r="L514" s="29" t="s">
        <v>1849</v>
      </c>
    </row>
    <row r="515" customFormat="false" ht="15" hidden="false" customHeight="false" outlineLevel="0" collapsed="false">
      <c r="A515" s="29" t="n">
        <v>134411</v>
      </c>
      <c r="B515" s="29" t="s">
        <v>1667</v>
      </c>
      <c r="C515" s="29" t="s">
        <v>1668</v>
      </c>
      <c r="D515" s="29" t="s">
        <v>558</v>
      </c>
      <c r="E515" s="29" t="s">
        <v>559</v>
      </c>
      <c r="F515" s="29" t="s">
        <v>88</v>
      </c>
      <c r="G515" s="29" t="s">
        <v>68</v>
      </c>
      <c r="H515" s="29" t="s">
        <v>1381</v>
      </c>
      <c r="I515" s="29" t="s">
        <v>1856</v>
      </c>
      <c r="J515" s="29" t="n">
        <v>0</v>
      </c>
      <c r="K515" s="29" t="n">
        <v>0</v>
      </c>
      <c r="L515" s="29" t="s">
        <v>1849</v>
      </c>
    </row>
    <row r="516" customFormat="false" ht="15" hidden="false" customHeight="false" outlineLevel="0" collapsed="false">
      <c r="A516" s="29" t="n">
        <v>134411</v>
      </c>
      <c r="B516" s="29" t="s">
        <v>1667</v>
      </c>
      <c r="C516" s="29" t="s">
        <v>1668</v>
      </c>
      <c r="D516" s="29" t="s">
        <v>565</v>
      </c>
      <c r="E516" s="29" t="s">
        <v>566</v>
      </c>
      <c r="F516" s="29" t="s">
        <v>88</v>
      </c>
      <c r="G516" s="29" t="s">
        <v>68</v>
      </c>
      <c r="H516" s="29" t="s">
        <v>1381</v>
      </c>
      <c r="I516" s="29" t="s">
        <v>1856</v>
      </c>
      <c r="J516" s="29" t="n">
        <v>0</v>
      </c>
      <c r="K516" s="29" t="n">
        <v>0</v>
      </c>
      <c r="L516" s="29" t="s">
        <v>1849</v>
      </c>
    </row>
    <row r="517" customFormat="false" ht="15" hidden="false" customHeight="false" outlineLevel="0" collapsed="false">
      <c r="A517" s="29" t="n">
        <v>134411</v>
      </c>
      <c r="B517" s="29" t="s">
        <v>1667</v>
      </c>
      <c r="C517" s="29" t="s">
        <v>1668</v>
      </c>
      <c r="D517" s="29" t="s">
        <v>572</v>
      </c>
      <c r="E517" s="29" t="s">
        <v>573</v>
      </c>
      <c r="F517" s="29" t="s">
        <v>88</v>
      </c>
      <c r="G517" s="29" t="s">
        <v>68</v>
      </c>
      <c r="H517" s="29" t="s">
        <v>1381</v>
      </c>
      <c r="I517" s="29" t="s">
        <v>1847</v>
      </c>
      <c r="J517" s="29" t="n">
        <v>0</v>
      </c>
      <c r="K517" s="29" t="n">
        <v>0</v>
      </c>
      <c r="L517" s="29" t="s">
        <v>1849</v>
      </c>
    </row>
    <row r="518" customFormat="false" ht="15" hidden="false" customHeight="false" outlineLevel="0" collapsed="false">
      <c r="A518" s="29" t="n">
        <v>134411</v>
      </c>
      <c r="B518" s="29" t="s">
        <v>1667</v>
      </c>
      <c r="C518" s="29" t="s">
        <v>1668</v>
      </c>
      <c r="D518" s="29" t="s">
        <v>668</v>
      </c>
      <c r="E518" s="29" t="s">
        <v>669</v>
      </c>
      <c r="F518" s="29" t="s">
        <v>105</v>
      </c>
      <c r="G518" s="29" t="s">
        <v>66</v>
      </c>
      <c r="H518" s="29" t="s">
        <v>1379</v>
      </c>
      <c r="I518" s="29" t="s">
        <v>1863</v>
      </c>
      <c r="J518" s="29" t="n">
        <v>0</v>
      </c>
      <c r="K518" s="29" t="n">
        <v>0</v>
      </c>
      <c r="L518" s="29" t="s">
        <v>1849</v>
      </c>
    </row>
    <row r="519" customFormat="false" ht="15" hidden="false" customHeight="false" outlineLevel="0" collapsed="false">
      <c r="A519" s="29" t="n">
        <v>134411</v>
      </c>
      <c r="B519" s="29" t="s">
        <v>1667</v>
      </c>
      <c r="C519" s="29" t="s">
        <v>1668</v>
      </c>
      <c r="D519" s="29" t="s">
        <v>680</v>
      </c>
      <c r="E519" s="29" t="s">
        <v>681</v>
      </c>
      <c r="F519" s="29" t="s">
        <v>105</v>
      </c>
      <c r="G519" s="29" t="s">
        <v>66</v>
      </c>
      <c r="H519" s="29" t="s">
        <v>1379</v>
      </c>
      <c r="I519" s="29" t="s">
        <v>1863</v>
      </c>
      <c r="J519" s="29" t="n">
        <v>0</v>
      </c>
      <c r="K519" s="29" t="n">
        <v>0</v>
      </c>
      <c r="L519" s="29" t="s">
        <v>1849</v>
      </c>
    </row>
    <row r="520" customFormat="false" ht="15" hidden="false" customHeight="false" outlineLevel="0" collapsed="false">
      <c r="A520" s="29" t="n">
        <v>134411</v>
      </c>
      <c r="B520" s="29" t="s">
        <v>1667</v>
      </c>
      <c r="C520" s="29" t="s">
        <v>1668</v>
      </c>
      <c r="D520" s="29" t="s">
        <v>711</v>
      </c>
      <c r="E520" s="29" t="s">
        <v>712</v>
      </c>
      <c r="F520" s="29" t="s">
        <v>116</v>
      </c>
      <c r="G520" s="29" t="s">
        <v>66</v>
      </c>
      <c r="H520" s="29" t="s">
        <v>1379</v>
      </c>
      <c r="I520" s="29" t="s">
        <v>1863</v>
      </c>
      <c r="J520" s="29" t="n">
        <v>0</v>
      </c>
      <c r="K520" s="29" t="n">
        <v>0</v>
      </c>
      <c r="L520" s="29" t="s">
        <v>1849</v>
      </c>
    </row>
    <row r="521" customFormat="false" ht="15" hidden="false" customHeight="false" outlineLevel="0" collapsed="false">
      <c r="A521" s="29" t="n">
        <v>102120</v>
      </c>
      <c r="B521" s="29" t="s">
        <v>1673</v>
      </c>
      <c r="C521" s="29" t="s">
        <v>1674</v>
      </c>
      <c r="D521" s="29" t="s">
        <v>265</v>
      </c>
      <c r="E521" s="29" t="s">
        <v>266</v>
      </c>
      <c r="F521" s="29" t="s">
        <v>69</v>
      </c>
      <c r="G521" s="29" t="s">
        <v>67</v>
      </c>
      <c r="H521" s="29" t="s">
        <v>1844</v>
      </c>
      <c r="I521" s="29" t="s">
        <v>1845</v>
      </c>
      <c r="J521" s="29" t="n">
        <v>0</v>
      </c>
      <c r="K521" s="29" t="n">
        <v>0</v>
      </c>
      <c r="L521" s="29" t="s">
        <v>1846</v>
      </c>
    </row>
    <row r="522" customFormat="false" ht="15" hidden="false" customHeight="false" outlineLevel="0" collapsed="false">
      <c r="A522" s="29" t="n">
        <v>102120</v>
      </c>
      <c r="B522" s="29" t="s">
        <v>1673</v>
      </c>
      <c r="C522" s="29" t="s">
        <v>1674</v>
      </c>
      <c r="D522" s="29" t="s">
        <v>291</v>
      </c>
      <c r="E522" s="29" t="s">
        <v>292</v>
      </c>
      <c r="F522" s="29" t="s">
        <v>69</v>
      </c>
      <c r="G522" s="29" t="s">
        <v>68</v>
      </c>
      <c r="H522" s="29" t="s">
        <v>1381</v>
      </c>
      <c r="I522" s="29" t="s">
        <v>1845</v>
      </c>
      <c r="J522" s="29" t="n">
        <v>0</v>
      </c>
      <c r="K522" s="29" t="n">
        <v>0</v>
      </c>
      <c r="L522" s="29" t="s">
        <v>1846</v>
      </c>
    </row>
    <row r="523" customFormat="false" ht="15" hidden="false" customHeight="false" outlineLevel="0" collapsed="false">
      <c r="A523" s="29" t="n">
        <v>116876</v>
      </c>
      <c r="B523" s="29" t="s">
        <v>1677</v>
      </c>
      <c r="C523" s="29" t="s">
        <v>1678</v>
      </c>
      <c r="D523" s="29" t="s">
        <v>265</v>
      </c>
      <c r="E523" s="29" t="s">
        <v>266</v>
      </c>
      <c r="F523" s="29" t="s">
        <v>69</v>
      </c>
      <c r="G523" s="29" t="s">
        <v>67</v>
      </c>
      <c r="H523" s="29" t="s">
        <v>1844</v>
      </c>
      <c r="I523" s="29" t="s">
        <v>1845</v>
      </c>
      <c r="J523" s="29" t="n">
        <v>0</v>
      </c>
      <c r="K523" s="29" t="n">
        <v>0</v>
      </c>
      <c r="L523" s="29" t="s">
        <v>1846</v>
      </c>
    </row>
    <row r="524" customFormat="false" ht="15" hidden="false" customHeight="false" outlineLevel="0" collapsed="false">
      <c r="A524" s="29" t="n">
        <v>116876</v>
      </c>
      <c r="B524" s="29" t="s">
        <v>1677</v>
      </c>
      <c r="C524" s="29" t="s">
        <v>1678</v>
      </c>
      <c r="D524" s="29" t="s">
        <v>291</v>
      </c>
      <c r="E524" s="29" t="s">
        <v>292</v>
      </c>
      <c r="F524" s="29" t="s">
        <v>69</v>
      </c>
      <c r="G524" s="29" t="s">
        <v>68</v>
      </c>
      <c r="H524" s="29" t="s">
        <v>1381</v>
      </c>
      <c r="I524" s="29" t="s">
        <v>1845</v>
      </c>
      <c r="J524" s="29" t="n">
        <v>0</v>
      </c>
      <c r="K524" s="29" t="n">
        <v>0</v>
      </c>
      <c r="L524" s="29" t="s">
        <v>1846</v>
      </c>
    </row>
    <row r="525" customFormat="false" ht="15" hidden="false" customHeight="false" outlineLevel="0" collapsed="false">
      <c r="A525" s="29" t="n">
        <v>103850</v>
      </c>
      <c r="B525" s="29" t="s">
        <v>1682</v>
      </c>
      <c r="C525" s="29" t="s">
        <v>1683</v>
      </c>
      <c r="D525" s="29" t="s">
        <v>247</v>
      </c>
      <c r="E525" s="29" t="s">
        <v>248</v>
      </c>
      <c r="F525" s="29" t="s">
        <v>69</v>
      </c>
      <c r="G525" s="29" t="s">
        <v>67</v>
      </c>
      <c r="H525" s="29" t="s">
        <v>1844</v>
      </c>
      <c r="I525" s="29" t="s">
        <v>1848</v>
      </c>
      <c r="J525" s="29" t="n">
        <v>0</v>
      </c>
      <c r="K525" s="29" t="n">
        <v>0</v>
      </c>
      <c r="L525" s="29" t="s">
        <v>1846</v>
      </c>
    </row>
    <row r="526" customFormat="false" ht="15" hidden="false" customHeight="false" outlineLevel="0" collapsed="false">
      <c r="A526" s="29" t="n">
        <v>103850</v>
      </c>
      <c r="B526" s="29" t="s">
        <v>1682</v>
      </c>
      <c r="C526" s="29" t="s">
        <v>1683</v>
      </c>
      <c r="D526" s="29" t="s">
        <v>277</v>
      </c>
      <c r="E526" s="29" t="s">
        <v>278</v>
      </c>
      <c r="F526" s="29" t="s">
        <v>69</v>
      </c>
      <c r="G526" s="29" t="s">
        <v>67</v>
      </c>
      <c r="H526" s="29" t="s">
        <v>1379</v>
      </c>
      <c r="I526" s="29" t="s">
        <v>1850</v>
      </c>
      <c r="J526" s="29" t="n">
        <v>0</v>
      </c>
      <c r="K526" s="29" t="n">
        <v>0</v>
      </c>
      <c r="L526" s="29" t="s">
        <v>1846</v>
      </c>
    </row>
    <row r="527" customFormat="false" ht="15" hidden="false" customHeight="false" outlineLevel="0" collapsed="false">
      <c r="A527" s="29" t="n">
        <v>103850</v>
      </c>
      <c r="B527" s="29" t="s">
        <v>1682</v>
      </c>
      <c r="C527" s="29" t="s">
        <v>1683</v>
      </c>
      <c r="D527" s="29" t="s">
        <v>297</v>
      </c>
      <c r="E527" s="29" t="s">
        <v>298</v>
      </c>
      <c r="F527" s="29" t="s">
        <v>69</v>
      </c>
      <c r="G527" s="29" t="s">
        <v>68</v>
      </c>
      <c r="H527" s="29" t="s">
        <v>1381</v>
      </c>
      <c r="I527" s="29" t="s">
        <v>1848</v>
      </c>
      <c r="J527" s="29" t="n">
        <v>0</v>
      </c>
      <c r="K527" s="29" t="n">
        <v>0</v>
      </c>
      <c r="L527" s="29" t="s">
        <v>1846</v>
      </c>
    </row>
    <row r="528" customFormat="false" ht="15" hidden="false" customHeight="false" outlineLevel="0" collapsed="false">
      <c r="A528" s="29" t="n">
        <v>103850</v>
      </c>
      <c r="B528" s="29" t="s">
        <v>1682</v>
      </c>
      <c r="C528" s="29" t="s">
        <v>1683</v>
      </c>
      <c r="D528" s="29" t="s">
        <v>304</v>
      </c>
      <c r="E528" s="29" t="s">
        <v>305</v>
      </c>
      <c r="F528" s="29" t="s">
        <v>69</v>
      </c>
      <c r="G528" s="29" t="s">
        <v>68</v>
      </c>
      <c r="H528" s="29" t="s">
        <v>1381</v>
      </c>
      <c r="I528" s="29" t="s">
        <v>1851</v>
      </c>
      <c r="J528" s="29" t="n">
        <v>0</v>
      </c>
      <c r="K528" s="29" t="n">
        <v>0</v>
      </c>
      <c r="L528" s="29" t="s">
        <v>1846</v>
      </c>
    </row>
    <row r="529" customFormat="false" ht="15" hidden="false" customHeight="false" outlineLevel="0" collapsed="false">
      <c r="A529" s="29" t="n">
        <v>103850</v>
      </c>
      <c r="B529" s="29" t="s">
        <v>1682</v>
      </c>
      <c r="C529" s="29" t="s">
        <v>1683</v>
      </c>
      <c r="D529" s="29" t="s">
        <v>311</v>
      </c>
      <c r="E529" s="29" t="s">
        <v>312</v>
      </c>
      <c r="F529" s="29" t="s">
        <v>69</v>
      </c>
      <c r="G529" s="29" t="s">
        <v>68</v>
      </c>
      <c r="H529" s="29" t="s">
        <v>1381</v>
      </c>
      <c r="I529" s="29" t="s">
        <v>1851</v>
      </c>
      <c r="J529" s="29" t="n">
        <v>0</v>
      </c>
      <c r="K529" s="29" t="n">
        <v>0</v>
      </c>
      <c r="L529" s="29" t="s">
        <v>1846</v>
      </c>
    </row>
    <row r="530" customFormat="false" ht="15" hidden="false" customHeight="false" outlineLevel="0" collapsed="false">
      <c r="A530" s="29" t="n">
        <v>103850</v>
      </c>
      <c r="B530" s="29" t="s">
        <v>1682</v>
      </c>
      <c r="C530" s="29" t="s">
        <v>1683</v>
      </c>
      <c r="D530" s="29" t="s">
        <v>325</v>
      </c>
      <c r="E530" s="29" t="s">
        <v>326</v>
      </c>
      <c r="F530" s="29" t="s">
        <v>76</v>
      </c>
      <c r="G530" s="29" t="s">
        <v>67</v>
      </c>
      <c r="H530" s="29" t="s">
        <v>1844</v>
      </c>
      <c r="I530" s="29" t="s">
        <v>1852</v>
      </c>
      <c r="J530" s="29" t="n">
        <v>0</v>
      </c>
      <c r="K530" s="29" t="n">
        <v>0</v>
      </c>
      <c r="L530" s="29" t="s">
        <v>1846</v>
      </c>
    </row>
    <row r="531" customFormat="false" ht="15" hidden="false" customHeight="false" outlineLevel="0" collapsed="false">
      <c r="A531" s="29" t="n">
        <v>103850</v>
      </c>
      <c r="B531" s="29" t="s">
        <v>1682</v>
      </c>
      <c r="C531" s="29" t="s">
        <v>1683</v>
      </c>
      <c r="D531" s="29" t="s">
        <v>336</v>
      </c>
      <c r="E531" s="29" t="s">
        <v>337</v>
      </c>
      <c r="F531" s="29" t="s">
        <v>76</v>
      </c>
      <c r="G531" s="29" t="s">
        <v>67</v>
      </c>
      <c r="H531" s="29" t="s">
        <v>1844</v>
      </c>
      <c r="I531" s="29" t="s">
        <v>1852</v>
      </c>
      <c r="J531" s="29" t="n">
        <v>0</v>
      </c>
      <c r="K531" s="29" t="n">
        <v>0</v>
      </c>
      <c r="L531" s="29" t="s">
        <v>1846</v>
      </c>
    </row>
    <row r="532" customFormat="false" ht="15" hidden="false" customHeight="false" outlineLevel="0" collapsed="false">
      <c r="A532" s="29" t="n">
        <v>103850</v>
      </c>
      <c r="B532" s="29" t="s">
        <v>1682</v>
      </c>
      <c r="C532" s="29" t="s">
        <v>1683</v>
      </c>
      <c r="D532" s="29" t="s">
        <v>343</v>
      </c>
      <c r="E532" s="29" t="s">
        <v>344</v>
      </c>
      <c r="F532" s="29" t="s">
        <v>76</v>
      </c>
      <c r="G532" s="29" t="s">
        <v>67</v>
      </c>
      <c r="H532" s="29" t="s">
        <v>1844</v>
      </c>
      <c r="I532" s="29" t="s">
        <v>1873</v>
      </c>
      <c r="J532" s="29" t="n">
        <v>0</v>
      </c>
      <c r="K532" s="29" t="n">
        <v>0</v>
      </c>
      <c r="L532" s="29" t="s">
        <v>1846</v>
      </c>
    </row>
    <row r="533" customFormat="false" ht="15" hidden="false" customHeight="false" outlineLevel="0" collapsed="false">
      <c r="A533" s="29" t="n">
        <v>103850</v>
      </c>
      <c r="B533" s="29" t="s">
        <v>1682</v>
      </c>
      <c r="C533" s="29" t="s">
        <v>1683</v>
      </c>
      <c r="D533" s="29" t="s">
        <v>353</v>
      </c>
      <c r="E533" s="29" t="s">
        <v>354</v>
      </c>
      <c r="F533" s="29" t="s">
        <v>76</v>
      </c>
      <c r="G533" s="29" t="s">
        <v>67</v>
      </c>
      <c r="H533" s="29" t="s">
        <v>1844</v>
      </c>
      <c r="I533" s="29" t="s">
        <v>1853</v>
      </c>
      <c r="J533" s="29" t="n">
        <v>0</v>
      </c>
      <c r="K533" s="29" t="n">
        <v>0</v>
      </c>
      <c r="L533" s="29" t="s">
        <v>1846</v>
      </c>
    </row>
    <row r="534" customFormat="false" ht="15" hidden="false" customHeight="false" outlineLevel="0" collapsed="false">
      <c r="A534" s="29" t="n">
        <v>103850</v>
      </c>
      <c r="B534" s="29" t="s">
        <v>1682</v>
      </c>
      <c r="C534" s="29" t="s">
        <v>1683</v>
      </c>
      <c r="D534" s="29" t="s">
        <v>360</v>
      </c>
      <c r="E534" s="29" t="s">
        <v>361</v>
      </c>
      <c r="F534" s="29" t="s">
        <v>76</v>
      </c>
      <c r="G534" s="29" t="s">
        <v>67</v>
      </c>
      <c r="H534" s="29" t="s">
        <v>1844</v>
      </c>
      <c r="I534" s="29" t="s">
        <v>1873</v>
      </c>
      <c r="J534" s="29" t="n">
        <v>0</v>
      </c>
      <c r="K534" s="29" t="n">
        <v>0</v>
      </c>
      <c r="L534" s="29" t="s">
        <v>1846</v>
      </c>
    </row>
    <row r="535" customFormat="false" ht="15" hidden="false" customHeight="false" outlineLevel="0" collapsed="false">
      <c r="A535" s="29" t="n">
        <v>103850</v>
      </c>
      <c r="B535" s="29" t="s">
        <v>1682</v>
      </c>
      <c r="C535" s="29" t="s">
        <v>1683</v>
      </c>
      <c r="D535" s="29" t="s">
        <v>371</v>
      </c>
      <c r="E535" s="29" t="s">
        <v>372</v>
      </c>
      <c r="F535" s="29" t="s">
        <v>76</v>
      </c>
      <c r="G535" s="29" t="s">
        <v>67</v>
      </c>
      <c r="H535" s="29" t="s">
        <v>1844</v>
      </c>
      <c r="I535" s="29" t="s">
        <v>1873</v>
      </c>
      <c r="J535" s="29" t="n">
        <v>0</v>
      </c>
      <c r="K535" s="29" t="n">
        <v>0</v>
      </c>
      <c r="L535" s="29" t="s">
        <v>1846</v>
      </c>
    </row>
    <row r="536" customFormat="false" ht="15" hidden="false" customHeight="false" outlineLevel="0" collapsed="false">
      <c r="A536" s="29" t="n">
        <v>103850</v>
      </c>
      <c r="B536" s="29" t="s">
        <v>1682</v>
      </c>
      <c r="C536" s="29" t="s">
        <v>1683</v>
      </c>
      <c r="D536" s="29" t="s">
        <v>387</v>
      </c>
      <c r="E536" s="29" t="s">
        <v>388</v>
      </c>
      <c r="F536" s="29" t="s">
        <v>76</v>
      </c>
      <c r="G536" s="29" t="s">
        <v>68</v>
      </c>
      <c r="H536" s="29" t="s">
        <v>1381</v>
      </c>
      <c r="I536" s="29" t="s">
        <v>1853</v>
      </c>
      <c r="J536" s="29" t="n">
        <v>0</v>
      </c>
      <c r="K536" s="29" t="n">
        <v>0</v>
      </c>
      <c r="L536" s="29" t="s">
        <v>1846</v>
      </c>
    </row>
    <row r="537" customFormat="false" ht="15" hidden="false" customHeight="false" outlineLevel="0" collapsed="false">
      <c r="A537" s="29" t="n">
        <v>103850</v>
      </c>
      <c r="B537" s="29" t="s">
        <v>1682</v>
      </c>
      <c r="C537" s="29" t="s">
        <v>1683</v>
      </c>
      <c r="D537" s="29" t="s">
        <v>396</v>
      </c>
      <c r="E537" s="29" t="s">
        <v>397</v>
      </c>
      <c r="F537" s="29" t="s">
        <v>76</v>
      </c>
      <c r="G537" s="29" t="s">
        <v>68</v>
      </c>
      <c r="H537" s="29" t="s">
        <v>1381</v>
      </c>
      <c r="I537" s="29" t="s">
        <v>1853</v>
      </c>
      <c r="J537" s="29" t="n">
        <v>0</v>
      </c>
      <c r="K537" s="29" t="n">
        <v>0</v>
      </c>
      <c r="L537" s="29" t="s">
        <v>1846</v>
      </c>
    </row>
    <row r="538" customFormat="false" ht="15" hidden="false" customHeight="false" outlineLevel="0" collapsed="false">
      <c r="A538" s="29" t="n">
        <v>103850</v>
      </c>
      <c r="B538" s="29" t="s">
        <v>1682</v>
      </c>
      <c r="C538" s="29" t="s">
        <v>1683</v>
      </c>
      <c r="D538" s="29" t="s">
        <v>403</v>
      </c>
      <c r="E538" s="29" t="s">
        <v>404</v>
      </c>
      <c r="F538" s="29" t="s">
        <v>76</v>
      </c>
      <c r="G538" s="29" t="s">
        <v>68</v>
      </c>
      <c r="H538" s="29" t="s">
        <v>1381</v>
      </c>
      <c r="I538" s="29" t="s">
        <v>1852</v>
      </c>
      <c r="J538" s="29" t="n">
        <v>0</v>
      </c>
      <c r="K538" s="29" t="n">
        <v>0</v>
      </c>
      <c r="L538" s="29" t="s">
        <v>1846</v>
      </c>
    </row>
    <row r="539" customFormat="false" ht="15" hidden="false" customHeight="false" outlineLevel="0" collapsed="false">
      <c r="A539" s="29" t="n">
        <v>103850</v>
      </c>
      <c r="B539" s="29" t="s">
        <v>1682</v>
      </c>
      <c r="C539" s="29" t="s">
        <v>1683</v>
      </c>
      <c r="D539" s="29" t="s">
        <v>411</v>
      </c>
      <c r="E539" s="29" t="s">
        <v>412</v>
      </c>
      <c r="F539" s="29" t="s">
        <v>76</v>
      </c>
      <c r="G539" s="29" t="s">
        <v>68</v>
      </c>
      <c r="H539" s="29" t="s">
        <v>1381</v>
      </c>
      <c r="I539" s="29" t="s">
        <v>1873</v>
      </c>
      <c r="J539" s="29" t="n">
        <v>0</v>
      </c>
      <c r="K539" s="29" t="n">
        <v>0</v>
      </c>
      <c r="L539" s="29" t="s">
        <v>1846</v>
      </c>
    </row>
    <row r="540" customFormat="false" ht="15" hidden="false" customHeight="false" outlineLevel="0" collapsed="false">
      <c r="A540" s="29" t="n">
        <v>103850</v>
      </c>
      <c r="B540" s="29" t="s">
        <v>1682</v>
      </c>
      <c r="C540" s="29" t="s">
        <v>1683</v>
      </c>
      <c r="D540" s="29" t="s">
        <v>428</v>
      </c>
      <c r="E540" s="29" t="s">
        <v>429</v>
      </c>
      <c r="F540" s="29" t="s">
        <v>76</v>
      </c>
      <c r="G540" s="29" t="s">
        <v>68</v>
      </c>
      <c r="H540" s="29" t="s">
        <v>1381</v>
      </c>
      <c r="I540" s="29" t="s">
        <v>1853</v>
      </c>
      <c r="J540" s="29" t="n">
        <v>0</v>
      </c>
      <c r="K540" s="29" t="n">
        <v>0</v>
      </c>
      <c r="L540" s="29" t="s">
        <v>1846</v>
      </c>
    </row>
    <row r="541" customFormat="false" ht="15" hidden="false" customHeight="false" outlineLevel="0" collapsed="false">
      <c r="A541" s="29" t="n">
        <v>103850</v>
      </c>
      <c r="B541" s="29" t="s">
        <v>1682</v>
      </c>
      <c r="C541" s="29" t="s">
        <v>1683</v>
      </c>
      <c r="D541" s="29" t="s">
        <v>433</v>
      </c>
      <c r="E541" s="29" t="s">
        <v>434</v>
      </c>
      <c r="F541" s="29" t="s">
        <v>82</v>
      </c>
      <c r="G541" s="29" t="s">
        <v>66</v>
      </c>
      <c r="H541" s="29" t="s">
        <v>1379</v>
      </c>
      <c r="I541" s="29" t="s">
        <v>1854</v>
      </c>
      <c r="J541" s="29" t="n">
        <v>0</v>
      </c>
      <c r="K541" s="29" t="n">
        <v>0</v>
      </c>
      <c r="L541" s="29" t="s">
        <v>1846</v>
      </c>
    </row>
    <row r="542" customFormat="false" ht="15" hidden="false" customHeight="false" outlineLevel="0" collapsed="false">
      <c r="A542" s="29" t="n">
        <v>103850</v>
      </c>
      <c r="B542" s="29" t="s">
        <v>1682</v>
      </c>
      <c r="C542" s="29" t="s">
        <v>1683</v>
      </c>
      <c r="D542" s="29" t="s">
        <v>451</v>
      </c>
      <c r="E542" s="29" t="s">
        <v>452</v>
      </c>
      <c r="F542" s="29" t="s">
        <v>82</v>
      </c>
      <c r="G542" s="29" t="s">
        <v>67</v>
      </c>
      <c r="H542" s="29" t="s">
        <v>1379</v>
      </c>
      <c r="I542" s="29" t="s">
        <v>1855</v>
      </c>
      <c r="J542" s="29" t="n">
        <v>0</v>
      </c>
      <c r="K542" s="29" t="n">
        <v>0</v>
      </c>
      <c r="L542" s="29" t="s">
        <v>1846</v>
      </c>
    </row>
    <row r="543" customFormat="false" ht="15" hidden="false" customHeight="false" outlineLevel="0" collapsed="false">
      <c r="A543" s="29" t="n">
        <v>103850</v>
      </c>
      <c r="B543" s="29" t="s">
        <v>1682</v>
      </c>
      <c r="C543" s="29" t="s">
        <v>1683</v>
      </c>
      <c r="D543" s="29" t="s">
        <v>459</v>
      </c>
      <c r="E543" s="29" t="s">
        <v>460</v>
      </c>
      <c r="F543" s="29" t="s">
        <v>82</v>
      </c>
      <c r="G543" s="29" t="s">
        <v>67</v>
      </c>
      <c r="H543" s="29" t="s">
        <v>1379</v>
      </c>
      <c r="I543" s="29" t="s">
        <v>1855</v>
      </c>
      <c r="J543" s="29" t="n">
        <v>0</v>
      </c>
      <c r="K543" s="29" t="n">
        <v>0</v>
      </c>
      <c r="L543" s="29" t="s">
        <v>1846</v>
      </c>
    </row>
    <row r="544" customFormat="false" ht="15" hidden="false" customHeight="false" outlineLevel="0" collapsed="false">
      <c r="A544" s="29" t="n">
        <v>103850</v>
      </c>
      <c r="B544" s="29" t="s">
        <v>1682</v>
      </c>
      <c r="C544" s="29" t="s">
        <v>1683</v>
      </c>
      <c r="D544" s="29" t="s">
        <v>466</v>
      </c>
      <c r="E544" s="29" t="s">
        <v>467</v>
      </c>
      <c r="F544" s="29" t="s">
        <v>82</v>
      </c>
      <c r="G544" s="29" t="s">
        <v>67</v>
      </c>
      <c r="H544" s="29" t="s">
        <v>1379</v>
      </c>
      <c r="I544" s="29" t="s">
        <v>1855</v>
      </c>
      <c r="J544" s="29" t="n">
        <v>0</v>
      </c>
      <c r="K544" s="29" t="n">
        <v>0</v>
      </c>
      <c r="L544" s="29" t="s">
        <v>1846</v>
      </c>
    </row>
    <row r="545" customFormat="false" ht="15" hidden="false" customHeight="false" outlineLevel="0" collapsed="false">
      <c r="A545" s="29" t="n">
        <v>103850</v>
      </c>
      <c r="B545" s="29" t="s">
        <v>1682</v>
      </c>
      <c r="C545" s="29" t="s">
        <v>1683</v>
      </c>
      <c r="D545" s="29" t="s">
        <v>508</v>
      </c>
      <c r="E545" s="29" t="s">
        <v>509</v>
      </c>
      <c r="F545" s="29" t="s">
        <v>88</v>
      </c>
      <c r="G545" s="29" t="s">
        <v>67</v>
      </c>
      <c r="H545" s="29" t="s">
        <v>1379</v>
      </c>
      <c r="I545" s="29" t="s">
        <v>1850</v>
      </c>
      <c r="J545" s="29" t="n">
        <v>0</v>
      </c>
      <c r="K545" s="29" t="n">
        <v>0</v>
      </c>
      <c r="L545" s="29" t="s">
        <v>1846</v>
      </c>
    </row>
    <row r="546" customFormat="false" ht="15" hidden="false" customHeight="false" outlineLevel="0" collapsed="false">
      <c r="A546" s="29" t="n">
        <v>103850</v>
      </c>
      <c r="B546" s="29" t="s">
        <v>1682</v>
      </c>
      <c r="C546" s="29" t="s">
        <v>1683</v>
      </c>
      <c r="D546" s="29" t="s">
        <v>515</v>
      </c>
      <c r="E546" s="29" t="s">
        <v>516</v>
      </c>
      <c r="F546" s="29" t="s">
        <v>88</v>
      </c>
      <c r="G546" s="29" t="s">
        <v>67</v>
      </c>
      <c r="H546" s="29" t="s">
        <v>1379</v>
      </c>
      <c r="I546" s="29" t="s">
        <v>1850</v>
      </c>
      <c r="J546" s="29" t="n">
        <v>0</v>
      </c>
      <c r="K546" s="29" t="n">
        <v>0</v>
      </c>
      <c r="L546" s="29" t="s">
        <v>1846</v>
      </c>
    </row>
    <row r="547" customFormat="false" ht="15" hidden="false" customHeight="false" outlineLevel="0" collapsed="false">
      <c r="A547" s="29" t="n">
        <v>103850</v>
      </c>
      <c r="B547" s="29" t="s">
        <v>1682</v>
      </c>
      <c r="C547" s="29" t="s">
        <v>1683</v>
      </c>
      <c r="D547" s="29" t="s">
        <v>523</v>
      </c>
      <c r="E547" s="29" t="s">
        <v>524</v>
      </c>
      <c r="F547" s="29" t="s">
        <v>88</v>
      </c>
      <c r="G547" s="29" t="s">
        <v>67</v>
      </c>
      <c r="H547" s="29" t="s">
        <v>1844</v>
      </c>
      <c r="I547" s="29" t="s">
        <v>1856</v>
      </c>
      <c r="J547" s="29" t="n">
        <v>0</v>
      </c>
      <c r="K547" s="29" t="n">
        <v>0</v>
      </c>
      <c r="L547" s="29" t="s">
        <v>1846</v>
      </c>
    </row>
    <row r="548" customFormat="false" ht="15" hidden="false" customHeight="false" outlineLevel="0" collapsed="false">
      <c r="A548" s="29" t="n">
        <v>103850</v>
      </c>
      <c r="B548" s="29" t="s">
        <v>1682</v>
      </c>
      <c r="C548" s="29" t="s">
        <v>1683</v>
      </c>
      <c r="D548" s="29" t="s">
        <v>530</v>
      </c>
      <c r="E548" s="29" t="s">
        <v>531</v>
      </c>
      <c r="F548" s="29" t="s">
        <v>88</v>
      </c>
      <c r="G548" s="29" t="s">
        <v>68</v>
      </c>
      <c r="H548" s="29" t="s">
        <v>1381</v>
      </c>
      <c r="I548" s="29" t="s">
        <v>1847</v>
      </c>
      <c r="J548" s="29" t="n">
        <v>0</v>
      </c>
      <c r="K548" s="29" t="n">
        <v>0</v>
      </c>
      <c r="L548" s="29" t="s">
        <v>1846</v>
      </c>
    </row>
    <row r="549" customFormat="false" ht="15" hidden="false" customHeight="false" outlineLevel="0" collapsed="false">
      <c r="A549" s="29" t="n">
        <v>103850</v>
      </c>
      <c r="B549" s="29" t="s">
        <v>1682</v>
      </c>
      <c r="C549" s="29" t="s">
        <v>1683</v>
      </c>
      <c r="D549" s="29" t="s">
        <v>536</v>
      </c>
      <c r="E549" s="29" t="s">
        <v>537</v>
      </c>
      <c r="F549" s="29" t="s">
        <v>88</v>
      </c>
      <c r="G549" s="29" t="s">
        <v>68</v>
      </c>
      <c r="H549" s="29" t="s">
        <v>1381</v>
      </c>
      <c r="I549" s="29" t="s">
        <v>1847</v>
      </c>
      <c r="J549" s="29" t="n">
        <v>0</v>
      </c>
      <c r="K549" s="29" t="n">
        <v>0</v>
      </c>
      <c r="L549" s="29" t="s">
        <v>1846</v>
      </c>
    </row>
    <row r="550" customFormat="false" ht="15" hidden="false" customHeight="false" outlineLevel="0" collapsed="false">
      <c r="A550" s="29" t="n">
        <v>103850</v>
      </c>
      <c r="B550" s="29" t="s">
        <v>1682</v>
      </c>
      <c r="C550" s="29" t="s">
        <v>1683</v>
      </c>
      <c r="D550" s="29" t="s">
        <v>543</v>
      </c>
      <c r="E550" s="29" t="s">
        <v>544</v>
      </c>
      <c r="F550" s="29" t="s">
        <v>88</v>
      </c>
      <c r="G550" s="29" t="s">
        <v>68</v>
      </c>
      <c r="H550" s="29" t="s">
        <v>1381</v>
      </c>
      <c r="I550" s="29" t="s">
        <v>1847</v>
      </c>
      <c r="J550" s="29" t="n">
        <v>0</v>
      </c>
      <c r="K550" s="29" t="n">
        <v>0</v>
      </c>
      <c r="L550" s="29" t="s">
        <v>1846</v>
      </c>
    </row>
    <row r="551" customFormat="false" ht="15" hidden="false" customHeight="false" outlineLevel="0" collapsed="false">
      <c r="A551" s="29" t="n">
        <v>103850</v>
      </c>
      <c r="B551" s="29" t="s">
        <v>1682</v>
      </c>
      <c r="C551" s="29" t="s">
        <v>1683</v>
      </c>
      <c r="D551" s="29" t="s">
        <v>551</v>
      </c>
      <c r="E551" s="29" t="s">
        <v>552</v>
      </c>
      <c r="F551" s="29" t="s">
        <v>88</v>
      </c>
      <c r="G551" s="29" t="s">
        <v>68</v>
      </c>
      <c r="H551" s="29" t="s">
        <v>1381</v>
      </c>
      <c r="I551" s="29" t="s">
        <v>1857</v>
      </c>
      <c r="J551" s="29" t="n">
        <v>0</v>
      </c>
      <c r="K551" s="29" t="n">
        <v>0</v>
      </c>
      <c r="L551" s="29" t="s">
        <v>1846</v>
      </c>
    </row>
    <row r="552" customFormat="false" ht="15" hidden="false" customHeight="false" outlineLevel="0" collapsed="false">
      <c r="A552" s="29" t="n">
        <v>103850</v>
      </c>
      <c r="B552" s="29" t="s">
        <v>1682</v>
      </c>
      <c r="C552" s="29" t="s">
        <v>1683</v>
      </c>
      <c r="D552" s="29" t="s">
        <v>558</v>
      </c>
      <c r="E552" s="29" t="s">
        <v>559</v>
      </c>
      <c r="F552" s="29" t="s">
        <v>88</v>
      </c>
      <c r="G552" s="29" t="s">
        <v>68</v>
      </c>
      <c r="H552" s="29" t="s">
        <v>1381</v>
      </c>
      <c r="I552" s="29" t="s">
        <v>1856</v>
      </c>
      <c r="J552" s="29" t="n">
        <v>0</v>
      </c>
      <c r="K552" s="29" t="n">
        <v>0</v>
      </c>
      <c r="L552" s="29" t="s">
        <v>1846</v>
      </c>
    </row>
    <row r="553" customFormat="false" ht="15" hidden="false" customHeight="false" outlineLevel="0" collapsed="false">
      <c r="A553" s="29" t="n">
        <v>103850</v>
      </c>
      <c r="B553" s="29" t="s">
        <v>1682</v>
      </c>
      <c r="C553" s="29" t="s">
        <v>1683</v>
      </c>
      <c r="D553" s="29" t="s">
        <v>565</v>
      </c>
      <c r="E553" s="29" t="s">
        <v>566</v>
      </c>
      <c r="F553" s="29" t="s">
        <v>88</v>
      </c>
      <c r="G553" s="29" t="s">
        <v>68</v>
      </c>
      <c r="H553" s="29" t="s">
        <v>1381</v>
      </c>
      <c r="I553" s="29" t="s">
        <v>1856</v>
      </c>
      <c r="J553" s="29" t="n">
        <v>0</v>
      </c>
      <c r="K553" s="29" t="n">
        <v>0</v>
      </c>
      <c r="L553" s="29" t="s">
        <v>1846</v>
      </c>
    </row>
    <row r="554" customFormat="false" ht="15" hidden="false" customHeight="false" outlineLevel="0" collapsed="false">
      <c r="A554" s="29" t="n">
        <v>103850</v>
      </c>
      <c r="B554" s="29" t="s">
        <v>1682</v>
      </c>
      <c r="C554" s="29" t="s">
        <v>1683</v>
      </c>
      <c r="D554" s="29" t="s">
        <v>572</v>
      </c>
      <c r="E554" s="29" t="s">
        <v>573</v>
      </c>
      <c r="F554" s="29" t="s">
        <v>88</v>
      </c>
      <c r="G554" s="29" t="s">
        <v>68</v>
      </c>
      <c r="H554" s="29" t="s">
        <v>1381</v>
      </c>
      <c r="I554" s="29" t="s">
        <v>1847</v>
      </c>
      <c r="J554" s="29" t="n">
        <v>0</v>
      </c>
      <c r="K554" s="29" t="n">
        <v>0</v>
      </c>
      <c r="L554" s="29" t="s">
        <v>1846</v>
      </c>
    </row>
    <row r="555" customFormat="false" ht="15" hidden="false" customHeight="false" outlineLevel="0" collapsed="false">
      <c r="A555" s="29" t="n">
        <v>103850</v>
      </c>
      <c r="B555" s="29" t="s">
        <v>1682</v>
      </c>
      <c r="C555" s="29" t="s">
        <v>1683</v>
      </c>
      <c r="D555" s="29" t="s">
        <v>581</v>
      </c>
      <c r="E555" s="29" t="s">
        <v>582</v>
      </c>
      <c r="F555" s="29" t="s">
        <v>93</v>
      </c>
      <c r="G555" s="29" t="s">
        <v>67</v>
      </c>
      <c r="H555" s="29" t="s">
        <v>1844</v>
      </c>
      <c r="I555" s="29" t="s">
        <v>1858</v>
      </c>
      <c r="J555" s="29" t="n">
        <v>0</v>
      </c>
      <c r="K555" s="29" t="n">
        <v>0</v>
      </c>
      <c r="L555" s="29" t="s">
        <v>1846</v>
      </c>
    </row>
    <row r="556" customFormat="false" ht="15" hidden="false" customHeight="false" outlineLevel="0" collapsed="false">
      <c r="A556" s="29" t="n">
        <v>103850</v>
      </c>
      <c r="B556" s="29" t="s">
        <v>1682</v>
      </c>
      <c r="C556" s="29" t="s">
        <v>1683</v>
      </c>
      <c r="D556" s="29" t="s">
        <v>590</v>
      </c>
      <c r="E556" s="29" t="s">
        <v>591</v>
      </c>
      <c r="F556" s="29" t="s">
        <v>93</v>
      </c>
      <c r="G556" s="29" t="s">
        <v>67</v>
      </c>
      <c r="H556" s="29" t="s">
        <v>1844</v>
      </c>
      <c r="I556" s="29" t="s">
        <v>1859</v>
      </c>
      <c r="J556" s="29" t="n">
        <v>0</v>
      </c>
      <c r="K556" s="29" t="n">
        <v>0</v>
      </c>
      <c r="L556" s="29" t="s">
        <v>1846</v>
      </c>
    </row>
    <row r="557" customFormat="false" ht="15" hidden="false" customHeight="false" outlineLevel="0" collapsed="false">
      <c r="A557" s="29" t="n">
        <v>103850</v>
      </c>
      <c r="B557" s="29" t="s">
        <v>1682</v>
      </c>
      <c r="C557" s="29" t="s">
        <v>1683</v>
      </c>
      <c r="D557" s="29" t="s">
        <v>597</v>
      </c>
      <c r="E557" s="29" t="s">
        <v>598</v>
      </c>
      <c r="F557" s="29" t="s">
        <v>93</v>
      </c>
      <c r="G557" s="29" t="s">
        <v>67</v>
      </c>
      <c r="H557" s="29" t="s">
        <v>1844</v>
      </c>
      <c r="I557" s="29" t="s">
        <v>1859</v>
      </c>
      <c r="J557" s="29" t="n">
        <v>0</v>
      </c>
      <c r="K557" s="29" t="n">
        <v>0</v>
      </c>
      <c r="L557" s="29" t="s">
        <v>1846</v>
      </c>
    </row>
    <row r="558" customFormat="false" ht="15" hidden="false" customHeight="false" outlineLevel="0" collapsed="false">
      <c r="A558" s="29" t="n">
        <v>103850</v>
      </c>
      <c r="B558" s="29" t="s">
        <v>1682</v>
      </c>
      <c r="C558" s="29" t="s">
        <v>1683</v>
      </c>
      <c r="D558" s="29" t="s">
        <v>604</v>
      </c>
      <c r="E558" s="29" t="s">
        <v>605</v>
      </c>
      <c r="F558" s="29" t="s">
        <v>93</v>
      </c>
      <c r="G558" s="29" t="s">
        <v>68</v>
      </c>
      <c r="H558" s="29" t="s">
        <v>1381</v>
      </c>
      <c r="I558" s="29" t="s">
        <v>1859</v>
      </c>
      <c r="J558" s="29" t="n">
        <v>0</v>
      </c>
      <c r="K558" s="29" t="n">
        <v>0</v>
      </c>
      <c r="L558" s="29" t="s">
        <v>1846</v>
      </c>
    </row>
    <row r="559" customFormat="false" ht="15" hidden="false" customHeight="false" outlineLevel="0" collapsed="false">
      <c r="A559" s="29" t="n">
        <v>103850</v>
      </c>
      <c r="B559" s="29" t="s">
        <v>1682</v>
      </c>
      <c r="C559" s="29" t="s">
        <v>1683</v>
      </c>
      <c r="D559" s="29" t="s">
        <v>612</v>
      </c>
      <c r="E559" s="29" t="s">
        <v>613</v>
      </c>
      <c r="F559" s="29" t="s">
        <v>93</v>
      </c>
      <c r="G559" s="29" t="s">
        <v>68</v>
      </c>
      <c r="H559" s="29" t="s">
        <v>1381</v>
      </c>
      <c r="I559" s="29" t="s">
        <v>1859</v>
      </c>
      <c r="J559" s="29" t="n">
        <v>0</v>
      </c>
      <c r="K559" s="29" t="n">
        <v>0</v>
      </c>
      <c r="L559" s="29" t="s">
        <v>1846</v>
      </c>
    </row>
    <row r="560" customFormat="false" ht="15" hidden="false" customHeight="false" outlineLevel="0" collapsed="false">
      <c r="A560" s="29" t="n">
        <v>103850</v>
      </c>
      <c r="B560" s="29" t="s">
        <v>1682</v>
      </c>
      <c r="C560" s="29" t="s">
        <v>1683</v>
      </c>
      <c r="D560" s="29" t="s">
        <v>618</v>
      </c>
      <c r="E560" s="29" t="s">
        <v>619</v>
      </c>
      <c r="F560" s="29" t="s">
        <v>93</v>
      </c>
      <c r="G560" s="29" t="s">
        <v>68</v>
      </c>
      <c r="H560" s="29" t="s">
        <v>1381</v>
      </c>
      <c r="I560" s="29" t="s">
        <v>1859</v>
      </c>
      <c r="J560" s="29" t="n">
        <v>0</v>
      </c>
      <c r="K560" s="29" t="n">
        <v>0</v>
      </c>
      <c r="L560" s="29" t="s">
        <v>1846</v>
      </c>
    </row>
    <row r="561" customFormat="false" ht="15" hidden="false" customHeight="false" outlineLevel="0" collapsed="false">
      <c r="A561" s="29" t="n">
        <v>103850</v>
      </c>
      <c r="B561" s="29" t="s">
        <v>1682</v>
      </c>
      <c r="C561" s="29" t="s">
        <v>1683</v>
      </c>
      <c r="D561" s="29" t="s">
        <v>627</v>
      </c>
      <c r="E561" s="29" t="s">
        <v>628</v>
      </c>
      <c r="F561" s="29" t="s">
        <v>93</v>
      </c>
      <c r="G561" s="29" t="s">
        <v>68</v>
      </c>
      <c r="H561" s="29" t="s">
        <v>1381</v>
      </c>
      <c r="I561" s="29" t="s">
        <v>1858</v>
      </c>
      <c r="J561" s="29" t="n">
        <v>0</v>
      </c>
      <c r="K561" s="29" t="n">
        <v>0</v>
      </c>
      <c r="L561" s="29" t="s">
        <v>1846</v>
      </c>
    </row>
    <row r="562" customFormat="false" ht="15" hidden="false" customHeight="false" outlineLevel="0" collapsed="false">
      <c r="A562" s="29" t="n">
        <v>103850</v>
      </c>
      <c r="B562" s="29" t="s">
        <v>1682</v>
      </c>
      <c r="C562" s="29" t="s">
        <v>1683</v>
      </c>
      <c r="D562" s="29" t="s">
        <v>636</v>
      </c>
      <c r="E562" s="29" t="s">
        <v>637</v>
      </c>
      <c r="F562" s="29" t="s">
        <v>93</v>
      </c>
      <c r="G562" s="29" t="s">
        <v>68</v>
      </c>
      <c r="H562" s="29" t="s">
        <v>1381</v>
      </c>
      <c r="I562" s="29" t="s">
        <v>1858</v>
      </c>
      <c r="J562" s="29" t="n">
        <v>0</v>
      </c>
      <c r="K562" s="29" t="n">
        <v>0</v>
      </c>
      <c r="L562" s="29" t="s">
        <v>1846</v>
      </c>
    </row>
    <row r="563" customFormat="false" ht="15" hidden="false" customHeight="false" outlineLevel="0" collapsed="false">
      <c r="A563" s="29" t="n">
        <v>103850</v>
      </c>
      <c r="B563" s="29" t="s">
        <v>1682</v>
      </c>
      <c r="C563" s="29" t="s">
        <v>1683</v>
      </c>
      <c r="D563" s="29" t="s">
        <v>668</v>
      </c>
      <c r="E563" s="29" t="s">
        <v>669</v>
      </c>
      <c r="F563" s="29" t="s">
        <v>105</v>
      </c>
      <c r="G563" s="29" t="s">
        <v>66</v>
      </c>
      <c r="H563" s="29" t="s">
        <v>1379</v>
      </c>
      <c r="I563" s="29" t="s">
        <v>1854</v>
      </c>
      <c r="J563" s="29" t="n">
        <v>0</v>
      </c>
      <c r="K563" s="29" t="n">
        <v>0</v>
      </c>
      <c r="L563" s="29" t="s">
        <v>1846</v>
      </c>
    </row>
    <row r="564" customFormat="false" ht="15" hidden="false" customHeight="false" outlineLevel="0" collapsed="false">
      <c r="A564" s="29" t="n">
        <v>103850</v>
      </c>
      <c r="B564" s="29" t="s">
        <v>1682</v>
      </c>
      <c r="C564" s="29" t="s">
        <v>1683</v>
      </c>
      <c r="D564" s="29" t="s">
        <v>680</v>
      </c>
      <c r="E564" s="29" t="s">
        <v>681</v>
      </c>
      <c r="F564" s="29" t="s">
        <v>105</v>
      </c>
      <c r="G564" s="29" t="s">
        <v>66</v>
      </c>
      <c r="H564" s="29" t="s">
        <v>1379</v>
      </c>
      <c r="I564" s="29" t="s">
        <v>1854</v>
      </c>
      <c r="J564" s="29" t="n">
        <v>0</v>
      </c>
      <c r="K564" s="29" t="n">
        <v>0</v>
      </c>
      <c r="L564" s="29" t="s">
        <v>1846</v>
      </c>
    </row>
    <row r="565" customFormat="false" ht="15" hidden="false" customHeight="false" outlineLevel="0" collapsed="false">
      <c r="A565" s="29" t="n">
        <v>103850</v>
      </c>
      <c r="B565" s="29" t="s">
        <v>1682</v>
      </c>
      <c r="C565" s="29" t="s">
        <v>1683</v>
      </c>
      <c r="D565" s="29" t="s">
        <v>711</v>
      </c>
      <c r="E565" s="29" t="s">
        <v>712</v>
      </c>
      <c r="F565" s="29" t="s">
        <v>116</v>
      </c>
      <c r="G565" s="29" t="s">
        <v>66</v>
      </c>
      <c r="H565" s="29" t="s">
        <v>1379</v>
      </c>
      <c r="I565" s="29" t="s">
        <v>1854</v>
      </c>
      <c r="J565" s="29" t="n">
        <v>0</v>
      </c>
      <c r="K565" s="29" t="n">
        <v>0</v>
      </c>
      <c r="L565" s="29" t="s">
        <v>1846</v>
      </c>
    </row>
    <row r="566" customFormat="false" ht="15" hidden="false" customHeight="false" outlineLevel="0" collapsed="false">
      <c r="A566" s="29" t="n">
        <v>103850</v>
      </c>
      <c r="B566" s="29" t="s">
        <v>1682</v>
      </c>
      <c r="C566" s="29" t="s">
        <v>1683</v>
      </c>
      <c r="D566" s="29" t="s">
        <v>721</v>
      </c>
      <c r="E566" s="29" t="s">
        <v>722</v>
      </c>
      <c r="F566" s="29" t="s">
        <v>116</v>
      </c>
      <c r="G566" s="29" t="s">
        <v>66</v>
      </c>
      <c r="H566" s="29" t="s">
        <v>1379</v>
      </c>
      <c r="I566" s="29" t="s">
        <v>1854</v>
      </c>
      <c r="J566" s="29" t="n">
        <v>0</v>
      </c>
      <c r="K566" s="29" t="n">
        <v>0</v>
      </c>
      <c r="L566" s="29" t="s">
        <v>1846</v>
      </c>
    </row>
    <row r="567" customFormat="false" ht="15" hidden="false" customHeight="false" outlineLevel="0" collapsed="false">
      <c r="A567" s="29" t="n">
        <v>103850</v>
      </c>
      <c r="B567" s="29" t="s">
        <v>1682</v>
      </c>
      <c r="C567" s="29" t="s">
        <v>1683</v>
      </c>
      <c r="D567" s="29" t="s">
        <v>729</v>
      </c>
      <c r="E567" s="29" t="s">
        <v>730</v>
      </c>
      <c r="F567" s="29" t="s">
        <v>116</v>
      </c>
      <c r="G567" s="29" t="s">
        <v>67</v>
      </c>
      <c r="H567" s="29" t="s">
        <v>1844</v>
      </c>
      <c r="I567" s="29" t="s">
        <v>1879</v>
      </c>
      <c r="J567" s="29" t="n">
        <v>0</v>
      </c>
      <c r="K567" s="29" t="n">
        <v>0</v>
      </c>
      <c r="L567" s="29" t="s">
        <v>1846</v>
      </c>
    </row>
    <row r="568" customFormat="false" ht="15" hidden="false" customHeight="false" outlineLevel="0" collapsed="false">
      <c r="A568" s="29" t="n">
        <v>103850</v>
      </c>
      <c r="B568" s="29" t="s">
        <v>1682</v>
      </c>
      <c r="C568" s="29" t="s">
        <v>1683</v>
      </c>
      <c r="D568" s="29" t="s">
        <v>737</v>
      </c>
      <c r="E568" s="29" t="s">
        <v>738</v>
      </c>
      <c r="F568" s="29" t="s">
        <v>116</v>
      </c>
      <c r="G568" s="29" t="s">
        <v>67</v>
      </c>
      <c r="H568" s="29" t="s">
        <v>1844</v>
      </c>
      <c r="I568" s="29" t="s">
        <v>1879</v>
      </c>
      <c r="J568" s="29" t="n">
        <v>0</v>
      </c>
      <c r="K568" s="29" t="n">
        <v>0</v>
      </c>
      <c r="L568" s="29" t="s">
        <v>1846</v>
      </c>
    </row>
    <row r="569" customFormat="false" ht="15" hidden="false" customHeight="false" outlineLevel="0" collapsed="false">
      <c r="A569" s="29" t="n">
        <v>103850</v>
      </c>
      <c r="B569" s="29" t="s">
        <v>1682</v>
      </c>
      <c r="C569" s="29" t="s">
        <v>1683</v>
      </c>
      <c r="D569" s="29" t="s">
        <v>745</v>
      </c>
      <c r="E569" s="29" t="s">
        <v>746</v>
      </c>
      <c r="F569" s="29" t="s">
        <v>116</v>
      </c>
      <c r="G569" s="29" t="s">
        <v>67</v>
      </c>
      <c r="H569" s="29" t="s">
        <v>1844</v>
      </c>
      <c r="I569" s="29" t="s">
        <v>1860</v>
      </c>
      <c r="J569" s="29" t="n">
        <v>0</v>
      </c>
      <c r="K569" s="29" t="n">
        <v>0</v>
      </c>
      <c r="L569" s="29" t="s">
        <v>1846</v>
      </c>
    </row>
    <row r="570" customFormat="false" ht="15" hidden="false" customHeight="false" outlineLevel="0" collapsed="false">
      <c r="A570" s="29" t="n">
        <v>103850</v>
      </c>
      <c r="B570" s="29" t="s">
        <v>1682</v>
      </c>
      <c r="C570" s="29" t="s">
        <v>1683</v>
      </c>
      <c r="D570" s="29" t="s">
        <v>753</v>
      </c>
      <c r="E570" s="29" t="s">
        <v>754</v>
      </c>
      <c r="F570" s="29" t="s">
        <v>116</v>
      </c>
      <c r="G570" s="29" t="s">
        <v>68</v>
      </c>
      <c r="H570" s="29" t="s">
        <v>1381</v>
      </c>
      <c r="I570" s="29" t="s">
        <v>1860</v>
      </c>
      <c r="J570" s="29" t="n">
        <v>0</v>
      </c>
      <c r="K570" s="29" t="n">
        <v>0</v>
      </c>
      <c r="L570" s="29" t="s">
        <v>1846</v>
      </c>
    </row>
    <row r="571" customFormat="false" ht="15" hidden="false" customHeight="false" outlineLevel="0" collapsed="false">
      <c r="A571" s="29" t="n">
        <v>105031</v>
      </c>
      <c r="B571" s="29" t="s">
        <v>1688</v>
      </c>
      <c r="C571" s="29" t="s">
        <v>1689</v>
      </c>
      <c r="D571" s="29" t="s">
        <v>247</v>
      </c>
      <c r="E571" s="29" t="s">
        <v>248</v>
      </c>
      <c r="F571" s="29" t="s">
        <v>69</v>
      </c>
      <c r="G571" s="29" t="s">
        <v>67</v>
      </c>
      <c r="H571" s="29" t="s">
        <v>1844</v>
      </c>
      <c r="I571" s="29" t="s">
        <v>1848</v>
      </c>
      <c r="J571" s="29" t="n">
        <v>0</v>
      </c>
      <c r="K571" s="29" t="n">
        <v>0</v>
      </c>
      <c r="L571" s="29" t="s">
        <v>1846</v>
      </c>
    </row>
    <row r="572" customFormat="false" ht="15" hidden="false" customHeight="false" outlineLevel="0" collapsed="false">
      <c r="A572" s="29" t="n">
        <v>105031</v>
      </c>
      <c r="B572" s="29" t="s">
        <v>1688</v>
      </c>
      <c r="C572" s="29" t="s">
        <v>1689</v>
      </c>
      <c r="D572" s="29" t="s">
        <v>277</v>
      </c>
      <c r="E572" s="29" t="s">
        <v>278</v>
      </c>
      <c r="F572" s="29" t="s">
        <v>69</v>
      </c>
      <c r="G572" s="29" t="s">
        <v>67</v>
      </c>
      <c r="H572" s="29" t="s">
        <v>1379</v>
      </c>
      <c r="I572" s="29" t="s">
        <v>1850</v>
      </c>
      <c r="J572" s="29" t="n">
        <v>0</v>
      </c>
      <c r="K572" s="29" t="n">
        <v>0</v>
      </c>
      <c r="L572" s="29" t="s">
        <v>1846</v>
      </c>
    </row>
    <row r="573" customFormat="false" ht="15" hidden="false" customHeight="false" outlineLevel="0" collapsed="false">
      <c r="A573" s="29" t="n">
        <v>105031</v>
      </c>
      <c r="B573" s="29" t="s">
        <v>1688</v>
      </c>
      <c r="C573" s="29" t="s">
        <v>1689</v>
      </c>
      <c r="D573" s="29" t="s">
        <v>297</v>
      </c>
      <c r="E573" s="29" t="s">
        <v>298</v>
      </c>
      <c r="F573" s="29" t="s">
        <v>69</v>
      </c>
      <c r="G573" s="29" t="s">
        <v>68</v>
      </c>
      <c r="H573" s="29" t="s">
        <v>1381</v>
      </c>
      <c r="I573" s="29" t="s">
        <v>1848</v>
      </c>
      <c r="J573" s="29" t="n">
        <v>0</v>
      </c>
      <c r="K573" s="29" t="n">
        <v>0</v>
      </c>
      <c r="L573" s="29" t="s">
        <v>1846</v>
      </c>
    </row>
    <row r="574" customFormat="false" ht="15" hidden="false" customHeight="false" outlineLevel="0" collapsed="false">
      <c r="A574" s="29" t="n">
        <v>105031</v>
      </c>
      <c r="B574" s="29" t="s">
        <v>1688</v>
      </c>
      <c r="C574" s="29" t="s">
        <v>1689</v>
      </c>
      <c r="D574" s="29" t="s">
        <v>304</v>
      </c>
      <c r="E574" s="29" t="s">
        <v>305</v>
      </c>
      <c r="F574" s="29" t="s">
        <v>69</v>
      </c>
      <c r="G574" s="29" t="s">
        <v>68</v>
      </c>
      <c r="H574" s="29" t="s">
        <v>1381</v>
      </c>
      <c r="I574" s="29" t="s">
        <v>1851</v>
      </c>
      <c r="J574" s="29" t="n">
        <v>0</v>
      </c>
      <c r="K574" s="29" t="n">
        <v>0</v>
      </c>
      <c r="L574" s="29" t="s">
        <v>1846</v>
      </c>
    </row>
    <row r="575" customFormat="false" ht="15" hidden="false" customHeight="false" outlineLevel="0" collapsed="false">
      <c r="A575" s="29" t="n">
        <v>105031</v>
      </c>
      <c r="B575" s="29" t="s">
        <v>1688</v>
      </c>
      <c r="C575" s="29" t="s">
        <v>1689</v>
      </c>
      <c r="D575" s="29" t="s">
        <v>311</v>
      </c>
      <c r="E575" s="29" t="s">
        <v>312</v>
      </c>
      <c r="F575" s="29" t="s">
        <v>69</v>
      </c>
      <c r="G575" s="29" t="s">
        <v>68</v>
      </c>
      <c r="H575" s="29" t="s">
        <v>1381</v>
      </c>
      <c r="I575" s="29" t="s">
        <v>1851</v>
      </c>
      <c r="J575" s="29" t="n">
        <v>0</v>
      </c>
      <c r="K575" s="29" t="n">
        <v>0</v>
      </c>
      <c r="L575" s="29" t="s">
        <v>1846</v>
      </c>
    </row>
    <row r="576" customFormat="false" ht="15" hidden="false" customHeight="false" outlineLevel="0" collapsed="false">
      <c r="A576" s="29" t="n">
        <v>105031</v>
      </c>
      <c r="B576" s="29" t="s">
        <v>1688</v>
      </c>
      <c r="C576" s="29" t="s">
        <v>1689</v>
      </c>
      <c r="D576" s="29" t="s">
        <v>325</v>
      </c>
      <c r="E576" s="29" t="s">
        <v>326</v>
      </c>
      <c r="F576" s="29" t="s">
        <v>76</v>
      </c>
      <c r="G576" s="29" t="s">
        <v>67</v>
      </c>
      <c r="H576" s="29" t="s">
        <v>1844</v>
      </c>
      <c r="I576" s="29" t="s">
        <v>1852</v>
      </c>
      <c r="J576" s="29" t="n">
        <v>0</v>
      </c>
      <c r="K576" s="29" t="n">
        <v>0</v>
      </c>
      <c r="L576" s="29" t="s">
        <v>1846</v>
      </c>
    </row>
    <row r="577" customFormat="false" ht="15" hidden="false" customHeight="false" outlineLevel="0" collapsed="false">
      <c r="A577" s="29" t="n">
        <v>105031</v>
      </c>
      <c r="B577" s="29" t="s">
        <v>1688</v>
      </c>
      <c r="C577" s="29" t="s">
        <v>1689</v>
      </c>
      <c r="D577" s="29" t="s">
        <v>336</v>
      </c>
      <c r="E577" s="29" t="s">
        <v>337</v>
      </c>
      <c r="F577" s="29" t="s">
        <v>76</v>
      </c>
      <c r="G577" s="29" t="s">
        <v>67</v>
      </c>
      <c r="H577" s="29" t="s">
        <v>1844</v>
      </c>
      <c r="I577" s="29" t="s">
        <v>1852</v>
      </c>
      <c r="J577" s="29" t="n">
        <v>0</v>
      </c>
      <c r="K577" s="29" t="n">
        <v>0</v>
      </c>
      <c r="L577" s="29" t="s">
        <v>1846</v>
      </c>
    </row>
    <row r="578" customFormat="false" ht="15" hidden="false" customHeight="false" outlineLevel="0" collapsed="false">
      <c r="A578" s="29" t="n">
        <v>105031</v>
      </c>
      <c r="B578" s="29" t="s">
        <v>1688</v>
      </c>
      <c r="C578" s="29" t="s">
        <v>1689</v>
      </c>
      <c r="D578" s="29" t="s">
        <v>343</v>
      </c>
      <c r="E578" s="29" t="s">
        <v>344</v>
      </c>
      <c r="F578" s="29" t="s">
        <v>76</v>
      </c>
      <c r="G578" s="29" t="s">
        <v>67</v>
      </c>
      <c r="H578" s="29" t="s">
        <v>1844</v>
      </c>
      <c r="I578" s="29" t="s">
        <v>1873</v>
      </c>
      <c r="J578" s="29" t="n">
        <v>0</v>
      </c>
      <c r="K578" s="29" t="n">
        <v>0</v>
      </c>
      <c r="L578" s="29" t="s">
        <v>1846</v>
      </c>
    </row>
    <row r="579" customFormat="false" ht="15" hidden="false" customHeight="false" outlineLevel="0" collapsed="false">
      <c r="A579" s="29" t="n">
        <v>105031</v>
      </c>
      <c r="B579" s="29" t="s">
        <v>1688</v>
      </c>
      <c r="C579" s="29" t="s">
        <v>1689</v>
      </c>
      <c r="D579" s="29" t="s">
        <v>353</v>
      </c>
      <c r="E579" s="29" t="s">
        <v>354</v>
      </c>
      <c r="F579" s="29" t="s">
        <v>76</v>
      </c>
      <c r="G579" s="29" t="s">
        <v>67</v>
      </c>
      <c r="H579" s="29" t="s">
        <v>1844</v>
      </c>
      <c r="I579" s="29" t="s">
        <v>1853</v>
      </c>
      <c r="J579" s="29" t="n">
        <v>0</v>
      </c>
      <c r="K579" s="29" t="n">
        <v>0</v>
      </c>
      <c r="L579" s="29" t="s">
        <v>1846</v>
      </c>
    </row>
    <row r="580" customFormat="false" ht="15" hidden="false" customHeight="false" outlineLevel="0" collapsed="false">
      <c r="A580" s="29" t="n">
        <v>105031</v>
      </c>
      <c r="B580" s="29" t="s">
        <v>1688</v>
      </c>
      <c r="C580" s="29" t="s">
        <v>1689</v>
      </c>
      <c r="D580" s="29" t="s">
        <v>360</v>
      </c>
      <c r="E580" s="29" t="s">
        <v>361</v>
      </c>
      <c r="F580" s="29" t="s">
        <v>76</v>
      </c>
      <c r="G580" s="29" t="s">
        <v>67</v>
      </c>
      <c r="H580" s="29" t="s">
        <v>1844</v>
      </c>
      <c r="I580" s="29" t="s">
        <v>1873</v>
      </c>
      <c r="J580" s="29" t="n">
        <v>0</v>
      </c>
      <c r="K580" s="29" t="n">
        <v>0</v>
      </c>
      <c r="L580" s="29" t="s">
        <v>1846</v>
      </c>
    </row>
    <row r="581" customFormat="false" ht="15" hidden="false" customHeight="false" outlineLevel="0" collapsed="false">
      <c r="A581" s="29" t="n">
        <v>105031</v>
      </c>
      <c r="B581" s="29" t="s">
        <v>1688</v>
      </c>
      <c r="C581" s="29" t="s">
        <v>1689</v>
      </c>
      <c r="D581" s="29" t="s">
        <v>371</v>
      </c>
      <c r="E581" s="29" t="s">
        <v>372</v>
      </c>
      <c r="F581" s="29" t="s">
        <v>76</v>
      </c>
      <c r="G581" s="29" t="s">
        <v>67</v>
      </c>
      <c r="H581" s="29" t="s">
        <v>1844</v>
      </c>
      <c r="I581" s="29" t="s">
        <v>1873</v>
      </c>
      <c r="J581" s="29" t="n">
        <v>0</v>
      </c>
      <c r="K581" s="29" t="n">
        <v>0</v>
      </c>
      <c r="L581" s="29" t="s">
        <v>1846</v>
      </c>
    </row>
    <row r="582" customFormat="false" ht="15" hidden="false" customHeight="false" outlineLevel="0" collapsed="false">
      <c r="A582" s="29" t="n">
        <v>105031</v>
      </c>
      <c r="B582" s="29" t="s">
        <v>1688</v>
      </c>
      <c r="C582" s="29" t="s">
        <v>1689</v>
      </c>
      <c r="D582" s="29" t="s">
        <v>387</v>
      </c>
      <c r="E582" s="29" t="s">
        <v>388</v>
      </c>
      <c r="F582" s="29" t="s">
        <v>76</v>
      </c>
      <c r="G582" s="29" t="s">
        <v>68</v>
      </c>
      <c r="H582" s="29" t="s">
        <v>1381</v>
      </c>
      <c r="I582" s="29" t="s">
        <v>1853</v>
      </c>
      <c r="J582" s="29" t="n">
        <v>0</v>
      </c>
      <c r="K582" s="29" t="n">
        <v>0</v>
      </c>
      <c r="L582" s="29" t="s">
        <v>1846</v>
      </c>
    </row>
    <row r="583" customFormat="false" ht="15" hidden="false" customHeight="false" outlineLevel="0" collapsed="false">
      <c r="A583" s="29" t="n">
        <v>105031</v>
      </c>
      <c r="B583" s="29" t="s">
        <v>1688</v>
      </c>
      <c r="C583" s="29" t="s">
        <v>1689</v>
      </c>
      <c r="D583" s="29" t="s">
        <v>396</v>
      </c>
      <c r="E583" s="29" t="s">
        <v>397</v>
      </c>
      <c r="F583" s="29" t="s">
        <v>76</v>
      </c>
      <c r="G583" s="29" t="s">
        <v>68</v>
      </c>
      <c r="H583" s="29" t="s">
        <v>1381</v>
      </c>
      <c r="I583" s="29" t="s">
        <v>1853</v>
      </c>
      <c r="J583" s="29" t="n">
        <v>0</v>
      </c>
      <c r="K583" s="29" t="n">
        <v>0</v>
      </c>
      <c r="L583" s="29" t="s">
        <v>1846</v>
      </c>
    </row>
    <row r="584" customFormat="false" ht="15" hidden="false" customHeight="false" outlineLevel="0" collapsed="false">
      <c r="A584" s="29" t="n">
        <v>105031</v>
      </c>
      <c r="B584" s="29" t="s">
        <v>1688</v>
      </c>
      <c r="C584" s="29" t="s">
        <v>1689</v>
      </c>
      <c r="D584" s="29" t="s">
        <v>403</v>
      </c>
      <c r="E584" s="29" t="s">
        <v>404</v>
      </c>
      <c r="F584" s="29" t="s">
        <v>76</v>
      </c>
      <c r="G584" s="29" t="s">
        <v>68</v>
      </c>
      <c r="H584" s="29" t="s">
        <v>1381</v>
      </c>
      <c r="I584" s="29" t="s">
        <v>1852</v>
      </c>
      <c r="J584" s="29" t="n">
        <v>0</v>
      </c>
      <c r="K584" s="29" t="n">
        <v>0</v>
      </c>
      <c r="L584" s="29" t="s">
        <v>1846</v>
      </c>
    </row>
    <row r="585" customFormat="false" ht="15" hidden="false" customHeight="false" outlineLevel="0" collapsed="false">
      <c r="A585" s="29" t="n">
        <v>105031</v>
      </c>
      <c r="B585" s="29" t="s">
        <v>1688</v>
      </c>
      <c r="C585" s="29" t="s">
        <v>1689</v>
      </c>
      <c r="D585" s="29" t="s">
        <v>411</v>
      </c>
      <c r="E585" s="29" t="s">
        <v>412</v>
      </c>
      <c r="F585" s="29" t="s">
        <v>76</v>
      </c>
      <c r="G585" s="29" t="s">
        <v>68</v>
      </c>
      <c r="H585" s="29" t="s">
        <v>1381</v>
      </c>
      <c r="I585" s="29" t="s">
        <v>1873</v>
      </c>
      <c r="J585" s="29" t="n">
        <v>0</v>
      </c>
      <c r="K585" s="29" t="n">
        <v>0</v>
      </c>
      <c r="L585" s="29" t="s">
        <v>1846</v>
      </c>
    </row>
    <row r="586" customFormat="false" ht="15" hidden="false" customHeight="false" outlineLevel="0" collapsed="false">
      <c r="A586" s="29" t="n">
        <v>105031</v>
      </c>
      <c r="B586" s="29" t="s">
        <v>1688</v>
      </c>
      <c r="C586" s="29" t="s">
        <v>1689</v>
      </c>
      <c r="D586" s="29" t="s">
        <v>428</v>
      </c>
      <c r="E586" s="29" t="s">
        <v>429</v>
      </c>
      <c r="F586" s="29" t="s">
        <v>76</v>
      </c>
      <c r="G586" s="29" t="s">
        <v>68</v>
      </c>
      <c r="H586" s="29" t="s">
        <v>1381</v>
      </c>
      <c r="I586" s="29" t="s">
        <v>1853</v>
      </c>
      <c r="J586" s="29" t="n">
        <v>0</v>
      </c>
      <c r="K586" s="29" t="n">
        <v>0</v>
      </c>
      <c r="L586" s="29" t="s">
        <v>1846</v>
      </c>
    </row>
    <row r="587" customFormat="false" ht="15" hidden="false" customHeight="false" outlineLevel="0" collapsed="false">
      <c r="A587" s="29" t="n">
        <v>105031</v>
      </c>
      <c r="B587" s="29" t="s">
        <v>1688</v>
      </c>
      <c r="C587" s="29" t="s">
        <v>1689</v>
      </c>
      <c r="D587" s="29" t="s">
        <v>433</v>
      </c>
      <c r="E587" s="29" t="s">
        <v>434</v>
      </c>
      <c r="F587" s="29" t="s">
        <v>82</v>
      </c>
      <c r="G587" s="29" t="s">
        <v>66</v>
      </c>
      <c r="H587" s="29" t="s">
        <v>1379</v>
      </c>
      <c r="I587" s="29" t="s">
        <v>1854</v>
      </c>
      <c r="J587" s="29" t="n">
        <v>0</v>
      </c>
      <c r="K587" s="29" t="n">
        <v>0</v>
      </c>
      <c r="L587" s="29" t="s">
        <v>1846</v>
      </c>
    </row>
    <row r="588" customFormat="false" ht="15" hidden="false" customHeight="false" outlineLevel="0" collapsed="false">
      <c r="A588" s="29" t="n">
        <v>105031</v>
      </c>
      <c r="B588" s="29" t="s">
        <v>1688</v>
      </c>
      <c r="C588" s="29" t="s">
        <v>1689</v>
      </c>
      <c r="D588" s="29" t="s">
        <v>451</v>
      </c>
      <c r="E588" s="29" t="s">
        <v>452</v>
      </c>
      <c r="F588" s="29" t="s">
        <v>82</v>
      </c>
      <c r="G588" s="29" t="s">
        <v>67</v>
      </c>
      <c r="H588" s="29" t="s">
        <v>1379</v>
      </c>
      <c r="I588" s="29" t="s">
        <v>1855</v>
      </c>
      <c r="J588" s="29" t="n">
        <v>0</v>
      </c>
      <c r="K588" s="29" t="n">
        <v>0</v>
      </c>
      <c r="L588" s="29" t="s">
        <v>1846</v>
      </c>
    </row>
    <row r="589" customFormat="false" ht="15" hidden="false" customHeight="false" outlineLevel="0" collapsed="false">
      <c r="A589" s="29" t="n">
        <v>105031</v>
      </c>
      <c r="B589" s="29" t="s">
        <v>1688</v>
      </c>
      <c r="C589" s="29" t="s">
        <v>1689</v>
      </c>
      <c r="D589" s="29" t="s">
        <v>459</v>
      </c>
      <c r="E589" s="29" t="s">
        <v>460</v>
      </c>
      <c r="F589" s="29" t="s">
        <v>82</v>
      </c>
      <c r="G589" s="29" t="s">
        <v>67</v>
      </c>
      <c r="H589" s="29" t="s">
        <v>1379</v>
      </c>
      <c r="I589" s="29" t="s">
        <v>1855</v>
      </c>
      <c r="J589" s="29" t="n">
        <v>0</v>
      </c>
      <c r="K589" s="29" t="n">
        <v>0</v>
      </c>
      <c r="L589" s="29" t="s">
        <v>1846</v>
      </c>
    </row>
    <row r="590" customFormat="false" ht="15" hidden="false" customHeight="false" outlineLevel="0" collapsed="false">
      <c r="A590" s="29" t="n">
        <v>105031</v>
      </c>
      <c r="B590" s="29" t="s">
        <v>1688</v>
      </c>
      <c r="C590" s="29" t="s">
        <v>1689</v>
      </c>
      <c r="D590" s="29" t="s">
        <v>466</v>
      </c>
      <c r="E590" s="29" t="s">
        <v>467</v>
      </c>
      <c r="F590" s="29" t="s">
        <v>82</v>
      </c>
      <c r="G590" s="29" t="s">
        <v>67</v>
      </c>
      <c r="H590" s="29" t="s">
        <v>1379</v>
      </c>
      <c r="I590" s="29" t="s">
        <v>1855</v>
      </c>
      <c r="J590" s="29" t="n">
        <v>0</v>
      </c>
      <c r="K590" s="29" t="n">
        <v>0</v>
      </c>
      <c r="L590" s="29" t="s">
        <v>1846</v>
      </c>
    </row>
    <row r="591" customFormat="false" ht="15" hidden="false" customHeight="false" outlineLevel="0" collapsed="false">
      <c r="A591" s="29" t="n">
        <v>105031</v>
      </c>
      <c r="B591" s="29" t="s">
        <v>1688</v>
      </c>
      <c r="C591" s="29" t="s">
        <v>1689</v>
      </c>
      <c r="D591" s="29" t="s">
        <v>508</v>
      </c>
      <c r="E591" s="29" t="s">
        <v>509</v>
      </c>
      <c r="F591" s="29" t="s">
        <v>88</v>
      </c>
      <c r="G591" s="29" t="s">
        <v>67</v>
      </c>
      <c r="H591" s="29" t="s">
        <v>1379</v>
      </c>
      <c r="I591" s="29" t="s">
        <v>1850</v>
      </c>
      <c r="J591" s="29" t="n">
        <v>0</v>
      </c>
      <c r="K591" s="29" t="n">
        <v>0</v>
      </c>
      <c r="L591" s="29" t="s">
        <v>1846</v>
      </c>
    </row>
    <row r="592" customFormat="false" ht="15" hidden="false" customHeight="false" outlineLevel="0" collapsed="false">
      <c r="A592" s="29" t="n">
        <v>105031</v>
      </c>
      <c r="B592" s="29" t="s">
        <v>1688</v>
      </c>
      <c r="C592" s="29" t="s">
        <v>1689</v>
      </c>
      <c r="D592" s="29" t="s">
        <v>515</v>
      </c>
      <c r="E592" s="29" t="s">
        <v>516</v>
      </c>
      <c r="F592" s="29" t="s">
        <v>88</v>
      </c>
      <c r="G592" s="29" t="s">
        <v>67</v>
      </c>
      <c r="H592" s="29" t="s">
        <v>1379</v>
      </c>
      <c r="I592" s="29" t="s">
        <v>1850</v>
      </c>
      <c r="J592" s="29" t="n">
        <v>0</v>
      </c>
      <c r="K592" s="29" t="n">
        <v>0</v>
      </c>
      <c r="L592" s="29" t="s">
        <v>1846</v>
      </c>
    </row>
    <row r="593" customFormat="false" ht="15" hidden="false" customHeight="false" outlineLevel="0" collapsed="false">
      <c r="A593" s="29" t="n">
        <v>105031</v>
      </c>
      <c r="B593" s="29" t="s">
        <v>1688</v>
      </c>
      <c r="C593" s="29" t="s">
        <v>1689</v>
      </c>
      <c r="D593" s="29" t="s">
        <v>523</v>
      </c>
      <c r="E593" s="29" t="s">
        <v>524</v>
      </c>
      <c r="F593" s="29" t="s">
        <v>88</v>
      </c>
      <c r="G593" s="29" t="s">
        <v>67</v>
      </c>
      <c r="H593" s="29" t="s">
        <v>1844</v>
      </c>
      <c r="I593" s="29" t="s">
        <v>1856</v>
      </c>
      <c r="J593" s="29" t="n">
        <v>0</v>
      </c>
      <c r="K593" s="29" t="n">
        <v>0</v>
      </c>
      <c r="L593" s="29" t="s">
        <v>1846</v>
      </c>
    </row>
    <row r="594" customFormat="false" ht="15" hidden="false" customHeight="false" outlineLevel="0" collapsed="false">
      <c r="A594" s="29" t="n">
        <v>105031</v>
      </c>
      <c r="B594" s="29" t="s">
        <v>1688</v>
      </c>
      <c r="C594" s="29" t="s">
        <v>1689</v>
      </c>
      <c r="D594" s="29" t="s">
        <v>530</v>
      </c>
      <c r="E594" s="29" t="s">
        <v>531</v>
      </c>
      <c r="F594" s="29" t="s">
        <v>88</v>
      </c>
      <c r="G594" s="29" t="s">
        <v>68</v>
      </c>
      <c r="H594" s="29" t="s">
        <v>1381</v>
      </c>
      <c r="I594" s="29" t="s">
        <v>1847</v>
      </c>
      <c r="J594" s="29" t="n">
        <v>0</v>
      </c>
      <c r="K594" s="29" t="n">
        <v>0</v>
      </c>
      <c r="L594" s="29" t="s">
        <v>1846</v>
      </c>
    </row>
    <row r="595" customFormat="false" ht="15" hidden="false" customHeight="false" outlineLevel="0" collapsed="false">
      <c r="A595" s="29" t="n">
        <v>105031</v>
      </c>
      <c r="B595" s="29" t="s">
        <v>1688</v>
      </c>
      <c r="C595" s="29" t="s">
        <v>1689</v>
      </c>
      <c r="D595" s="29" t="s">
        <v>536</v>
      </c>
      <c r="E595" s="29" t="s">
        <v>537</v>
      </c>
      <c r="F595" s="29" t="s">
        <v>88</v>
      </c>
      <c r="G595" s="29" t="s">
        <v>68</v>
      </c>
      <c r="H595" s="29" t="s">
        <v>1381</v>
      </c>
      <c r="I595" s="29" t="s">
        <v>1847</v>
      </c>
      <c r="J595" s="29" t="n">
        <v>0</v>
      </c>
      <c r="K595" s="29" t="n">
        <v>0</v>
      </c>
      <c r="L595" s="29" t="s">
        <v>1846</v>
      </c>
    </row>
    <row r="596" customFormat="false" ht="15" hidden="false" customHeight="false" outlineLevel="0" collapsed="false">
      <c r="A596" s="29" t="n">
        <v>105031</v>
      </c>
      <c r="B596" s="29" t="s">
        <v>1688</v>
      </c>
      <c r="C596" s="29" t="s">
        <v>1689</v>
      </c>
      <c r="D596" s="29" t="s">
        <v>543</v>
      </c>
      <c r="E596" s="29" t="s">
        <v>544</v>
      </c>
      <c r="F596" s="29" t="s">
        <v>88</v>
      </c>
      <c r="G596" s="29" t="s">
        <v>68</v>
      </c>
      <c r="H596" s="29" t="s">
        <v>1381</v>
      </c>
      <c r="I596" s="29" t="s">
        <v>1847</v>
      </c>
      <c r="J596" s="29" t="n">
        <v>0</v>
      </c>
      <c r="K596" s="29" t="n">
        <v>0</v>
      </c>
      <c r="L596" s="29" t="s">
        <v>1846</v>
      </c>
    </row>
    <row r="597" customFormat="false" ht="15" hidden="false" customHeight="false" outlineLevel="0" collapsed="false">
      <c r="A597" s="29" t="n">
        <v>105031</v>
      </c>
      <c r="B597" s="29" t="s">
        <v>1688</v>
      </c>
      <c r="C597" s="29" t="s">
        <v>1689</v>
      </c>
      <c r="D597" s="29" t="s">
        <v>551</v>
      </c>
      <c r="E597" s="29" t="s">
        <v>552</v>
      </c>
      <c r="F597" s="29" t="s">
        <v>88</v>
      </c>
      <c r="G597" s="29" t="s">
        <v>68</v>
      </c>
      <c r="H597" s="29" t="s">
        <v>1381</v>
      </c>
      <c r="I597" s="29" t="s">
        <v>1857</v>
      </c>
      <c r="J597" s="29" t="n">
        <v>0</v>
      </c>
      <c r="K597" s="29" t="n">
        <v>0</v>
      </c>
      <c r="L597" s="29" t="s">
        <v>1846</v>
      </c>
    </row>
    <row r="598" customFormat="false" ht="15" hidden="false" customHeight="false" outlineLevel="0" collapsed="false">
      <c r="A598" s="29" t="n">
        <v>105031</v>
      </c>
      <c r="B598" s="29" t="s">
        <v>1688</v>
      </c>
      <c r="C598" s="29" t="s">
        <v>1689</v>
      </c>
      <c r="D598" s="29" t="s">
        <v>558</v>
      </c>
      <c r="E598" s="29" t="s">
        <v>559</v>
      </c>
      <c r="F598" s="29" t="s">
        <v>88</v>
      </c>
      <c r="G598" s="29" t="s">
        <v>68</v>
      </c>
      <c r="H598" s="29" t="s">
        <v>1381</v>
      </c>
      <c r="I598" s="29" t="s">
        <v>1856</v>
      </c>
      <c r="J598" s="29" t="n">
        <v>0</v>
      </c>
      <c r="K598" s="29" t="n">
        <v>0</v>
      </c>
      <c r="L598" s="29" t="s">
        <v>1846</v>
      </c>
    </row>
    <row r="599" customFormat="false" ht="15" hidden="false" customHeight="false" outlineLevel="0" collapsed="false">
      <c r="A599" s="29" t="n">
        <v>105031</v>
      </c>
      <c r="B599" s="29" t="s">
        <v>1688</v>
      </c>
      <c r="C599" s="29" t="s">
        <v>1689</v>
      </c>
      <c r="D599" s="29" t="s">
        <v>565</v>
      </c>
      <c r="E599" s="29" t="s">
        <v>566</v>
      </c>
      <c r="F599" s="29" t="s">
        <v>88</v>
      </c>
      <c r="G599" s="29" t="s">
        <v>68</v>
      </c>
      <c r="H599" s="29" t="s">
        <v>1381</v>
      </c>
      <c r="I599" s="29" t="s">
        <v>1856</v>
      </c>
      <c r="J599" s="29" t="n">
        <v>0</v>
      </c>
      <c r="K599" s="29" t="n">
        <v>0</v>
      </c>
      <c r="L599" s="29" t="s">
        <v>1846</v>
      </c>
    </row>
    <row r="600" customFormat="false" ht="15" hidden="false" customHeight="false" outlineLevel="0" collapsed="false">
      <c r="A600" s="29" t="n">
        <v>105031</v>
      </c>
      <c r="B600" s="29" t="s">
        <v>1688</v>
      </c>
      <c r="C600" s="29" t="s">
        <v>1689</v>
      </c>
      <c r="D600" s="29" t="s">
        <v>572</v>
      </c>
      <c r="E600" s="29" t="s">
        <v>573</v>
      </c>
      <c r="F600" s="29" t="s">
        <v>88</v>
      </c>
      <c r="G600" s="29" t="s">
        <v>68</v>
      </c>
      <c r="H600" s="29" t="s">
        <v>1381</v>
      </c>
      <c r="I600" s="29" t="s">
        <v>1847</v>
      </c>
      <c r="J600" s="29" t="n">
        <v>0</v>
      </c>
      <c r="K600" s="29" t="n">
        <v>0</v>
      </c>
      <c r="L600" s="29" t="s">
        <v>1846</v>
      </c>
    </row>
    <row r="601" customFormat="false" ht="15" hidden="false" customHeight="false" outlineLevel="0" collapsed="false">
      <c r="A601" s="29" t="n">
        <v>105031</v>
      </c>
      <c r="B601" s="29" t="s">
        <v>1688</v>
      </c>
      <c r="C601" s="29" t="s">
        <v>1689</v>
      </c>
      <c r="D601" s="29" t="s">
        <v>581</v>
      </c>
      <c r="E601" s="29" t="s">
        <v>582</v>
      </c>
      <c r="F601" s="29" t="s">
        <v>93</v>
      </c>
      <c r="G601" s="29" t="s">
        <v>67</v>
      </c>
      <c r="H601" s="29" t="s">
        <v>1844</v>
      </c>
      <c r="I601" s="29" t="s">
        <v>1858</v>
      </c>
      <c r="J601" s="29" t="n">
        <v>0</v>
      </c>
      <c r="K601" s="29" t="n">
        <v>0</v>
      </c>
      <c r="L601" s="29" t="s">
        <v>1846</v>
      </c>
    </row>
    <row r="602" customFormat="false" ht="15" hidden="false" customHeight="false" outlineLevel="0" collapsed="false">
      <c r="A602" s="29" t="n">
        <v>105031</v>
      </c>
      <c r="B602" s="29" t="s">
        <v>1688</v>
      </c>
      <c r="C602" s="29" t="s">
        <v>1689</v>
      </c>
      <c r="D602" s="29" t="s">
        <v>590</v>
      </c>
      <c r="E602" s="29" t="s">
        <v>591</v>
      </c>
      <c r="F602" s="29" t="s">
        <v>93</v>
      </c>
      <c r="G602" s="29" t="s">
        <v>67</v>
      </c>
      <c r="H602" s="29" t="s">
        <v>1844</v>
      </c>
      <c r="I602" s="29" t="s">
        <v>1859</v>
      </c>
      <c r="J602" s="29" t="n">
        <v>0</v>
      </c>
      <c r="K602" s="29" t="n">
        <v>0</v>
      </c>
      <c r="L602" s="29" t="s">
        <v>1846</v>
      </c>
    </row>
    <row r="603" customFormat="false" ht="15" hidden="false" customHeight="false" outlineLevel="0" collapsed="false">
      <c r="A603" s="29" t="n">
        <v>105031</v>
      </c>
      <c r="B603" s="29" t="s">
        <v>1688</v>
      </c>
      <c r="C603" s="29" t="s">
        <v>1689</v>
      </c>
      <c r="D603" s="29" t="s">
        <v>597</v>
      </c>
      <c r="E603" s="29" t="s">
        <v>598</v>
      </c>
      <c r="F603" s="29" t="s">
        <v>93</v>
      </c>
      <c r="G603" s="29" t="s">
        <v>67</v>
      </c>
      <c r="H603" s="29" t="s">
        <v>1844</v>
      </c>
      <c r="I603" s="29" t="s">
        <v>1859</v>
      </c>
      <c r="J603" s="29" t="n">
        <v>0</v>
      </c>
      <c r="K603" s="29" t="n">
        <v>0</v>
      </c>
      <c r="L603" s="29" t="s">
        <v>1846</v>
      </c>
    </row>
    <row r="604" customFormat="false" ht="15" hidden="false" customHeight="false" outlineLevel="0" collapsed="false">
      <c r="A604" s="29" t="n">
        <v>105031</v>
      </c>
      <c r="B604" s="29" t="s">
        <v>1688</v>
      </c>
      <c r="C604" s="29" t="s">
        <v>1689</v>
      </c>
      <c r="D604" s="29" t="s">
        <v>604</v>
      </c>
      <c r="E604" s="29" t="s">
        <v>605</v>
      </c>
      <c r="F604" s="29" t="s">
        <v>93</v>
      </c>
      <c r="G604" s="29" t="s">
        <v>68</v>
      </c>
      <c r="H604" s="29" t="s">
        <v>1381</v>
      </c>
      <c r="I604" s="29" t="s">
        <v>1859</v>
      </c>
      <c r="J604" s="29" t="n">
        <v>0</v>
      </c>
      <c r="K604" s="29" t="n">
        <v>0</v>
      </c>
      <c r="L604" s="29" t="s">
        <v>1846</v>
      </c>
    </row>
    <row r="605" customFormat="false" ht="15" hidden="false" customHeight="false" outlineLevel="0" collapsed="false">
      <c r="A605" s="29" t="n">
        <v>105031</v>
      </c>
      <c r="B605" s="29" t="s">
        <v>1688</v>
      </c>
      <c r="C605" s="29" t="s">
        <v>1689</v>
      </c>
      <c r="D605" s="29" t="s">
        <v>612</v>
      </c>
      <c r="E605" s="29" t="s">
        <v>613</v>
      </c>
      <c r="F605" s="29" t="s">
        <v>93</v>
      </c>
      <c r="G605" s="29" t="s">
        <v>68</v>
      </c>
      <c r="H605" s="29" t="s">
        <v>1381</v>
      </c>
      <c r="I605" s="29" t="s">
        <v>1859</v>
      </c>
      <c r="J605" s="29" t="n">
        <v>0</v>
      </c>
      <c r="K605" s="29" t="n">
        <v>0</v>
      </c>
      <c r="L605" s="29" t="s">
        <v>1846</v>
      </c>
    </row>
    <row r="606" customFormat="false" ht="15" hidden="false" customHeight="false" outlineLevel="0" collapsed="false">
      <c r="A606" s="29" t="n">
        <v>105031</v>
      </c>
      <c r="B606" s="29" t="s">
        <v>1688</v>
      </c>
      <c r="C606" s="29" t="s">
        <v>1689</v>
      </c>
      <c r="D606" s="29" t="s">
        <v>618</v>
      </c>
      <c r="E606" s="29" t="s">
        <v>619</v>
      </c>
      <c r="F606" s="29" t="s">
        <v>93</v>
      </c>
      <c r="G606" s="29" t="s">
        <v>68</v>
      </c>
      <c r="H606" s="29" t="s">
        <v>1381</v>
      </c>
      <c r="I606" s="29" t="s">
        <v>1859</v>
      </c>
      <c r="J606" s="29" t="n">
        <v>0</v>
      </c>
      <c r="K606" s="29" t="n">
        <v>0</v>
      </c>
      <c r="L606" s="29" t="s">
        <v>1846</v>
      </c>
    </row>
    <row r="607" customFormat="false" ht="15" hidden="false" customHeight="false" outlineLevel="0" collapsed="false">
      <c r="A607" s="29" t="n">
        <v>105031</v>
      </c>
      <c r="B607" s="29" t="s">
        <v>1688</v>
      </c>
      <c r="C607" s="29" t="s">
        <v>1689</v>
      </c>
      <c r="D607" s="29" t="s">
        <v>627</v>
      </c>
      <c r="E607" s="29" t="s">
        <v>628</v>
      </c>
      <c r="F607" s="29" t="s">
        <v>93</v>
      </c>
      <c r="G607" s="29" t="s">
        <v>68</v>
      </c>
      <c r="H607" s="29" t="s">
        <v>1381</v>
      </c>
      <c r="I607" s="29" t="s">
        <v>1858</v>
      </c>
      <c r="J607" s="29" t="n">
        <v>0</v>
      </c>
      <c r="K607" s="29" t="n">
        <v>0</v>
      </c>
      <c r="L607" s="29" t="s">
        <v>1846</v>
      </c>
    </row>
    <row r="608" customFormat="false" ht="15" hidden="false" customHeight="false" outlineLevel="0" collapsed="false">
      <c r="A608" s="29" t="n">
        <v>105031</v>
      </c>
      <c r="B608" s="29" t="s">
        <v>1688</v>
      </c>
      <c r="C608" s="29" t="s">
        <v>1689</v>
      </c>
      <c r="D608" s="29" t="s">
        <v>636</v>
      </c>
      <c r="E608" s="29" t="s">
        <v>637</v>
      </c>
      <c r="F608" s="29" t="s">
        <v>93</v>
      </c>
      <c r="G608" s="29" t="s">
        <v>68</v>
      </c>
      <c r="H608" s="29" t="s">
        <v>1381</v>
      </c>
      <c r="I608" s="29" t="s">
        <v>1858</v>
      </c>
      <c r="J608" s="29" t="n">
        <v>0</v>
      </c>
      <c r="K608" s="29" t="n">
        <v>0</v>
      </c>
      <c r="L608" s="29" t="s">
        <v>1846</v>
      </c>
    </row>
    <row r="609" customFormat="false" ht="15" hidden="false" customHeight="false" outlineLevel="0" collapsed="false">
      <c r="A609" s="29" t="n">
        <v>105031</v>
      </c>
      <c r="B609" s="29" t="s">
        <v>1688</v>
      </c>
      <c r="C609" s="29" t="s">
        <v>1689</v>
      </c>
      <c r="D609" s="29" t="s">
        <v>668</v>
      </c>
      <c r="E609" s="29" t="s">
        <v>669</v>
      </c>
      <c r="F609" s="29" t="s">
        <v>105</v>
      </c>
      <c r="G609" s="29" t="s">
        <v>66</v>
      </c>
      <c r="H609" s="29" t="s">
        <v>1379</v>
      </c>
      <c r="I609" s="29" t="s">
        <v>1854</v>
      </c>
      <c r="J609" s="29" t="n">
        <v>0</v>
      </c>
      <c r="K609" s="29" t="n">
        <v>0</v>
      </c>
      <c r="L609" s="29" t="s">
        <v>1846</v>
      </c>
    </row>
    <row r="610" customFormat="false" ht="15" hidden="false" customHeight="false" outlineLevel="0" collapsed="false">
      <c r="A610" s="29" t="n">
        <v>105031</v>
      </c>
      <c r="B610" s="29" t="s">
        <v>1688</v>
      </c>
      <c r="C610" s="29" t="s">
        <v>1689</v>
      </c>
      <c r="D610" s="29" t="s">
        <v>680</v>
      </c>
      <c r="E610" s="29" t="s">
        <v>681</v>
      </c>
      <c r="F610" s="29" t="s">
        <v>105</v>
      </c>
      <c r="G610" s="29" t="s">
        <v>66</v>
      </c>
      <c r="H610" s="29" t="s">
        <v>1379</v>
      </c>
      <c r="I610" s="29" t="s">
        <v>1854</v>
      </c>
      <c r="J610" s="29" t="n">
        <v>0</v>
      </c>
      <c r="K610" s="29" t="n">
        <v>0</v>
      </c>
      <c r="L610" s="29" t="s">
        <v>1846</v>
      </c>
    </row>
    <row r="611" customFormat="false" ht="15" hidden="false" customHeight="false" outlineLevel="0" collapsed="false">
      <c r="A611" s="29" t="n">
        <v>105031</v>
      </c>
      <c r="B611" s="29" t="s">
        <v>1688</v>
      </c>
      <c r="C611" s="29" t="s">
        <v>1689</v>
      </c>
      <c r="D611" s="29" t="s">
        <v>711</v>
      </c>
      <c r="E611" s="29" t="s">
        <v>712</v>
      </c>
      <c r="F611" s="29" t="s">
        <v>116</v>
      </c>
      <c r="G611" s="29" t="s">
        <v>66</v>
      </c>
      <c r="H611" s="29" t="s">
        <v>1379</v>
      </c>
      <c r="I611" s="29" t="s">
        <v>1854</v>
      </c>
      <c r="J611" s="29" t="n">
        <v>0</v>
      </c>
      <c r="K611" s="29" t="n">
        <v>0</v>
      </c>
      <c r="L611" s="29" t="s">
        <v>1846</v>
      </c>
    </row>
    <row r="612" customFormat="false" ht="15" hidden="false" customHeight="false" outlineLevel="0" collapsed="false">
      <c r="A612" s="29" t="n">
        <v>105031</v>
      </c>
      <c r="B612" s="29" t="s">
        <v>1688</v>
      </c>
      <c r="C612" s="29" t="s">
        <v>1689</v>
      </c>
      <c r="D612" s="29" t="s">
        <v>721</v>
      </c>
      <c r="E612" s="29" t="s">
        <v>722</v>
      </c>
      <c r="F612" s="29" t="s">
        <v>116</v>
      </c>
      <c r="G612" s="29" t="s">
        <v>66</v>
      </c>
      <c r="H612" s="29" t="s">
        <v>1379</v>
      </c>
      <c r="I612" s="29" t="s">
        <v>1854</v>
      </c>
      <c r="J612" s="29" t="n">
        <v>0</v>
      </c>
      <c r="K612" s="29" t="n">
        <v>0</v>
      </c>
      <c r="L612" s="29" t="s">
        <v>1846</v>
      </c>
    </row>
    <row r="613" customFormat="false" ht="15" hidden="false" customHeight="false" outlineLevel="0" collapsed="false">
      <c r="A613" s="29" t="n">
        <v>105031</v>
      </c>
      <c r="B613" s="29" t="s">
        <v>1688</v>
      </c>
      <c r="C613" s="29" t="s">
        <v>1689</v>
      </c>
      <c r="D613" s="29" t="s">
        <v>729</v>
      </c>
      <c r="E613" s="29" t="s">
        <v>730</v>
      </c>
      <c r="F613" s="29" t="s">
        <v>116</v>
      </c>
      <c r="G613" s="29" t="s">
        <v>67</v>
      </c>
      <c r="H613" s="29" t="s">
        <v>1844</v>
      </c>
      <c r="I613" s="29" t="s">
        <v>1879</v>
      </c>
      <c r="J613" s="29" t="n">
        <v>0</v>
      </c>
      <c r="K613" s="29" t="n">
        <v>0</v>
      </c>
      <c r="L613" s="29" t="s">
        <v>1846</v>
      </c>
    </row>
    <row r="614" customFormat="false" ht="15" hidden="false" customHeight="false" outlineLevel="0" collapsed="false">
      <c r="A614" s="29" t="n">
        <v>105031</v>
      </c>
      <c r="B614" s="29" t="s">
        <v>1688</v>
      </c>
      <c r="C614" s="29" t="s">
        <v>1689</v>
      </c>
      <c r="D614" s="29" t="s">
        <v>737</v>
      </c>
      <c r="E614" s="29" t="s">
        <v>738</v>
      </c>
      <c r="F614" s="29" t="s">
        <v>116</v>
      </c>
      <c r="G614" s="29" t="s">
        <v>67</v>
      </c>
      <c r="H614" s="29" t="s">
        <v>1844</v>
      </c>
      <c r="I614" s="29" t="s">
        <v>1879</v>
      </c>
      <c r="J614" s="29" t="n">
        <v>0</v>
      </c>
      <c r="K614" s="29" t="n">
        <v>0</v>
      </c>
      <c r="L614" s="29" t="s">
        <v>1846</v>
      </c>
    </row>
    <row r="615" customFormat="false" ht="15" hidden="false" customHeight="false" outlineLevel="0" collapsed="false">
      <c r="A615" s="29" t="n">
        <v>105031</v>
      </c>
      <c r="B615" s="29" t="s">
        <v>1688</v>
      </c>
      <c r="C615" s="29" t="s">
        <v>1689</v>
      </c>
      <c r="D615" s="29" t="s">
        <v>745</v>
      </c>
      <c r="E615" s="29" t="s">
        <v>746</v>
      </c>
      <c r="F615" s="29" t="s">
        <v>116</v>
      </c>
      <c r="G615" s="29" t="s">
        <v>67</v>
      </c>
      <c r="H615" s="29" t="s">
        <v>1844</v>
      </c>
      <c r="I615" s="29" t="s">
        <v>1860</v>
      </c>
      <c r="J615" s="29" t="n">
        <v>0</v>
      </c>
      <c r="K615" s="29" t="n">
        <v>0</v>
      </c>
      <c r="L615" s="29" t="s">
        <v>1846</v>
      </c>
    </row>
    <row r="616" customFormat="false" ht="15" hidden="false" customHeight="false" outlineLevel="0" collapsed="false">
      <c r="A616" s="29" t="n">
        <v>105031</v>
      </c>
      <c r="B616" s="29" t="s">
        <v>1688</v>
      </c>
      <c r="C616" s="29" t="s">
        <v>1689</v>
      </c>
      <c r="D616" s="29" t="s">
        <v>753</v>
      </c>
      <c r="E616" s="29" t="s">
        <v>754</v>
      </c>
      <c r="F616" s="29" t="s">
        <v>116</v>
      </c>
      <c r="G616" s="29" t="s">
        <v>68</v>
      </c>
      <c r="H616" s="29" t="s">
        <v>1381</v>
      </c>
      <c r="I616" s="29" t="s">
        <v>1860</v>
      </c>
      <c r="J616" s="29" t="n">
        <v>0</v>
      </c>
      <c r="K616" s="29" t="n">
        <v>0</v>
      </c>
      <c r="L616" s="29" t="s">
        <v>1846</v>
      </c>
    </row>
    <row r="617" customFormat="false" ht="15" hidden="false" customHeight="false" outlineLevel="0" collapsed="false">
      <c r="A617" s="29" t="n">
        <v>107819</v>
      </c>
      <c r="B617" s="29" t="s">
        <v>1691</v>
      </c>
      <c r="C617" s="29" t="s">
        <v>1692</v>
      </c>
      <c r="D617" s="29" t="s">
        <v>247</v>
      </c>
      <c r="E617" s="29" t="s">
        <v>248</v>
      </c>
      <c r="F617" s="29" t="s">
        <v>69</v>
      </c>
      <c r="G617" s="29" t="s">
        <v>67</v>
      </c>
      <c r="H617" s="29" t="s">
        <v>1844</v>
      </c>
      <c r="I617" s="29" t="s">
        <v>1848</v>
      </c>
      <c r="J617" s="29" t="n">
        <v>0</v>
      </c>
      <c r="K617" s="29" t="n">
        <v>0</v>
      </c>
      <c r="L617" s="29" t="s">
        <v>1846</v>
      </c>
    </row>
    <row r="618" customFormat="false" ht="15" hidden="false" customHeight="false" outlineLevel="0" collapsed="false">
      <c r="A618" s="29" t="n">
        <v>107819</v>
      </c>
      <c r="B618" s="29" t="s">
        <v>1691</v>
      </c>
      <c r="C618" s="29" t="s">
        <v>1692</v>
      </c>
      <c r="D618" s="29" t="s">
        <v>277</v>
      </c>
      <c r="E618" s="29" t="s">
        <v>278</v>
      </c>
      <c r="F618" s="29" t="s">
        <v>69</v>
      </c>
      <c r="G618" s="29" t="s">
        <v>67</v>
      </c>
      <c r="H618" s="29" t="s">
        <v>1379</v>
      </c>
      <c r="I618" s="29" t="s">
        <v>1850</v>
      </c>
      <c r="J618" s="29" t="n">
        <v>0</v>
      </c>
      <c r="K618" s="29" t="n">
        <v>0</v>
      </c>
      <c r="L618" s="29" t="s">
        <v>1846</v>
      </c>
    </row>
    <row r="619" customFormat="false" ht="15" hidden="false" customHeight="false" outlineLevel="0" collapsed="false">
      <c r="A619" s="29" t="n">
        <v>107819</v>
      </c>
      <c r="B619" s="29" t="s">
        <v>1691</v>
      </c>
      <c r="C619" s="29" t="s">
        <v>1692</v>
      </c>
      <c r="D619" s="29" t="s">
        <v>297</v>
      </c>
      <c r="E619" s="29" t="s">
        <v>298</v>
      </c>
      <c r="F619" s="29" t="s">
        <v>69</v>
      </c>
      <c r="G619" s="29" t="s">
        <v>68</v>
      </c>
      <c r="H619" s="29" t="s">
        <v>1381</v>
      </c>
      <c r="I619" s="29" t="s">
        <v>1848</v>
      </c>
      <c r="J619" s="29" t="n">
        <v>0</v>
      </c>
      <c r="K619" s="29" t="n">
        <v>0</v>
      </c>
      <c r="L619" s="29" t="s">
        <v>1846</v>
      </c>
    </row>
    <row r="620" customFormat="false" ht="15" hidden="false" customHeight="false" outlineLevel="0" collapsed="false">
      <c r="A620" s="29" t="n">
        <v>107819</v>
      </c>
      <c r="B620" s="29" t="s">
        <v>1691</v>
      </c>
      <c r="C620" s="29" t="s">
        <v>1692</v>
      </c>
      <c r="D620" s="29" t="s">
        <v>304</v>
      </c>
      <c r="E620" s="29" t="s">
        <v>305</v>
      </c>
      <c r="F620" s="29" t="s">
        <v>69</v>
      </c>
      <c r="G620" s="29" t="s">
        <v>68</v>
      </c>
      <c r="H620" s="29" t="s">
        <v>1381</v>
      </c>
      <c r="I620" s="29" t="s">
        <v>1851</v>
      </c>
      <c r="J620" s="29" t="n">
        <v>0</v>
      </c>
      <c r="K620" s="29" t="n">
        <v>0</v>
      </c>
      <c r="L620" s="29" t="s">
        <v>1846</v>
      </c>
    </row>
    <row r="621" customFormat="false" ht="15" hidden="false" customHeight="false" outlineLevel="0" collapsed="false">
      <c r="A621" s="29" t="n">
        <v>107819</v>
      </c>
      <c r="B621" s="29" t="s">
        <v>1691</v>
      </c>
      <c r="C621" s="29" t="s">
        <v>1692</v>
      </c>
      <c r="D621" s="29" t="s">
        <v>311</v>
      </c>
      <c r="E621" s="29" t="s">
        <v>312</v>
      </c>
      <c r="F621" s="29" t="s">
        <v>69</v>
      </c>
      <c r="G621" s="29" t="s">
        <v>68</v>
      </c>
      <c r="H621" s="29" t="s">
        <v>1381</v>
      </c>
      <c r="I621" s="29" t="s">
        <v>1851</v>
      </c>
      <c r="J621" s="29" t="n">
        <v>0</v>
      </c>
      <c r="K621" s="29" t="n">
        <v>0</v>
      </c>
      <c r="L621" s="29" t="s">
        <v>1846</v>
      </c>
    </row>
    <row r="622" customFormat="false" ht="15" hidden="false" customHeight="false" outlineLevel="0" collapsed="false">
      <c r="A622" s="29" t="n">
        <v>107819</v>
      </c>
      <c r="B622" s="29" t="s">
        <v>1691</v>
      </c>
      <c r="C622" s="29" t="s">
        <v>1692</v>
      </c>
      <c r="D622" s="29" t="s">
        <v>325</v>
      </c>
      <c r="E622" s="29" t="s">
        <v>326</v>
      </c>
      <c r="F622" s="29" t="s">
        <v>76</v>
      </c>
      <c r="G622" s="29" t="s">
        <v>67</v>
      </c>
      <c r="H622" s="29" t="s">
        <v>1844</v>
      </c>
      <c r="I622" s="29" t="s">
        <v>1852</v>
      </c>
      <c r="J622" s="29" t="n">
        <v>0</v>
      </c>
      <c r="K622" s="29" t="n">
        <v>0</v>
      </c>
      <c r="L622" s="29" t="s">
        <v>1846</v>
      </c>
    </row>
    <row r="623" customFormat="false" ht="15" hidden="false" customHeight="false" outlineLevel="0" collapsed="false">
      <c r="A623" s="29" t="n">
        <v>107819</v>
      </c>
      <c r="B623" s="29" t="s">
        <v>1691</v>
      </c>
      <c r="C623" s="29" t="s">
        <v>1692</v>
      </c>
      <c r="D623" s="29" t="s">
        <v>336</v>
      </c>
      <c r="E623" s="29" t="s">
        <v>337</v>
      </c>
      <c r="F623" s="29" t="s">
        <v>76</v>
      </c>
      <c r="G623" s="29" t="s">
        <v>67</v>
      </c>
      <c r="H623" s="29" t="s">
        <v>1844</v>
      </c>
      <c r="I623" s="29" t="s">
        <v>1852</v>
      </c>
      <c r="J623" s="29" t="n">
        <v>0</v>
      </c>
      <c r="K623" s="29" t="n">
        <v>0</v>
      </c>
      <c r="L623" s="29" t="s">
        <v>1846</v>
      </c>
    </row>
    <row r="624" customFormat="false" ht="15" hidden="false" customHeight="false" outlineLevel="0" collapsed="false">
      <c r="A624" s="29" t="n">
        <v>107819</v>
      </c>
      <c r="B624" s="29" t="s">
        <v>1691</v>
      </c>
      <c r="C624" s="29" t="s">
        <v>1692</v>
      </c>
      <c r="D624" s="29" t="s">
        <v>343</v>
      </c>
      <c r="E624" s="29" t="s">
        <v>344</v>
      </c>
      <c r="F624" s="29" t="s">
        <v>76</v>
      </c>
      <c r="G624" s="29" t="s">
        <v>67</v>
      </c>
      <c r="H624" s="29" t="s">
        <v>1844</v>
      </c>
      <c r="I624" s="29" t="s">
        <v>1873</v>
      </c>
      <c r="J624" s="29" t="n">
        <v>0</v>
      </c>
      <c r="K624" s="29" t="n">
        <v>0</v>
      </c>
      <c r="L624" s="29" t="s">
        <v>1846</v>
      </c>
    </row>
    <row r="625" customFormat="false" ht="15" hidden="false" customHeight="false" outlineLevel="0" collapsed="false">
      <c r="A625" s="29" t="n">
        <v>107819</v>
      </c>
      <c r="B625" s="29" t="s">
        <v>1691</v>
      </c>
      <c r="C625" s="29" t="s">
        <v>1692</v>
      </c>
      <c r="D625" s="29" t="s">
        <v>353</v>
      </c>
      <c r="E625" s="29" t="s">
        <v>354</v>
      </c>
      <c r="F625" s="29" t="s">
        <v>76</v>
      </c>
      <c r="G625" s="29" t="s">
        <v>67</v>
      </c>
      <c r="H625" s="29" t="s">
        <v>1844</v>
      </c>
      <c r="I625" s="29" t="s">
        <v>1853</v>
      </c>
      <c r="J625" s="29" t="n">
        <v>0</v>
      </c>
      <c r="K625" s="29" t="n">
        <v>0</v>
      </c>
      <c r="L625" s="29" t="s">
        <v>1846</v>
      </c>
    </row>
    <row r="626" customFormat="false" ht="15" hidden="false" customHeight="false" outlineLevel="0" collapsed="false">
      <c r="A626" s="29" t="n">
        <v>107819</v>
      </c>
      <c r="B626" s="29" t="s">
        <v>1691</v>
      </c>
      <c r="C626" s="29" t="s">
        <v>1692</v>
      </c>
      <c r="D626" s="29" t="s">
        <v>360</v>
      </c>
      <c r="E626" s="29" t="s">
        <v>361</v>
      </c>
      <c r="F626" s="29" t="s">
        <v>76</v>
      </c>
      <c r="G626" s="29" t="s">
        <v>67</v>
      </c>
      <c r="H626" s="29" t="s">
        <v>1844</v>
      </c>
      <c r="I626" s="29" t="s">
        <v>1873</v>
      </c>
      <c r="J626" s="29" t="n">
        <v>0</v>
      </c>
      <c r="K626" s="29" t="n">
        <v>0</v>
      </c>
      <c r="L626" s="29" t="s">
        <v>1846</v>
      </c>
    </row>
    <row r="627" customFormat="false" ht="15" hidden="false" customHeight="false" outlineLevel="0" collapsed="false">
      <c r="A627" s="29" t="n">
        <v>107819</v>
      </c>
      <c r="B627" s="29" t="s">
        <v>1691</v>
      </c>
      <c r="C627" s="29" t="s">
        <v>1692</v>
      </c>
      <c r="D627" s="29" t="s">
        <v>371</v>
      </c>
      <c r="E627" s="29" t="s">
        <v>372</v>
      </c>
      <c r="F627" s="29" t="s">
        <v>76</v>
      </c>
      <c r="G627" s="29" t="s">
        <v>67</v>
      </c>
      <c r="H627" s="29" t="s">
        <v>1844</v>
      </c>
      <c r="I627" s="29" t="s">
        <v>1873</v>
      </c>
      <c r="J627" s="29" t="n">
        <v>0</v>
      </c>
      <c r="K627" s="29" t="n">
        <v>0</v>
      </c>
      <c r="L627" s="29" t="s">
        <v>1846</v>
      </c>
    </row>
    <row r="628" customFormat="false" ht="15" hidden="false" customHeight="false" outlineLevel="0" collapsed="false">
      <c r="A628" s="29" t="n">
        <v>107819</v>
      </c>
      <c r="B628" s="29" t="s">
        <v>1691</v>
      </c>
      <c r="C628" s="29" t="s">
        <v>1692</v>
      </c>
      <c r="D628" s="29" t="s">
        <v>387</v>
      </c>
      <c r="E628" s="29" t="s">
        <v>388</v>
      </c>
      <c r="F628" s="29" t="s">
        <v>76</v>
      </c>
      <c r="G628" s="29" t="s">
        <v>68</v>
      </c>
      <c r="H628" s="29" t="s">
        <v>1381</v>
      </c>
      <c r="I628" s="29" t="s">
        <v>1853</v>
      </c>
      <c r="J628" s="29" t="n">
        <v>0</v>
      </c>
      <c r="K628" s="29" t="n">
        <v>0</v>
      </c>
      <c r="L628" s="29" t="s">
        <v>1846</v>
      </c>
    </row>
    <row r="629" customFormat="false" ht="15" hidden="false" customHeight="false" outlineLevel="0" collapsed="false">
      <c r="A629" s="29" t="n">
        <v>107819</v>
      </c>
      <c r="B629" s="29" t="s">
        <v>1691</v>
      </c>
      <c r="C629" s="29" t="s">
        <v>1692</v>
      </c>
      <c r="D629" s="29" t="s">
        <v>396</v>
      </c>
      <c r="E629" s="29" t="s">
        <v>397</v>
      </c>
      <c r="F629" s="29" t="s">
        <v>76</v>
      </c>
      <c r="G629" s="29" t="s">
        <v>68</v>
      </c>
      <c r="H629" s="29" t="s">
        <v>1381</v>
      </c>
      <c r="I629" s="29" t="s">
        <v>1853</v>
      </c>
      <c r="J629" s="29" t="n">
        <v>0</v>
      </c>
      <c r="K629" s="29" t="n">
        <v>0</v>
      </c>
      <c r="L629" s="29" t="s">
        <v>1846</v>
      </c>
    </row>
    <row r="630" customFormat="false" ht="15" hidden="false" customHeight="false" outlineLevel="0" collapsed="false">
      <c r="A630" s="29" t="n">
        <v>107819</v>
      </c>
      <c r="B630" s="29" t="s">
        <v>1691</v>
      </c>
      <c r="C630" s="29" t="s">
        <v>1692</v>
      </c>
      <c r="D630" s="29" t="s">
        <v>403</v>
      </c>
      <c r="E630" s="29" t="s">
        <v>404</v>
      </c>
      <c r="F630" s="29" t="s">
        <v>76</v>
      </c>
      <c r="G630" s="29" t="s">
        <v>68</v>
      </c>
      <c r="H630" s="29" t="s">
        <v>1381</v>
      </c>
      <c r="I630" s="29" t="s">
        <v>1852</v>
      </c>
      <c r="J630" s="29" t="n">
        <v>0</v>
      </c>
      <c r="K630" s="29" t="n">
        <v>0</v>
      </c>
      <c r="L630" s="29" t="s">
        <v>1846</v>
      </c>
    </row>
    <row r="631" customFormat="false" ht="15" hidden="false" customHeight="false" outlineLevel="0" collapsed="false">
      <c r="A631" s="29" t="n">
        <v>107819</v>
      </c>
      <c r="B631" s="29" t="s">
        <v>1691</v>
      </c>
      <c r="C631" s="29" t="s">
        <v>1692</v>
      </c>
      <c r="D631" s="29" t="s">
        <v>411</v>
      </c>
      <c r="E631" s="29" t="s">
        <v>412</v>
      </c>
      <c r="F631" s="29" t="s">
        <v>76</v>
      </c>
      <c r="G631" s="29" t="s">
        <v>68</v>
      </c>
      <c r="H631" s="29" t="s">
        <v>1381</v>
      </c>
      <c r="I631" s="29" t="s">
        <v>1873</v>
      </c>
      <c r="J631" s="29" t="n">
        <v>0</v>
      </c>
      <c r="K631" s="29" t="n">
        <v>0</v>
      </c>
      <c r="L631" s="29" t="s">
        <v>1846</v>
      </c>
    </row>
    <row r="632" customFormat="false" ht="15" hidden="false" customHeight="false" outlineLevel="0" collapsed="false">
      <c r="A632" s="29" t="n">
        <v>107819</v>
      </c>
      <c r="B632" s="29" t="s">
        <v>1691</v>
      </c>
      <c r="C632" s="29" t="s">
        <v>1692</v>
      </c>
      <c r="D632" s="29" t="s">
        <v>428</v>
      </c>
      <c r="E632" s="29" t="s">
        <v>429</v>
      </c>
      <c r="F632" s="29" t="s">
        <v>76</v>
      </c>
      <c r="G632" s="29" t="s">
        <v>68</v>
      </c>
      <c r="H632" s="29" t="s">
        <v>1381</v>
      </c>
      <c r="I632" s="29" t="s">
        <v>1853</v>
      </c>
      <c r="J632" s="29" t="n">
        <v>0</v>
      </c>
      <c r="K632" s="29" t="n">
        <v>0</v>
      </c>
      <c r="L632" s="29" t="s">
        <v>1846</v>
      </c>
    </row>
    <row r="633" customFormat="false" ht="15" hidden="false" customHeight="false" outlineLevel="0" collapsed="false">
      <c r="A633" s="29" t="n">
        <v>107819</v>
      </c>
      <c r="B633" s="29" t="s">
        <v>1691</v>
      </c>
      <c r="C633" s="29" t="s">
        <v>1692</v>
      </c>
      <c r="D633" s="29" t="s">
        <v>433</v>
      </c>
      <c r="E633" s="29" t="s">
        <v>434</v>
      </c>
      <c r="F633" s="29" t="s">
        <v>82</v>
      </c>
      <c r="G633" s="29" t="s">
        <v>66</v>
      </c>
      <c r="H633" s="29" t="s">
        <v>1379</v>
      </c>
      <c r="I633" s="29" t="s">
        <v>1854</v>
      </c>
      <c r="J633" s="29" t="n">
        <v>0</v>
      </c>
      <c r="K633" s="29" t="n">
        <v>0</v>
      </c>
      <c r="L633" s="29" t="s">
        <v>1846</v>
      </c>
    </row>
    <row r="634" customFormat="false" ht="15" hidden="false" customHeight="false" outlineLevel="0" collapsed="false">
      <c r="A634" s="29" t="n">
        <v>107819</v>
      </c>
      <c r="B634" s="29" t="s">
        <v>1691</v>
      </c>
      <c r="C634" s="29" t="s">
        <v>1692</v>
      </c>
      <c r="D634" s="29" t="s">
        <v>451</v>
      </c>
      <c r="E634" s="29" t="s">
        <v>452</v>
      </c>
      <c r="F634" s="29" t="s">
        <v>82</v>
      </c>
      <c r="G634" s="29" t="s">
        <v>67</v>
      </c>
      <c r="H634" s="29" t="s">
        <v>1379</v>
      </c>
      <c r="I634" s="29" t="s">
        <v>1855</v>
      </c>
      <c r="J634" s="29" t="n">
        <v>0</v>
      </c>
      <c r="K634" s="29" t="n">
        <v>0</v>
      </c>
      <c r="L634" s="29" t="s">
        <v>1846</v>
      </c>
    </row>
    <row r="635" customFormat="false" ht="15" hidden="false" customHeight="false" outlineLevel="0" collapsed="false">
      <c r="A635" s="29" t="n">
        <v>107819</v>
      </c>
      <c r="B635" s="29" t="s">
        <v>1691</v>
      </c>
      <c r="C635" s="29" t="s">
        <v>1692</v>
      </c>
      <c r="D635" s="29" t="s">
        <v>459</v>
      </c>
      <c r="E635" s="29" t="s">
        <v>460</v>
      </c>
      <c r="F635" s="29" t="s">
        <v>82</v>
      </c>
      <c r="G635" s="29" t="s">
        <v>67</v>
      </c>
      <c r="H635" s="29" t="s">
        <v>1379</v>
      </c>
      <c r="I635" s="29" t="s">
        <v>1855</v>
      </c>
      <c r="J635" s="29" t="n">
        <v>0</v>
      </c>
      <c r="K635" s="29" t="n">
        <v>0</v>
      </c>
      <c r="L635" s="29" t="s">
        <v>1846</v>
      </c>
    </row>
    <row r="636" customFormat="false" ht="15" hidden="false" customHeight="false" outlineLevel="0" collapsed="false">
      <c r="A636" s="29" t="n">
        <v>107819</v>
      </c>
      <c r="B636" s="29" t="s">
        <v>1691</v>
      </c>
      <c r="C636" s="29" t="s">
        <v>1692</v>
      </c>
      <c r="D636" s="29" t="s">
        <v>466</v>
      </c>
      <c r="E636" s="29" t="s">
        <v>467</v>
      </c>
      <c r="F636" s="29" t="s">
        <v>82</v>
      </c>
      <c r="G636" s="29" t="s">
        <v>67</v>
      </c>
      <c r="H636" s="29" t="s">
        <v>1379</v>
      </c>
      <c r="I636" s="29" t="s">
        <v>1855</v>
      </c>
      <c r="J636" s="29" t="n">
        <v>0</v>
      </c>
      <c r="K636" s="29" t="n">
        <v>0</v>
      </c>
      <c r="L636" s="29" t="s">
        <v>1846</v>
      </c>
    </row>
    <row r="637" customFormat="false" ht="15" hidden="false" customHeight="false" outlineLevel="0" collapsed="false">
      <c r="A637" s="29" t="n">
        <v>107819</v>
      </c>
      <c r="B637" s="29" t="s">
        <v>1691</v>
      </c>
      <c r="C637" s="29" t="s">
        <v>1692</v>
      </c>
      <c r="D637" s="29" t="s">
        <v>508</v>
      </c>
      <c r="E637" s="29" t="s">
        <v>509</v>
      </c>
      <c r="F637" s="29" t="s">
        <v>88</v>
      </c>
      <c r="G637" s="29" t="s">
        <v>67</v>
      </c>
      <c r="H637" s="29" t="s">
        <v>1379</v>
      </c>
      <c r="I637" s="29" t="s">
        <v>1850</v>
      </c>
      <c r="J637" s="29" t="n">
        <v>0</v>
      </c>
      <c r="K637" s="29" t="n">
        <v>0</v>
      </c>
      <c r="L637" s="29" t="s">
        <v>1846</v>
      </c>
    </row>
    <row r="638" customFormat="false" ht="15" hidden="false" customHeight="false" outlineLevel="0" collapsed="false">
      <c r="A638" s="29" t="n">
        <v>107819</v>
      </c>
      <c r="B638" s="29" t="s">
        <v>1691</v>
      </c>
      <c r="C638" s="29" t="s">
        <v>1692</v>
      </c>
      <c r="D638" s="29" t="s">
        <v>515</v>
      </c>
      <c r="E638" s="29" t="s">
        <v>516</v>
      </c>
      <c r="F638" s="29" t="s">
        <v>88</v>
      </c>
      <c r="G638" s="29" t="s">
        <v>67</v>
      </c>
      <c r="H638" s="29" t="s">
        <v>1379</v>
      </c>
      <c r="I638" s="29" t="s">
        <v>1850</v>
      </c>
      <c r="J638" s="29" t="n">
        <v>0</v>
      </c>
      <c r="K638" s="29" t="n">
        <v>0</v>
      </c>
      <c r="L638" s="29" t="s">
        <v>1846</v>
      </c>
    </row>
    <row r="639" customFormat="false" ht="15" hidden="false" customHeight="false" outlineLevel="0" collapsed="false">
      <c r="A639" s="29" t="n">
        <v>107819</v>
      </c>
      <c r="B639" s="29" t="s">
        <v>1691</v>
      </c>
      <c r="C639" s="29" t="s">
        <v>1692</v>
      </c>
      <c r="D639" s="29" t="s">
        <v>523</v>
      </c>
      <c r="E639" s="29" t="s">
        <v>524</v>
      </c>
      <c r="F639" s="29" t="s">
        <v>88</v>
      </c>
      <c r="G639" s="29" t="s">
        <v>67</v>
      </c>
      <c r="H639" s="29" t="s">
        <v>1844</v>
      </c>
      <c r="I639" s="29" t="s">
        <v>1856</v>
      </c>
      <c r="J639" s="29" t="n">
        <v>0</v>
      </c>
      <c r="K639" s="29" t="n">
        <v>0</v>
      </c>
      <c r="L639" s="29" t="s">
        <v>1846</v>
      </c>
    </row>
    <row r="640" customFormat="false" ht="15" hidden="false" customHeight="false" outlineLevel="0" collapsed="false">
      <c r="A640" s="29" t="n">
        <v>107819</v>
      </c>
      <c r="B640" s="29" t="s">
        <v>1691</v>
      </c>
      <c r="C640" s="29" t="s">
        <v>1692</v>
      </c>
      <c r="D640" s="29" t="s">
        <v>530</v>
      </c>
      <c r="E640" s="29" t="s">
        <v>531</v>
      </c>
      <c r="F640" s="29" t="s">
        <v>88</v>
      </c>
      <c r="G640" s="29" t="s">
        <v>68</v>
      </c>
      <c r="H640" s="29" t="s">
        <v>1381</v>
      </c>
      <c r="I640" s="29" t="s">
        <v>1847</v>
      </c>
      <c r="J640" s="29" t="n">
        <v>0</v>
      </c>
      <c r="K640" s="29" t="n">
        <v>0</v>
      </c>
      <c r="L640" s="29" t="s">
        <v>1846</v>
      </c>
    </row>
    <row r="641" customFormat="false" ht="15" hidden="false" customHeight="false" outlineLevel="0" collapsed="false">
      <c r="A641" s="29" t="n">
        <v>107819</v>
      </c>
      <c r="B641" s="29" t="s">
        <v>1691</v>
      </c>
      <c r="C641" s="29" t="s">
        <v>1692</v>
      </c>
      <c r="D641" s="29" t="s">
        <v>536</v>
      </c>
      <c r="E641" s="29" t="s">
        <v>537</v>
      </c>
      <c r="F641" s="29" t="s">
        <v>88</v>
      </c>
      <c r="G641" s="29" t="s">
        <v>68</v>
      </c>
      <c r="H641" s="29" t="s">
        <v>1381</v>
      </c>
      <c r="I641" s="29" t="s">
        <v>1847</v>
      </c>
      <c r="J641" s="29" t="n">
        <v>0</v>
      </c>
      <c r="K641" s="29" t="n">
        <v>0</v>
      </c>
      <c r="L641" s="29" t="s">
        <v>1846</v>
      </c>
    </row>
    <row r="642" customFormat="false" ht="15" hidden="false" customHeight="false" outlineLevel="0" collapsed="false">
      <c r="A642" s="29" t="n">
        <v>107819</v>
      </c>
      <c r="B642" s="29" t="s">
        <v>1691</v>
      </c>
      <c r="C642" s="29" t="s">
        <v>1692</v>
      </c>
      <c r="D642" s="29" t="s">
        <v>543</v>
      </c>
      <c r="E642" s="29" t="s">
        <v>544</v>
      </c>
      <c r="F642" s="29" t="s">
        <v>88</v>
      </c>
      <c r="G642" s="29" t="s">
        <v>68</v>
      </c>
      <c r="H642" s="29" t="s">
        <v>1381</v>
      </c>
      <c r="I642" s="29" t="s">
        <v>1847</v>
      </c>
      <c r="J642" s="29" t="n">
        <v>0</v>
      </c>
      <c r="K642" s="29" t="n">
        <v>0</v>
      </c>
      <c r="L642" s="29" t="s">
        <v>1846</v>
      </c>
    </row>
    <row r="643" customFormat="false" ht="15" hidden="false" customHeight="false" outlineLevel="0" collapsed="false">
      <c r="A643" s="29" t="n">
        <v>107819</v>
      </c>
      <c r="B643" s="29" t="s">
        <v>1691</v>
      </c>
      <c r="C643" s="29" t="s">
        <v>1692</v>
      </c>
      <c r="D643" s="29" t="s">
        <v>551</v>
      </c>
      <c r="E643" s="29" t="s">
        <v>552</v>
      </c>
      <c r="F643" s="29" t="s">
        <v>88</v>
      </c>
      <c r="G643" s="29" t="s">
        <v>68</v>
      </c>
      <c r="H643" s="29" t="s">
        <v>1381</v>
      </c>
      <c r="I643" s="29" t="s">
        <v>1857</v>
      </c>
      <c r="J643" s="29" t="n">
        <v>0</v>
      </c>
      <c r="K643" s="29" t="n">
        <v>0</v>
      </c>
      <c r="L643" s="29" t="s">
        <v>1846</v>
      </c>
    </row>
    <row r="644" customFormat="false" ht="15" hidden="false" customHeight="false" outlineLevel="0" collapsed="false">
      <c r="A644" s="29" t="n">
        <v>107819</v>
      </c>
      <c r="B644" s="29" t="s">
        <v>1691</v>
      </c>
      <c r="C644" s="29" t="s">
        <v>1692</v>
      </c>
      <c r="D644" s="29" t="s">
        <v>558</v>
      </c>
      <c r="E644" s="29" t="s">
        <v>559</v>
      </c>
      <c r="F644" s="29" t="s">
        <v>88</v>
      </c>
      <c r="G644" s="29" t="s">
        <v>68</v>
      </c>
      <c r="H644" s="29" t="s">
        <v>1381</v>
      </c>
      <c r="I644" s="29" t="s">
        <v>1856</v>
      </c>
      <c r="J644" s="29" t="n">
        <v>0</v>
      </c>
      <c r="K644" s="29" t="n">
        <v>0</v>
      </c>
      <c r="L644" s="29" t="s">
        <v>1846</v>
      </c>
    </row>
    <row r="645" customFormat="false" ht="15" hidden="false" customHeight="false" outlineLevel="0" collapsed="false">
      <c r="A645" s="29" t="n">
        <v>107819</v>
      </c>
      <c r="B645" s="29" t="s">
        <v>1691</v>
      </c>
      <c r="C645" s="29" t="s">
        <v>1692</v>
      </c>
      <c r="D645" s="29" t="s">
        <v>565</v>
      </c>
      <c r="E645" s="29" t="s">
        <v>566</v>
      </c>
      <c r="F645" s="29" t="s">
        <v>88</v>
      </c>
      <c r="G645" s="29" t="s">
        <v>68</v>
      </c>
      <c r="H645" s="29" t="s">
        <v>1381</v>
      </c>
      <c r="I645" s="29" t="s">
        <v>1856</v>
      </c>
      <c r="J645" s="29" t="n">
        <v>0</v>
      </c>
      <c r="K645" s="29" t="n">
        <v>0</v>
      </c>
      <c r="L645" s="29" t="s">
        <v>1846</v>
      </c>
    </row>
    <row r="646" customFormat="false" ht="15" hidden="false" customHeight="false" outlineLevel="0" collapsed="false">
      <c r="A646" s="29" t="n">
        <v>107819</v>
      </c>
      <c r="B646" s="29" t="s">
        <v>1691</v>
      </c>
      <c r="C646" s="29" t="s">
        <v>1692</v>
      </c>
      <c r="D646" s="29" t="s">
        <v>572</v>
      </c>
      <c r="E646" s="29" t="s">
        <v>573</v>
      </c>
      <c r="F646" s="29" t="s">
        <v>88</v>
      </c>
      <c r="G646" s="29" t="s">
        <v>68</v>
      </c>
      <c r="H646" s="29" t="s">
        <v>1381</v>
      </c>
      <c r="I646" s="29" t="s">
        <v>1847</v>
      </c>
      <c r="J646" s="29" t="n">
        <v>0</v>
      </c>
      <c r="K646" s="29" t="n">
        <v>0</v>
      </c>
      <c r="L646" s="29" t="s">
        <v>1846</v>
      </c>
    </row>
    <row r="647" customFormat="false" ht="15" hidden="false" customHeight="false" outlineLevel="0" collapsed="false">
      <c r="A647" s="29" t="n">
        <v>107819</v>
      </c>
      <c r="B647" s="29" t="s">
        <v>1691</v>
      </c>
      <c r="C647" s="29" t="s">
        <v>1692</v>
      </c>
      <c r="D647" s="29" t="s">
        <v>581</v>
      </c>
      <c r="E647" s="29" t="s">
        <v>582</v>
      </c>
      <c r="F647" s="29" t="s">
        <v>93</v>
      </c>
      <c r="G647" s="29" t="s">
        <v>67</v>
      </c>
      <c r="H647" s="29" t="s">
        <v>1844</v>
      </c>
      <c r="I647" s="29" t="s">
        <v>1858</v>
      </c>
      <c r="J647" s="29" t="n">
        <v>0</v>
      </c>
      <c r="K647" s="29" t="n">
        <v>0</v>
      </c>
      <c r="L647" s="29" t="s">
        <v>1846</v>
      </c>
    </row>
    <row r="648" customFormat="false" ht="15" hidden="false" customHeight="false" outlineLevel="0" collapsed="false">
      <c r="A648" s="29" t="n">
        <v>107819</v>
      </c>
      <c r="B648" s="29" t="s">
        <v>1691</v>
      </c>
      <c r="C648" s="29" t="s">
        <v>1692</v>
      </c>
      <c r="D648" s="29" t="s">
        <v>590</v>
      </c>
      <c r="E648" s="29" t="s">
        <v>591</v>
      </c>
      <c r="F648" s="29" t="s">
        <v>93</v>
      </c>
      <c r="G648" s="29" t="s">
        <v>67</v>
      </c>
      <c r="H648" s="29" t="s">
        <v>1844</v>
      </c>
      <c r="I648" s="29" t="s">
        <v>1859</v>
      </c>
      <c r="J648" s="29" t="n">
        <v>0</v>
      </c>
      <c r="K648" s="29" t="n">
        <v>0</v>
      </c>
      <c r="L648" s="29" t="s">
        <v>1846</v>
      </c>
    </row>
    <row r="649" customFormat="false" ht="15" hidden="false" customHeight="false" outlineLevel="0" collapsed="false">
      <c r="A649" s="29" t="n">
        <v>107819</v>
      </c>
      <c r="B649" s="29" t="s">
        <v>1691</v>
      </c>
      <c r="C649" s="29" t="s">
        <v>1692</v>
      </c>
      <c r="D649" s="29" t="s">
        <v>597</v>
      </c>
      <c r="E649" s="29" t="s">
        <v>598</v>
      </c>
      <c r="F649" s="29" t="s">
        <v>93</v>
      </c>
      <c r="G649" s="29" t="s">
        <v>67</v>
      </c>
      <c r="H649" s="29" t="s">
        <v>1844</v>
      </c>
      <c r="I649" s="29" t="s">
        <v>1859</v>
      </c>
      <c r="J649" s="29" t="n">
        <v>0</v>
      </c>
      <c r="K649" s="29" t="n">
        <v>0</v>
      </c>
      <c r="L649" s="29" t="s">
        <v>1846</v>
      </c>
    </row>
    <row r="650" customFormat="false" ht="15" hidden="false" customHeight="false" outlineLevel="0" collapsed="false">
      <c r="A650" s="29" t="n">
        <v>107819</v>
      </c>
      <c r="B650" s="29" t="s">
        <v>1691</v>
      </c>
      <c r="C650" s="29" t="s">
        <v>1692</v>
      </c>
      <c r="D650" s="29" t="s">
        <v>604</v>
      </c>
      <c r="E650" s="29" t="s">
        <v>605</v>
      </c>
      <c r="F650" s="29" t="s">
        <v>93</v>
      </c>
      <c r="G650" s="29" t="s">
        <v>68</v>
      </c>
      <c r="H650" s="29" t="s">
        <v>1381</v>
      </c>
      <c r="I650" s="29" t="s">
        <v>1859</v>
      </c>
      <c r="J650" s="29" t="n">
        <v>0</v>
      </c>
      <c r="K650" s="29" t="n">
        <v>0</v>
      </c>
      <c r="L650" s="29" t="s">
        <v>1846</v>
      </c>
    </row>
    <row r="651" customFormat="false" ht="15" hidden="false" customHeight="false" outlineLevel="0" collapsed="false">
      <c r="A651" s="29" t="n">
        <v>107819</v>
      </c>
      <c r="B651" s="29" t="s">
        <v>1691</v>
      </c>
      <c r="C651" s="29" t="s">
        <v>1692</v>
      </c>
      <c r="D651" s="29" t="s">
        <v>612</v>
      </c>
      <c r="E651" s="29" t="s">
        <v>613</v>
      </c>
      <c r="F651" s="29" t="s">
        <v>93</v>
      </c>
      <c r="G651" s="29" t="s">
        <v>68</v>
      </c>
      <c r="H651" s="29" t="s">
        <v>1381</v>
      </c>
      <c r="I651" s="29" t="s">
        <v>1859</v>
      </c>
      <c r="J651" s="29" t="n">
        <v>0</v>
      </c>
      <c r="K651" s="29" t="n">
        <v>0</v>
      </c>
      <c r="L651" s="29" t="s">
        <v>1846</v>
      </c>
    </row>
    <row r="652" customFormat="false" ht="15" hidden="false" customHeight="false" outlineLevel="0" collapsed="false">
      <c r="A652" s="29" t="n">
        <v>107819</v>
      </c>
      <c r="B652" s="29" t="s">
        <v>1691</v>
      </c>
      <c r="C652" s="29" t="s">
        <v>1692</v>
      </c>
      <c r="D652" s="29" t="s">
        <v>618</v>
      </c>
      <c r="E652" s="29" t="s">
        <v>619</v>
      </c>
      <c r="F652" s="29" t="s">
        <v>93</v>
      </c>
      <c r="G652" s="29" t="s">
        <v>68</v>
      </c>
      <c r="H652" s="29" t="s">
        <v>1381</v>
      </c>
      <c r="I652" s="29" t="s">
        <v>1859</v>
      </c>
      <c r="J652" s="29" t="n">
        <v>0</v>
      </c>
      <c r="K652" s="29" t="n">
        <v>0</v>
      </c>
      <c r="L652" s="29" t="s">
        <v>1846</v>
      </c>
    </row>
    <row r="653" customFormat="false" ht="15" hidden="false" customHeight="false" outlineLevel="0" collapsed="false">
      <c r="A653" s="29" t="n">
        <v>107819</v>
      </c>
      <c r="B653" s="29" t="s">
        <v>1691</v>
      </c>
      <c r="C653" s="29" t="s">
        <v>1692</v>
      </c>
      <c r="D653" s="29" t="s">
        <v>627</v>
      </c>
      <c r="E653" s="29" t="s">
        <v>628</v>
      </c>
      <c r="F653" s="29" t="s">
        <v>93</v>
      </c>
      <c r="G653" s="29" t="s">
        <v>68</v>
      </c>
      <c r="H653" s="29" t="s">
        <v>1381</v>
      </c>
      <c r="I653" s="29" t="s">
        <v>1858</v>
      </c>
      <c r="J653" s="29" t="n">
        <v>0</v>
      </c>
      <c r="K653" s="29" t="n">
        <v>0</v>
      </c>
      <c r="L653" s="29" t="s">
        <v>1846</v>
      </c>
    </row>
    <row r="654" customFormat="false" ht="15" hidden="false" customHeight="false" outlineLevel="0" collapsed="false">
      <c r="A654" s="29" t="n">
        <v>107819</v>
      </c>
      <c r="B654" s="29" t="s">
        <v>1691</v>
      </c>
      <c r="C654" s="29" t="s">
        <v>1692</v>
      </c>
      <c r="D654" s="29" t="s">
        <v>636</v>
      </c>
      <c r="E654" s="29" t="s">
        <v>637</v>
      </c>
      <c r="F654" s="29" t="s">
        <v>93</v>
      </c>
      <c r="G654" s="29" t="s">
        <v>68</v>
      </c>
      <c r="H654" s="29" t="s">
        <v>1381</v>
      </c>
      <c r="I654" s="29" t="s">
        <v>1858</v>
      </c>
      <c r="J654" s="29" t="n">
        <v>0</v>
      </c>
      <c r="K654" s="29" t="n">
        <v>0</v>
      </c>
      <c r="L654" s="29" t="s">
        <v>1846</v>
      </c>
    </row>
    <row r="655" customFormat="false" ht="15" hidden="false" customHeight="false" outlineLevel="0" collapsed="false">
      <c r="A655" s="29" t="n">
        <v>107819</v>
      </c>
      <c r="B655" s="29" t="s">
        <v>1691</v>
      </c>
      <c r="C655" s="29" t="s">
        <v>1692</v>
      </c>
      <c r="D655" s="29" t="s">
        <v>668</v>
      </c>
      <c r="E655" s="29" t="s">
        <v>669</v>
      </c>
      <c r="F655" s="29" t="s">
        <v>105</v>
      </c>
      <c r="G655" s="29" t="s">
        <v>66</v>
      </c>
      <c r="H655" s="29" t="s">
        <v>1379</v>
      </c>
      <c r="I655" s="29" t="s">
        <v>1854</v>
      </c>
      <c r="J655" s="29" t="n">
        <v>0</v>
      </c>
      <c r="K655" s="29" t="n">
        <v>0</v>
      </c>
      <c r="L655" s="29" t="s">
        <v>1846</v>
      </c>
    </row>
    <row r="656" customFormat="false" ht="15" hidden="false" customHeight="false" outlineLevel="0" collapsed="false">
      <c r="A656" s="29" t="n">
        <v>107819</v>
      </c>
      <c r="B656" s="29" t="s">
        <v>1691</v>
      </c>
      <c r="C656" s="29" t="s">
        <v>1692</v>
      </c>
      <c r="D656" s="29" t="s">
        <v>680</v>
      </c>
      <c r="E656" s="29" t="s">
        <v>681</v>
      </c>
      <c r="F656" s="29" t="s">
        <v>105</v>
      </c>
      <c r="G656" s="29" t="s">
        <v>66</v>
      </c>
      <c r="H656" s="29" t="s">
        <v>1379</v>
      </c>
      <c r="I656" s="29" t="s">
        <v>1854</v>
      </c>
      <c r="J656" s="29" t="n">
        <v>0</v>
      </c>
      <c r="K656" s="29" t="n">
        <v>0</v>
      </c>
      <c r="L656" s="29" t="s">
        <v>1846</v>
      </c>
    </row>
    <row r="657" customFormat="false" ht="15" hidden="false" customHeight="false" outlineLevel="0" collapsed="false">
      <c r="A657" s="29" t="n">
        <v>107819</v>
      </c>
      <c r="B657" s="29" t="s">
        <v>1691</v>
      </c>
      <c r="C657" s="29" t="s">
        <v>1692</v>
      </c>
      <c r="D657" s="29" t="s">
        <v>711</v>
      </c>
      <c r="E657" s="29" t="s">
        <v>712</v>
      </c>
      <c r="F657" s="29" t="s">
        <v>116</v>
      </c>
      <c r="G657" s="29" t="s">
        <v>66</v>
      </c>
      <c r="H657" s="29" t="s">
        <v>1379</v>
      </c>
      <c r="I657" s="29" t="s">
        <v>1854</v>
      </c>
      <c r="J657" s="29" t="n">
        <v>0</v>
      </c>
      <c r="K657" s="29" t="n">
        <v>0</v>
      </c>
      <c r="L657" s="29" t="s">
        <v>1846</v>
      </c>
    </row>
    <row r="658" customFormat="false" ht="15" hidden="false" customHeight="false" outlineLevel="0" collapsed="false">
      <c r="A658" s="29" t="n">
        <v>107819</v>
      </c>
      <c r="B658" s="29" t="s">
        <v>1691</v>
      </c>
      <c r="C658" s="29" t="s">
        <v>1692</v>
      </c>
      <c r="D658" s="29" t="s">
        <v>721</v>
      </c>
      <c r="E658" s="29" t="s">
        <v>722</v>
      </c>
      <c r="F658" s="29" t="s">
        <v>116</v>
      </c>
      <c r="G658" s="29" t="s">
        <v>66</v>
      </c>
      <c r="H658" s="29" t="s">
        <v>1379</v>
      </c>
      <c r="I658" s="29" t="s">
        <v>1854</v>
      </c>
      <c r="J658" s="29" t="n">
        <v>0</v>
      </c>
      <c r="K658" s="29" t="n">
        <v>0</v>
      </c>
      <c r="L658" s="29" t="s">
        <v>1846</v>
      </c>
    </row>
    <row r="659" customFormat="false" ht="15" hidden="false" customHeight="false" outlineLevel="0" collapsed="false">
      <c r="A659" s="29" t="n">
        <v>107819</v>
      </c>
      <c r="B659" s="29" t="s">
        <v>1691</v>
      </c>
      <c r="C659" s="29" t="s">
        <v>1692</v>
      </c>
      <c r="D659" s="29" t="s">
        <v>729</v>
      </c>
      <c r="E659" s="29" t="s">
        <v>730</v>
      </c>
      <c r="F659" s="29" t="s">
        <v>116</v>
      </c>
      <c r="G659" s="29" t="s">
        <v>67</v>
      </c>
      <c r="H659" s="29" t="s">
        <v>1844</v>
      </c>
      <c r="I659" s="29" t="s">
        <v>1879</v>
      </c>
      <c r="J659" s="29" t="n">
        <v>0</v>
      </c>
      <c r="K659" s="29" t="n">
        <v>0</v>
      </c>
      <c r="L659" s="29" t="s">
        <v>1846</v>
      </c>
    </row>
    <row r="660" customFormat="false" ht="15" hidden="false" customHeight="false" outlineLevel="0" collapsed="false">
      <c r="A660" s="29" t="n">
        <v>107819</v>
      </c>
      <c r="B660" s="29" t="s">
        <v>1691</v>
      </c>
      <c r="C660" s="29" t="s">
        <v>1692</v>
      </c>
      <c r="D660" s="29" t="s">
        <v>737</v>
      </c>
      <c r="E660" s="29" t="s">
        <v>738</v>
      </c>
      <c r="F660" s="29" t="s">
        <v>116</v>
      </c>
      <c r="G660" s="29" t="s">
        <v>67</v>
      </c>
      <c r="H660" s="29" t="s">
        <v>1844</v>
      </c>
      <c r="I660" s="29" t="s">
        <v>1879</v>
      </c>
      <c r="J660" s="29" t="n">
        <v>0</v>
      </c>
      <c r="K660" s="29" t="n">
        <v>0</v>
      </c>
      <c r="L660" s="29" t="s">
        <v>1846</v>
      </c>
    </row>
    <row r="661" customFormat="false" ht="15" hidden="false" customHeight="false" outlineLevel="0" collapsed="false">
      <c r="A661" s="29" t="n">
        <v>107819</v>
      </c>
      <c r="B661" s="29" t="s">
        <v>1691</v>
      </c>
      <c r="C661" s="29" t="s">
        <v>1692</v>
      </c>
      <c r="D661" s="29" t="s">
        <v>745</v>
      </c>
      <c r="E661" s="29" t="s">
        <v>746</v>
      </c>
      <c r="F661" s="29" t="s">
        <v>116</v>
      </c>
      <c r="G661" s="29" t="s">
        <v>67</v>
      </c>
      <c r="H661" s="29" t="s">
        <v>1844</v>
      </c>
      <c r="I661" s="29" t="s">
        <v>1860</v>
      </c>
      <c r="J661" s="29" t="n">
        <v>0</v>
      </c>
      <c r="K661" s="29" t="n">
        <v>0</v>
      </c>
      <c r="L661" s="29" t="s">
        <v>1846</v>
      </c>
    </row>
    <row r="662" customFormat="false" ht="15" hidden="false" customHeight="false" outlineLevel="0" collapsed="false">
      <c r="A662" s="29" t="n">
        <v>107819</v>
      </c>
      <c r="B662" s="29" t="s">
        <v>1691</v>
      </c>
      <c r="C662" s="29" t="s">
        <v>1692</v>
      </c>
      <c r="D662" s="29" t="s">
        <v>753</v>
      </c>
      <c r="E662" s="29" t="s">
        <v>754</v>
      </c>
      <c r="F662" s="29" t="s">
        <v>116</v>
      </c>
      <c r="G662" s="29" t="s">
        <v>68</v>
      </c>
      <c r="H662" s="29" t="s">
        <v>1381</v>
      </c>
      <c r="I662" s="29" t="s">
        <v>1860</v>
      </c>
      <c r="J662" s="29" t="n">
        <v>0</v>
      </c>
      <c r="K662" s="29" t="n">
        <v>0</v>
      </c>
      <c r="L662" s="29" t="s">
        <v>1846</v>
      </c>
    </row>
    <row r="663" customFormat="false" ht="15" hidden="false" customHeight="false" outlineLevel="0" collapsed="false">
      <c r="A663" s="29" t="n">
        <v>113547</v>
      </c>
      <c r="B663" s="29" t="s">
        <v>1695</v>
      </c>
      <c r="C663" s="29" t="s">
        <v>1696</v>
      </c>
      <c r="D663" s="29" t="s">
        <v>247</v>
      </c>
      <c r="E663" s="29" t="s">
        <v>248</v>
      </c>
      <c r="F663" s="29" t="s">
        <v>69</v>
      </c>
      <c r="G663" s="29" t="s">
        <v>67</v>
      </c>
      <c r="H663" s="29" t="s">
        <v>1844</v>
      </c>
      <c r="I663" s="29" t="s">
        <v>1848</v>
      </c>
      <c r="J663" s="29" t="n">
        <v>0</v>
      </c>
      <c r="K663" s="29" t="n">
        <v>0</v>
      </c>
      <c r="L663" s="29" t="s">
        <v>1846</v>
      </c>
    </row>
    <row r="664" customFormat="false" ht="15" hidden="false" customHeight="false" outlineLevel="0" collapsed="false">
      <c r="A664" s="29" t="n">
        <v>113547</v>
      </c>
      <c r="B664" s="29" t="s">
        <v>1695</v>
      </c>
      <c r="C664" s="29" t="s">
        <v>1696</v>
      </c>
      <c r="D664" s="29" t="s">
        <v>277</v>
      </c>
      <c r="E664" s="29" t="s">
        <v>278</v>
      </c>
      <c r="F664" s="29" t="s">
        <v>69</v>
      </c>
      <c r="G664" s="29" t="s">
        <v>67</v>
      </c>
      <c r="H664" s="29" t="s">
        <v>1379</v>
      </c>
      <c r="I664" s="29" t="s">
        <v>1850</v>
      </c>
      <c r="J664" s="29" t="n">
        <v>0</v>
      </c>
      <c r="K664" s="29" t="n">
        <v>0</v>
      </c>
      <c r="L664" s="29" t="s">
        <v>1846</v>
      </c>
    </row>
    <row r="665" customFormat="false" ht="15" hidden="false" customHeight="false" outlineLevel="0" collapsed="false">
      <c r="A665" s="29" t="n">
        <v>113547</v>
      </c>
      <c r="B665" s="29" t="s">
        <v>1695</v>
      </c>
      <c r="C665" s="29" t="s">
        <v>1696</v>
      </c>
      <c r="D665" s="29" t="s">
        <v>297</v>
      </c>
      <c r="E665" s="29" t="s">
        <v>298</v>
      </c>
      <c r="F665" s="29" t="s">
        <v>69</v>
      </c>
      <c r="G665" s="29" t="s">
        <v>68</v>
      </c>
      <c r="H665" s="29" t="s">
        <v>1381</v>
      </c>
      <c r="I665" s="29" t="s">
        <v>1848</v>
      </c>
      <c r="J665" s="29" t="n">
        <v>0</v>
      </c>
      <c r="K665" s="29" t="n">
        <v>0</v>
      </c>
      <c r="L665" s="29" t="s">
        <v>1846</v>
      </c>
    </row>
    <row r="666" customFormat="false" ht="15" hidden="false" customHeight="false" outlineLevel="0" collapsed="false">
      <c r="A666" s="29" t="n">
        <v>113547</v>
      </c>
      <c r="B666" s="29" t="s">
        <v>1695</v>
      </c>
      <c r="C666" s="29" t="s">
        <v>1696</v>
      </c>
      <c r="D666" s="29" t="s">
        <v>304</v>
      </c>
      <c r="E666" s="29" t="s">
        <v>305</v>
      </c>
      <c r="F666" s="29" t="s">
        <v>69</v>
      </c>
      <c r="G666" s="29" t="s">
        <v>68</v>
      </c>
      <c r="H666" s="29" t="s">
        <v>1381</v>
      </c>
      <c r="I666" s="29" t="s">
        <v>1851</v>
      </c>
      <c r="J666" s="29" t="n">
        <v>0</v>
      </c>
      <c r="K666" s="29" t="n">
        <v>0</v>
      </c>
      <c r="L666" s="29" t="s">
        <v>1846</v>
      </c>
    </row>
    <row r="667" customFormat="false" ht="15" hidden="false" customHeight="false" outlineLevel="0" collapsed="false">
      <c r="A667" s="29" t="n">
        <v>113547</v>
      </c>
      <c r="B667" s="29" t="s">
        <v>1695</v>
      </c>
      <c r="C667" s="29" t="s">
        <v>1696</v>
      </c>
      <c r="D667" s="29" t="s">
        <v>311</v>
      </c>
      <c r="E667" s="29" t="s">
        <v>312</v>
      </c>
      <c r="F667" s="29" t="s">
        <v>69</v>
      </c>
      <c r="G667" s="29" t="s">
        <v>68</v>
      </c>
      <c r="H667" s="29" t="s">
        <v>1381</v>
      </c>
      <c r="I667" s="29" t="s">
        <v>1851</v>
      </c>
      <c r="J667" s="29" t="n">
        <v>0</v>
      </c>
      <c r="K667" s="29" t="n">
        <v>0</v>
      </c>
      <c r="L667" s="29" t="s">
        <v>1846</v>
      </c>
    </row>
    <row r="668" customFormat="false" ht="15" hidden="false" customHeight="false" outlineLevel="0" collapsed="false">
      <c r="A668" s="29" t="n">
        <v>113547</v>
      </c>
      <c r="B668" s="29" t="s">
        <v>1695</v>
      </c>
      <c r="C668" s="29" t="s">
        <v>1696</v>
      </c>
      <c r="D668" s="29" t="s">
        <v>325</v>
      </c>
      <c r="E668" s="29" t="s">
        <v>326</v>
      </c>
      <c r="F668" s="29" t="s">
        <v>76</v>
      </c>
      <c r="G668" s="29" t="s">
        <v>67</v>
      </c>
      <c r="H668" s="29" t="s">
        <v>1844</v>
      </c>
      <c r="I668" s="29" t="s">
        <v>1852</v>
      </c>
      <c r="J668" s="29" t="n">
        <v>0</v>
      </c>
      <c r="K668" s="29" t="n">
        <v>5</v>
      </c>
      <c r="L668" s="29" t="s">
        <v>1866</v>
      </c>
    </row>
    <row r="669" customFormat="false" ht="15" hidden="false" customHeight="false" outlineLevel="0" collapsed="false">
      <c r="A669" s="29" t="n">
        <v>113547</v>
      </c>
      <c r="B669" s="29" t="s">
        <v>1695</v>
      </c>
      <c r="C669" s="29" t="s">
        <v>1696</v>
      </c>
      <c r="D669" s="29" t="s">
        <v>336</v>
      </c>
      <c r="E669" s="29" t="s">
        <v>337</v>
      </c>
      <c r="F669" s="29" t="s">
        <v>76</v>
      </c>
      <c r="G669" s="29" t="s">
        <v>67</v>
      </c>
      <c r="H669" s="29" t="s">
        <v>1844</v>
      </c>
      <c r="I669" s="29" t="s">
        <v>1852</v>
      </c>
      <c r="J669" s="29" t="n">
        <v>0</v>
      </c>
      <c r="K669" s="29" t="n">
        <v>0</v>
      </c>
      <c r="L669" s="29" t="s">
        <v>1846</v>
      </c>
    </row>
    <row r="670" customFormat="false" ht="15" hidden="false" customHeight="false" outlineLevel="0" collapsed="false">
      <c r="A670" s="29" t="n">
        <v>113547</v>
      </c>
      <c r="B670" s="29" t="s">
        <v>1695</v>
      </c>
      <c r="C670" s="29" t="s">
        <v>1696</v>
      </c>
      <c r="D670" s="29" t="s">
        <v>343</v>
      </c>
      <c r="E670" s="29" t="s">
        <v>344</v>
      </c>
      <c r="F670" s="29" t="s">
        <v>76</v>
      </c>
      <c r="G670" s="29" t="s">
        <v>67</v>
      </c>
      <c r="H670" s="29" t="s">
        <v>1844</v>
      </c>
      <c r="I670" s="29" t="s">
        <v>1873</v>
      </c>
      <c r="J670" s="29" t="n">
        <v>0</v>
      </c>
      <c r="K670" s="29" t="n">
        <v>5</v>
      </c>
      <c r="L670" s="29" t="s">
        <v>1866</v>
      </c>
    </row>
    <row r="671" customFormat="false" ht="15" hidden="false" customHeight="false" outlineLevel="0" collapsed="false">
      <c r="A671" s="29" t="n">
        <v>113547</v>
      </c>
      <c r="B671" s="29" t="s">
        <v>1695</v>
      </c>
      <c r="C671" s="29" t="s">
        <v>1696</v>
      </c>
      <c r="D671" s="29" t="s">
        <v>353</v>
      </c>
      <c r="E671" s="29" t="s">
        <v>354</v>
      </c>
      <c r="F671" s="29" t="s">
        <v>76</v>
      </c>
      <c r="G671" s="29" t="s">
        <v>67</v>
      </c>
      <c r="H671" s="29" t="s">
        <v>1844</v>
      </c>
      <c r="I671" s="29" t="s">
        <v>1853</v>
      </c>
      <c r="J671" s="29" t="n">
        <v>0</v>
      </c>
      <c r="K671" s="29" t="n">
        <v>5</v>
      </c>
      <c r="L671" s="29" t="s">
        <v>1866</v>
      </c>
    </row>
    <row r="672" customFormat="false" ht="15" hidden="false" customHeight="false" outlineLevel="0" collapsed="false">
      <c r="A672" s="29" t="n">
        <v>113547</v>
      </c>
      <c r="B672" s="29" t="s">
        <v>1695</v>
      </c>
      <c r="C672" s="29" t="s">
        <v>1696</v>
      </c>
      <c r="D672" s="29" t="s">
        <v>360</v>
      </c>
      <c r="E672" s="29" t="s">
        <v>361</v>
      </c>
      <c r="F672" s="29" t="s">
        <v>76</v>
      </c>
      <c r="G672" s="29" t="s">
        <v>67</v>
      </c>
      <c r="H672" s="29" t="s">
        <v>1844</v>
      </c>
      <c r="I672" s="29" t="s">
        <v>1873</v>
      </c>
      <c r="J672" s="29" t="n">
        <v>0</v>
      </c>
      <c r="K672" s="29" t="n">
        <v>0</v>
      </c>
      <c r="L672" s="29" t="s">
        <v>1846</v>
      </c>
    </row>
    <row r="673" customFormat="false" ht="15" hidden="false" customHeight="false" outlineLevel="0" collapsed="false">
      <c r="A673" s="29" t="n">
        <v>113547</v>
      </c>
      <c r="B673" s="29" t="s">
        <v>1695</v>
      </c>
      <c r="C673" s="29" t="s">
        <v>1696</v>
      </c>
      <c r="D673" s="29" t="s">
        <v>371</v>
      </c>
      <c r="E673" s="29" t="s">
        <v>372</v>
      </c>
      <c r="F673" s="29" t="s">
        <v>76</v>
      </c>
      <c r="G673" s="29" t="s">
        <v>67</v>
      </c>
      <c r="H673" s="29" t="s">
        <v>1844</v>
      </c>
      <c r="I673" s="29" t="s">
        <v>1873</v>
      </c>
      <c r="J673" s="29" t="n">
        <v>0</v>
      </c>
      <c r="K673" s="29" t="n">
        <v>0</v>
      </c>
      <c r="L673" s="29" t="s">
        <v>1846</v>
      </c>
    </row>
    <row r="674" customFormat="false" ht="15" hidden="false" customHeight="false" outlineLevel="0" collapsed="false">
      <c r="A674" s="29" t="n">
        <v>113547</v>
      </c>
      <c r="B674" s="29" t="s">
        <v>1695</v>
      </c>
      <c r="C674" s="29" t="s">
        <v>1696</v>
      </c>
      <c r="D674" s="29" t="s">
        <v>387</v>
      </c>
      <c r="E674" s="29" t="s">
        <v>388</v>
      </c>
      <c r="F674" s="29" t="s">
        <v>76</v>
      </c>
      <c r="G674" s="29" t="s">
        <v>68</v>
      </c>
      <c r="H674" s="29" t="s">
        <v>1381</v>
      </c>
      <c r="I674" s="29" t="s">
        <v>1853</v>
      </c>
      <c r="J674" s="29" t="n">
        <v>0</v>
      </c>
      <c r="K674" s="29" t="n">
        <v>0</v>
      </c>
      <c r="L674" s="29" t="s">
        <v>1846</v>
      </c>
    </row>
    <row r="675" customFormat="false" ht="15" hidden="false" customHeight="false" outlineLevel="0" collapsed="false">
      <c r="A675" s="29" t="n">
        <v>113547</v>
      </c>
      <c r="B675" s="29" t="s">
        <v>1695</v>
      </c>
      <c r="C675" s="29" t="s">
        <v>1696</v>
      </c>
      <c r="D675" s="29" t="s">
        <v>396</v>
      </c>
      <c r="E675" s="29" t="s">
        <v>397</v>
      </c>
      <c r="F675" s="29" t="s">
        <v>76</v>
      </c>
      <c r="G675" s="29" t="s">
        <v>68</v>
      </c>
      <c r="H675" s="29" t="s">
        <v>1381</v>
      </c>
      <c r="I675" s="29" t="s">
        <v>1853</v>
      </c>
      <c r="J675" s="29" t="n">
        <v>0</v>
      </c>
      <c r="K675" s="29" t="n">
        <v>0</v>
      </c>
      <c r="L675" s="29" t="s">
        <v>1846</v>
      </c>
    </row>
    <row r="676" customFormat="false" ht="15" hidden="false" customHeight="false" outlineLevel="0" collapsed="false">
      <c r="A676" s="29" t="n">
        <v>113547</v>
      </c>
      <c r="B676" s="29" t="s">
        <v>1695</v>
      </c>
      <c r="C676" s="29" t="s">
        <v>1696</v>
      </c>
      <c r="D676" s="29" t="s">
        <v>403</v>
      </c>
      <c r="E676" s="29" t="s">
        <v>404</v>
      </c>
      <c r="F676" s="29" t="s">
        <v>76</v>
      </c>
      <c r="G676" s="29" t="s">
        <v>68</v>
      </c>
      <c r="H676" s="29" t="s">
        <v>1381</v>
      </c>
      <c r="I676" s="29" t="s">
        <v>1852</v>
      </c>
      <c r="J676" s="29" t="n">
        <v>0</v>
      </c>
      <c r="K676" s="29" t="n">
        <v>0</v>
      </c>
      <c r="L676" s="29" t="s">
        <v>1846</v>
      </c>
    </row>
    <row r="677" customFormat="false" ht="15" hidden="false" customHeight="false" outlineLevel="0" collapsed="false">
      <c r="A677" s="29" t="n">
        <v>113547</v>
      </c>
      <c r="B677" s="29" t="s">
        <v>1695</v>
      </c>
      <c r="C677" s="29" t="s">
        <v>1696</v>
      </c>
      <c r="D677" s="29" t="s">
        <v>411</v>
      </c>
      <c r="E677" s="29" t="s">
        <v>412</v>
      </c>
      <c r="F677" s="29" t="s">
        <v>76</v>
      </c>
      <c r="G677" s="29" t="s">
        <v>68</v>
      </c>
      <c r="H677" s="29" t="s">
        <v>1381</v>
      </c>
      <c r="I677" s="29" t="s">
        <v>1873</v>
      </c>
      <c r="J677" s="29" t="n">
        <v>0</v>
      </c>
      <c r="K677" s="29" t="n">
        <v>0</v>
      </c>
      <c r="L677" s="29" t="s">
        <v>1846</v>
      </c>
    </row>
    <row r="678" customFormat="false" ht="15" hidden="false" customHeight="false" outlineLevel="0" collapsed="false">
      <c r="A678" s="29" t="n">
        <v>113547</v>
      </c>
      <c r="B678" s="29" t="s">
        <v>1695</v>
      </c>
      <c r="C678" s="29" t="s">
        <v>1696</v>
      </c>
      <c r="D678" s="29" t="s">
        <v>428</v>
      </c>
      <c r="E678" s="29" t="s">
        <v>429</v>
      </c>
      <c r="F678" s="29" t="s">
        <v>76</v>
      </c>
      <c r="G678" s="29" t="s">
        <v>68</v>
      </c>
      <c r="H678" s="29" t="s">
        <v>1381</v>
      </c>
      <c r="I678" s="29" t="s">
        <v>1853</v>
      </c>
      <c r="J678" s="29" t="n">
        <v>0</v>
      </c>
      <c r="K678" s="29" t="n">
        <v>0</v>
      </c>
      <c r="L678" s="29" t="s">
        <v>1846</v>
      </c>
    </row>
    <row r="679" customFormat="false" ht="15" hidden="false" customHeight="false" outlineLevel="0" collapsed="false">
      <c r="A679" s="29" t="n">
        <v>113547</v>
      </c>
      <c r="B679" s="29" t="s">
        <v>1695</v>
      </c>
      <c r="C679" s="29" t="s">
        <v>1696</v>
      </c>
      <c r="D679" s="29" t="s">
        <v>433</v>
      </c>
      <c r="E679" s="29" t="s">
        <v>434</v>
      </c>
      <c r="F679" s="29" t="s">
        <v>82</v>
      </c>
      <c r="G679" s="29" t="s">
        <v>66</v>
      </c>
      <c r="H679" s="29" t="s">
        <v>1379</v>
      </c>
      <c r="I679" s="29" t="s">
        <v>1854</v>
      </c>
      <c r="J679" s="29" t="n">
        <v>0</v>
      </c>
      <c r="K679" s="29" t="n">
        <v>0</v>
      </c>
      <c r="L679" s="29" t="s">
        <v>1846</v>
      </c>
    </row>
    <row r="680" customFormat="false" ht="15" hidden="false" customHeight="false" outlineLevel="0" collapsed="false">
      <c r="A680" s="29" t="n">
        <v>113547</v>
      </c>
      <c r="B680" s="29" t="s">
        <v>1695</v>
      </c>
      <c r="C680" s="29" t="s">
        <v>1696</v>
      </c>
      <c r="D680" s="29" t="s">
        <v>451</v>
      </c>
      <c r="E680" s="29" t="s">
        <v>452</v>
      </c>
      <c r="F680" s="29" t="s">
        <v>82</v>
      </c>
      <c r="G680" s="29" t="s">
        <v>67</v>
      </c>
      <c r="H680" s="29" t="s">
        <v>1379</v>
      </c>
      <c r="I680" s="29" t="s">
        <v>1855</v>
      </c>
      <c r="J680" s="29" t="n">
        <v>0</v>
      </c>
      <c r="K680" s="29" t="n">
        <v>0</v>
      </c>
      <c r="L680" s="29" t="s">
        <v>1846</v>
      </c>
    </row>
    <row r="681" customFormat="false" ht="15" hidden="false" customHeight="false" outlineLevel="0" collapsed="false">
      <c r="A681" s="29" t="n">
        <v>113547</v>
      </c>
      <c r="B681" s="29" t="s">
        <v>1695</v>
      </c>
      <c r="C681" s="29" t="s">
        <v>1696</v>
      </c>
      <c r="D681" s="29" t="s">
        <v>459</v>
      </c>
      <c r="E681" s="29" t="s">
        <v>460</v>
      </c>
      <c r="F681" s="29" t="s">
        <v>82</v>
      </c>
      <c r="G681" s="29" t="s">
        <v>67</v>
      </c>
      <c r="H681" s="29" t="s">
        <v>1379</v>
      </c>
      <c r="I681" s="29" t="s">
        <v>1855</v>
      </c>
      <c r="J681" s="29" t="n">
        <v>0</v>
      </c>
      <c r="K681" s="29" t="n">
        <v>0</v>
      </c>
      <c r="L681" s="29" t="s">
        <v>1846</v>
      </c>
    </row>
    <row r="682" customFormat="false" ht="15" hidden="false" customHeight="false" outlineLevel="0" collapsed="false">
      <c r="A682" s="29" t="n">
        <v>113547</v>
      </c>
      <c r="B682" s="29" t="s">
        <v>1695</v>
      </c>
      <c r="C682" s="29" t="s">
        <v>1696</v>
      </c>
      <c r="D682" s="29" t="s">
        <v>466</v>
      </c>
      <c r="E682" s="29" t="s">
        <v>467</v>
      </c>
      <c r="F682" s="29" t="s">
        <v>82</v>
      </c>
      <c r="G682" s="29" t="s">
        <v>67</v>
      </c>
      <c r="H682" s="29" t="s">
        <v>1379</v>
      </c>
      <c r="I682" s="29" t="s">
        <v>1855</v>
      </c>
      <c r="J682" s="29" t="n">
        <v>0</v>
      </c>
      <c r="K682" s="29" t="n">
        <v>0</v>
      </c>
      <c r="L682" s="29" t="s">
        <v>1846</v>
      </c>
    </row>
    <row r="683" customFormat="false" ht="15" hidden="false" customHeight="false" outlineLevel="0" collapsed="false">
      <c r="A683" s="29" t="n">
        <v>113547</v>
      </c>
      <c r="B683" s="29" t="s">
        <v>1695</v>
      </c>
      <c r="C683" s="29" t="s">
        <v>1696</v>
      </c>
      <c r="D683" s="29" t="s">
        <v>508</v>
      </c>
      <c r="E683" s="29" t="s">
        <v>509</v>
      </c>
      <c r="F683" s="29" t="s">
        <v>88</v>
      </c>
      <c r="G683" s="29" t="s">
        <v>67</v>
      </c>
      <c r="H683" s="29" t="s">
        <v>1379</v>
      </c>
      <c r="I683" s="29" t="s">
        <v>1850</v>
      </c>
      <c r="J683" s="29" t="n">
        <v>6</v>
      </c>
      <c r="K683" s="29" t="n">
        <v>0</v>
      </c>
      <c r="L683" s="29" t="s">
        <v>1867</v>
      </c>
    </row>
    <row r="684" customFormat="false" ht="15" hidden="false" customHeight="false" outlineLevel="0" collapsed="false">
      <c r="A684" s="29" t="n">
        <v>113547</v>
      </c>
      <c r="B684" s="29" t="s">
        <v>1695</v>
      </c>
      <c r="C684" s="29" t="s">
        <v>1696</v>
      </c>
      <c r="D684" s="29" t="s">
        <v>515</v>
      </c>
      <c r="E684" s="29" t="s">
        <v>516</v>
      </c>
      <c r="F684" s="29" t="s">
        <v>88</v>
      </c>
      <c r="G684" s="29" t="s">
        <v>67</v>
      </c>
      <c r="H684" s="29" t="s">
        <v>1379</v>
      </c>
      <c r="I684" s="29" t="s">
        <v>1850</v>
      </c>
      <c r="J684" s="29" t="n">
        <v>0</v>
      </c>
      <c r="K684" s="29" t="n">
        <v>0</v>
      </c>
      <c r="L684" s="29" t="s">
        <v>1846</v>
      </c>
    </row>
    <row r="685" customFormat="false" ht="15" hidden="false" customHeight="false" outlineLevel="0" collapsed="false">
      <c r="A685" s="29" t="n">
        <v>113547</v>
      </c>
      <c r="B685" s="29" t="s">
        <v>1695</v>
      </c>
      <c r="C685" s="29" t="s">
        <v>1696</v>
      </c>
      <c r="D685" s="29" t="s">
        <v>523</v>
      </c>
      <c r="E685" s="29" t="s">
        <v>524</v>
      </c>
      <c r="F685" s="29" t="s">
        <v>88</v>
      </c>
      <c r="G685" s="29" t="s">
        <v>67</v>
      </c>
      <c r="H685" s="29" t="s">
        <v>1844</v>
      </c>
      <c r="I685" s="29" t="s">
        <v>1856</v>
      </c>
      <c r="J685" s="29" t="n">
        <v>0</v>
      </c>
      <c r="K685" s="29" t="n">
        <v>0</v>
      </c>
      <c r="L685" s="29" t="s">
        <v>1846</v>
      </c>
    </row>
    <row r="686" customFormat="false" ht="15" hidden="false" customHeight="false" outlineLevel="0" collapsed="false">
      <c r="A686" s="29" t="n">
        <v>113547</v>
      </c>
      <c r="B686" s="29" t="s">
        <v>1695</v>
      </c>
      <c r="C686" s="29" t="s">
        <v>1696</v>
      </c>
      <c r="D686" s="29" t="s">
        <v>530</v>
      </c>
      <c r="E686" s="29" t="s">
        <v>531</v>
      </c>
      <c r="F686" s="29" t="s">
        <v>88</v>
      </c>
      <c r="G686" s="29" t="s">
        <v>68</v>
      </c>
      <c r="H686" s="29" t="s">
        <v>1381</v>
      </c>
      <c r="I686" s="29" t="s">
        <v>1847</v>
      </c>
      <c r="J686" s="29" t="n">
        <v>0</v>
      </c>
      <c r="K686" s="29" t="n">
        <v>0</v>
      </c>
      <c r="L686" s="29" t="s">
        <v>1846</v>
      </c>
    </row>
    <row r="687" customFormat="false" ht="15" hidden="false" customHeight="false" outlineLevel="0" collapsed="false">
      <c r="A687" s="29" t="n">
        <v>113547</v>
      </c>
      <c r="B687" s="29" t="s">
        <v>1695</v>
      </c>
      <c r="C687" s="29" t="s">
        <v>1696</v>
      </c>
      <c r="D687" s="29" t="s">
        <v>536</v>
      </c>
      <c r="E687" s="29" t="s">
        <v>537</v>
      </c>
      <c r="F687" s="29" t="s">
        <v>88</v>
      </c>
      <c r="G687" s="29" t="s">
        <v>68</v>
      </c>
      <c r="H687" s="29" t="s">
        <v>1381</v>
      </c>
      <c r="I687" s="29" t="s">
        <v>1847</v>
      </c>
      <c r="J687" s="29" t="n">
        <v>0</v>
      </c>
      <c r="K687" s="29" t="n">
        <v>0</v>
      </c>
      <c r="L687" s="29" t="s">
        <v>1846</v>
      </c>
    </row>
    <row r="688" customFormat="false" ht="15" hidden="false" customHeight="false" outlineLevel="0" collapsed="false">
      <c r="A688" s="29" t="n">
        <v>113547</v>
      </c>
      <c r="B688" s="29" t="s">
        <v>1695</v>
      </c>
      <c r="C688" s="29" t="s">
        <v>1696</v>
      </c>
      <c r="D688" s="29" t="s">
        <v>543</v>
      </c>
      <c r="E688" s="29" t="s">
        <v>544</v>
      </c>
      <c r="F688" s="29" t="s">
        <v>88</v>
      </c>
      <c r="G688" s="29" t="s">
        <v>68</v>
      </c>
      <c r="H688" s="29" t="s">
        <v>1381</v>
      </c>
      <c r="I688" s="29" t="s">
        <v>1847</v>
      </c>
      <c r="J688" s="29" t="n">
        <v>0</v>
      </c>
      <c r="K688" s="29" t="n">
        <v>0</v>
      </c>
      <c r="L688" s="29" t="s">
        <v>1846</v>
      </c>
    </row>
    <row r="689" customFormat="false" ht="15" hidden="false" customHeight="false" outlineLevel="0" collapsed="false">
      <c r="A689" s="29" t="n">
        <v>113547</v>
      </c>
      <c r="B689" s="29" t="s">
        <v>1695</v>
      </c>
      <c r="C689" s="29" t="s">
        <v>1696</v>
      </c>
      <c r="D689" s="29" t="s">
        <v>551</v>
      </c>
      <c r="E689" s="29" t="s">
        <v>552</v>
      </c>
      <c r="F689" s="29" t="s">
        <v>88</v>
      </c>
      <c r="G689" s="29" t="s">
        <v>68</v>
      </c>
      <c r="H689" s="29" t="s">
        <v>1381</v>
      </c>
      <c r="I689" s="29" t="s">
        <v>1857</v>
      </c>
      <c r="J689" s="29" t="n">
        <v>0</v>
      </c>
      <c r="K689" s="29" t="n">
        <v>0</v>
      </c>
      <c r="L689" s="29" t="s">
        <v>1846</v>
      </c>
    </row>
    <row r="690" customFormat="false" ht="15" hidden="false" customHeight="false" outlineLevel="0" collapsed="false">
      <c r="A690" s="29" t="n">
        <v>113547</v>
      </c>
      <c r="B690" s="29" t="s">
        <v>1695</v>
      </c>
      <c r="C690" s="29" t="s">
        <v>1696</v>
      </c>
      <c r="D690" s="29" t="s">
        <v>558</v>
      </c>
      <c r="E690" s="29" t="s">
        <v>559</v>
      </c>
      <c r="F690" s="29" t="s">
        <v>88</v>
      </c>
      <c r="G690" s="29" t="s">
        <v>68</v>
      </c>
      <c r="H690" s="29" t="s">
        <v>1381</v>
      </c>
      <c r="I690" s="29" t="s">
        <v>1856</v>
      </c>
      <c r="J690" s="29" t="n">
        <v>0</v>
      </c>
      <c r="K690" s="29" t="n">
        <v>0</v>
      </c>
      <c r="L690" s="29" t="s">
        <v>1846</v>
      </c>
    </row>
    <row r="691" customFormat="false" ht="15" hidden="false" customHeight="false" outlineLevel="0" collapsed="false">
      <c r="A691" s="29" t="n">
        <v>113547</v>
      </c>
      <c r="B691" s="29" t="s">
        <v>1695</v>
      </c>
      <c r="C691" s="29" t="s">
        <v>1696</v>
      </c>
      <c r="D691" s="29" t="s">
        <v>565</v>
      </c>
      <c r="E691" s="29" t="s">
        <v>566</v>
      </c>
      <c r="F691" s="29" t="s">
        <v>88</v>
      </c>
      <c r="G691" s="29" t="s">
        <v>68</v>
      </c>
      <c r="H691" s="29" t="s">
        <v>1381</v>
      </c>
      <c r="I691" s="29" t="s">
        <v>1856</v>
      </c>
      <c r="J691" s="29" t="n">
        <v>0</v>
      </c>
      <c r="K691" s="29" t="n">
        <v>0</v>
      </c>
      <c r="L691" s="29" t="s">
        <v>1846</v>
      </c>
    </row>
    <row r="692" customFormat="false" ht="15" hidden="false" customHeight="false" outlineLevel="0" collapsed="false">
      <c r="A692" s="29" t="n">
        <v>113547</v>
      </c>
      <c r="B692" s="29" t="s">
        <v>1695</v>
      </c>
      <c r="C692" s="29" t="s">
        <v>1696</v>
      </c>
      <c r="D692" s="29" t="s">
        <v>572</v>
      </c>
      <c r="E692" s="29" t="s">
        <v>573</v>
      </c>
      <c r="F692" s="29" t="s">
        <v>88</v>
      </c>
      <c r="G692" s="29" t="s">
        <v>68</v>
      </c>
      <c r="H692" s="29" t="s">
        <v>1381</v>
      </c>
      <c r="I692" s="29" t="s">
        <v>1847</v>
      </c>
      <c r="J692" s="29" t="n">
        <v>0</v>
      </c>
      <c r="K692" s="29" t="n">
        <v>0</v>
      </c>
      <c r="L692" s="29" t="s">
        <v>1846</v>
      </c>
    </row>
    <row r="693" customFormat="false" ht="15" hidden="false" customHeight="false" outlineLevel="0" collapsed="false">
      <c r="A693" s="29" t="n">
        <v>113547</v>
      </c>
      <c r="B693" s="29" t="s">
        <v>1695</v>
      </c>
      <c r="C693" s="29" t="s">
        <v>1696</v>
      </c>
      <c r="D693" s="29" t="s">
        <v>581</v>
      </c>
      <c r="E693" s="29" t="s">
        <v>582</v>
      </c>
      <c r="F693" s="29" t="s">
        <v>93</v>
      </c>
      <c r="G693" s="29" t="s">
        <v>67</v>
      </c>
      <c r="H693" s="29" t="s">
        <v>1844</v>
      </c>
      <c r="I693" s="29" t="s">
        <v>1858</v>
      </c>
      <c r="J693" s="29" t="n">
        <v>0</v>
      </c>
      <c r="K693" s="29" t="n">
        <v>0</v>
      </c>
      <c r="L693" s="29" t="s">
        <v>1846</v>
      </c>
    </row>
    <row r="694" customFormat="false" ht="15" hidden="false" customHeight="false" outlineLevel="0" collapsed="false">
      <c r="A694" s="29" t="n">
        <v>113547</v>
      </c>
      <c r="B694" s="29" t="s">
        <v>1695</v>
      </c>
      <c r="C694" s="29" t="s">
        <v>1696</v>
      </c>
      <c r="D694" s="29" t="s">
        <v>590</v>
      </c>
      <c r="E694" s="29" t="s">
        <v>591</v>
      </c>
      <c r="F694" s="29" t="s">
        <v>93</v>
      </c>
      <c r="G694" s="29" t="s">
        <v>67</v>
      </c>
      <c r="H694" s="29" t="s">
        <v>1844</v>
      </c>
      <c r="I694" s="29" t="s">
        <v>1859</v>
      </c>
      <c r="J694" s="29" t="n">
        <v>0</v>
      </c>
      <c r="K694" s="29" t="n">
        <v>1</v>
      </c>
      <c r="L694" s="29" t="s">
        <v>1866</v>
      </c>
    </row>
    <row r="695" customFormat="false" ht="15" hidden="false" customHeight="false" outlineLevel="0" collapsed="false">
      <c r="A695" s="29" t="n">
        <v>113547</v>
      </c>
      <c r="B695" s="29" t="s">
        <v>1695</v>
      </c>
      <c r="C695" s="29" t="s">
        <v>1696</v>
      </c>
      <c r="D695" s="29" t="s">
        <v>597</v>
      </c>
      <c r="E695" s="29" t="s">
        <v>598</v>
      </c>
      <c r="F695" s="29" t="s">
        <v>93</v>
      </c>
      <c r="G695" s="29" t="s">
        <v>67</v>
      </c>
      <c r="H695" s="29" t="s">
        <v>1844</v>
      </c>
      <c r="I695" s="29" t="s">
        <v>1859</v>
      </c>
      <c r="J695" s="29" t="n">
        <v>0</v>
      </c>
      <c r="K695" s="29" t="n">
        <v>1</v>
      </c>
      <c r="L695" s="29" t="s">
        <v>1866</v>
      </c>
    </row>
    <row r="696" customFormat="false" ht="15" hidden="false" customHeight="false" outlineLevel="0" collapsed="false">
      <c r="A696" s="29" t="n">
        <v>113547</v>
      </c>
      <c r="B696" s="29" t="s">
        <v>1695</v>
      </c>
      <c r="C696" s="29" t="s">
        <v>1696</v>
      </c>
      <c r="D696" s="29" t="s">
        <v>604</v>
      </c>
      <c r="E696" s="29" t="s">
        <v>605</v>
      </c>
      <c r="F696" s="29" t="s">
        <v>93</v>
      </c>
      <c r="G696" s="29" t="s">
        <v>68</v>
      </c>
      <c r="H696" s="29" t="s">
        <v>1381</v>
      </c>
      <c r="I696" s="29" t="s">
        <v>1859</v>
      </c>
      <c r="J696" s="29" t="n">
        <v>0</v>
      </c>
      <c r="K696" s="29" t="n">
        <v>0</v>
      </c>
      <c r="L696" s="29" t="s">
        <v>1846</v>
      </c>
    </row>
    <row r="697" customFormat="false" ht="15" hidden="false" customHeight="false" outlineLevel="0" collapsed="false">
      <c r="A697" s="29" t="n">
        <v>113547</v>
      </c>
      <c r="B697" s="29" t="s">
        <v>1695</v>
      </c>
      <c r="C697" s="29" t="s">
        <v>1696</v>
      </c>
      <c r="D697" s="29" t="s">
        <v>612</v>
      </c>
      <c r="E697" s="29" t="s">
        <v>613</v>
      </c>
      <c r="F697" s="29" t="s">
        <v>93</v>
      </c>
      <c r="G697" s="29" t="s">
        <v>68</v>
      </c>
      <c r="H697" s="29" t="s">
        <v>1381</v>
      </c>
      <c r="I697" s="29" t="s">
        <v>1859</v>
      </c>
      <c r="J697" s="29" t="n">
        <v>0</v>
      </c>
      <c r="K697" s="29" t="n">
        <v>0</v>
      </c>
      <c r="L697" s="29" t="s">
        <v>1846</v>
      </c>
    </row>
    <row r="698" customFormat="false" ht="15" hidden="false" customHeight="false" outlineLevel="0" collapsed="false">
      <c r="A698" s="29" t="n">
        <v>113547</v>
      </c>
      <c r="B698" s="29" t="s">
        <v>1695</v>
      </c>
      <c r="C698" s="29" t="s">
        <v>1696</v>
      </c>
      <c r="D698" s="29" t="s">
        <v>618</v>
      </c>
      <c r="E698" s="29" t="s">
        <v>619</v>
      </c>
      <c r="F698" s="29" t="s">
        <v>93</v>
      </c>
      <c r="G698" s="29" t="s">
        <v>68</v>
      </c>
      <c r="H698" s="29" t="s">
        <v>1381</v>
      </c>
      <c r="I698" s="29" t="s">
        <v>1859</v>
      </c>
      <c r="J698" s="29" t="n">
        <v>0</v>
      </c>
      <c r="K698" s="29" t="n">
        <v>0</v>
      </c>
      <c r="L698" s="29" t="s">
        <v>1846</v>
      </c>
    </row>
    <row r="699" customFormat="false" ht="15" hidden="false" customHeight="false" outlineLevel="0" collapsed="false">
      <c r="A699" s="29" t="n">
        <v>113547</v>
      </c>
      <c r="B699" s="29" t="s">
        <v>1695</v>
      </c>
      <c r="C699" s="29" t="s">
        <v>1696</v>
      </c>
      <c r="D699" s="29" t="s">
        <v>627</v>
      </c>
      <c r="E699" s="29" t="s">
        <v>628</v>
      </c>
      <c r="F699" s="29" t="s">
        <v>93</v>
      </c>
      <c r="G699" s="29" t="s">
        <v>68</v>
      </c>
      <c r="H699" s="29" t="s">
        <v>1381</v>
      </c>
      <c r="I699" s="29" t="s">
        <v>1858</v>
      </c>
      <c r="J699" s="29" t="n">
        <v>0</v>
      </c>
      <c r="K699" s="29" t="n">
        <v>0</v>
      </c>
      <c r="L699" s="29" t="s">
        <v>1846</v>
      </c>
    </row>
    <row r="700" customFormat="false" ht="15" hidden="false" customHeight="false" outlineLevel="0" collapsed="false">
      <c r="A700" s="29" t="n">
        <v>113547</v>
      </c>
      <c r="B700" s="29" t="s">
        <v>1695</v>
      </c>
      <c r="C700" s="29" t="s">
        <v>1696</v>
      </c>
      <c r="D700" s="29" t="s">
        <v>636</v>
      </c>
      <c r="E700" s="29" t="s">
        <v>637</v>
      </c>
      <c r="F700" s="29" t="s">
        <v>93</v>
      </c>
      <c r="G700" s="29" t="s">
        <v>68</v>
      </c>
      <c r="H700" s="29" t="s">
        <v>1381</v>
      </c>
      <c r="I700" s="29" t="s">
        <v>1858</v>
      </c>
      <c r="J700" s="29" t="n">
        <v>0</v>
      </c>
      <c r="K700" s="29" t="n">
        <v>0</v>
      </c>
      <c r="L700" s="29" t="s">
        <v>1846</v>
      </c>
    </row>
    <row r="701" customFormat="false" ht="15" hidden="false" customHeight="false" outlineLevel="0" collapsed="false">
      <c r="A701" s="29" t="n">
        <v>113547</v>
      </c>
      <c r="B701" s="29" t="s">
        <v>1695</v>
      </c>
      <c r="C701" s="29" t="s">
        <v>1696</v>
      </c>
      <c r="D701" s="29" t="s">
        <v>668</v>
      </c>
      <c r="E701" s="29" t="s">
        <v>669</v>
      </c>
      <c r="F701" s="29" t="s">
        <v>105</v>
      </c>
      <c r="G701" s="29" t="s">
        <v>66</v>
      </c>
      <c r="H701" s="29" t="s">
        <v>1379</v>
      </c>
      <c r="I701" s="29" t="s">
        <v>1854</v>
      </c>
      <c r="J701" s="29" t="n">
        <v>0</v>
      </c>
      <c r="K701" s="29" t="n">
        <v>0</v>
      </c>
      <c r="L701" s="29" t="s">
        <v>1846</v>
      </c>
    </row>
    <row r="702" customFormat="false" ht="15" hidden="false" customHeight="false" outlineLevel="0" collapsed="false">
      <c r="A702" s="29" t="n">
        <v>113547</v>
      </c>
      <c r="B702" s="29" t="s">
        <v>1695</v>
      </c>
      <c r="C702" s="29" t="s">
        <v>1696</v>
      </c>
      <c r="D702" s="29" t="s">
        <v>680</v>
      </c>
      <c r="E702" s="29" t="s">
        <v>681</v>
      </c>
      <c r="F702" s="29" t="s">
        <v>105</v>
      </c>
      <c r="G702" s="29" t="s">
        <v>66</v>
      </c>
      <c r="H702" s="29" t="s">
        <v>1379</v>
      </c>
      <c r="I702" s="29" t="s">
        <v>1854</v>
      </c>
      <c r="J702" s="29" t="n">
        <v>0</v>
      </c>
      <c r="K702" s="29" t="n">
        <v>0</v>
      </c>
      <c r="L702" s="29" t="s">
        <v>1846</v>
      </c>
    </row>
    <row r="703" customFormat="false" ht="15" hidden="false" customHeight="false" outlineLevel="0" collapsed="false">
      <c r="A703" s="29" t="n">
        <v>113547</v>
      </c>
      <c r="B703" s="29" t="s">
        <v>1695</v>
      </c>
      <c r="C703" s="29" t="s">
        <v>1696</v>
      </c>
      <c r="D703" s="29" t="s">
        <v>711</v>
      </c>
      <c r="E703" s="29" t="s">
        <v>712</v>
      </c>
      <c r="F703" s="29" t="s">
        <v>116</v>
      </c>
      <c r="G703" s="29" t="s">
        <v>66</v>
      </c>
      <c r="H703" s="29" t="s">
        <v>1379</v>
      </c>
      <c r="I703" s="29" t="s">
        <v>1854</v>
      </c>
      <c r="J703" s="29" t="n">
        <v>0</v>
      </c>
      <c r="K703" s="29" t="n">
        <v>1</v>
      </c>
      <c r="L703" s="29" t="s">
        <v>1866</v>
      </c>
    </row>
    <row r="704" customFormat="false" ht="15" hidden="false" customHeight="false" outlineLevel="0" collapsed="false">
      <c r="A704" s="29" t="n">
        <v>113547</v>
      </c>
      <c r="B704" s="29" t="s">
        <v>1695</v>
      </c>
      <c r="C704" s="29" t="s">
        <v>1696</v>
      </c>
      <c r="D704" s="29" t="s">
        <v>721</v>
      </c>
      <c r="E704" s="29" t="s">
        <v>722</v>
      </c>
      <c r="F704" s="29" t="s">
        <v>116</v>
      </c>
      <c r="G704" s="29" t="s">
        <v>66</v>
      </c>
      <c r="H704" s="29" t="s">
        <v>1379</v>
      </c>
      <c r="I704" s="29" t="s">
        <v>1854</v>
      </c>
      <c r="J704" s="29" t="n">
        <v>0</v>
      </c>
      <c r="K704" s="29" t="n">
        <v>0</v>
      </c>
      <c r="L704" s="29" t="s">
        <v>1846</v>
      </c>
    </row>
    <row r="705" customFormat="false" ht="15" hidden="false" customHeight="false" outlineLevel="0" collapsed="false">
      <c r="A705" s="29" t="n">
        <v>113547</v>
      </c>
      <c r="B705" s="29" t="s">
        <v>1695</v>
      </c>
      <c r="C705" s="29" t="s">
        <v>1696</v>
      </c>
      <c r="D705" s="29" t="s">
        <v>729</v>
      </c>
      <c r="E705" s="29" t="s">
        <v>730</v>
      </c>
      <c r="F705" s="29" t="s">
        <v>116</v>
      </c>
      <c r="G705" s="29" t="s">
        <v>67</v>
      </c>
      <c r="H705" s="29" t="s">
        <v>1844</v>
      </c>
      <c r="I705" s="29" t="s">
        <v>1879</v>
      </c>
      <c r="J705" s="29" t="n">
        <v>0</v>
      </c>
      <c r="K705" s="29" t="n">
        <v>0</v>
      </c>
      <c r="L705" s="29" t="s">
        <v>1846</v>
      </c>
    </row>
    <row r="706" customFormat="false" ht="15" hidden="false" customHeight="false" outlineLevel="0" collapsed="false">
      <c r="A706" s="29" t="n">
        <v>113547</v>
      </c>
      <c r="B706" s="29" t="s">
        <v>1695</v>
      </c>
      <c r="C706" s="29" t="s">
        <v>1696</v>
      </c>
      <c r="D706" s="29" t="s">
        <v>737</v>
      </c>
      <c r="E706" s="29" t="s">
        <v>738</v>
      </c>
      <c r="F706" s="29" t="s">
        <v>116</v>
      </c>
      <c r="G706" s="29" t="s">
        <v>67</v>
      </c>
      <c r="H706" s="29" t="s">
        <v>1844</v>
      </c>
      <c r="I706" s="29" t="s">
        <v>1879</v>
      </c>
      <c r="J706" s="29" t="n">
        <v>0</v>
      </c>
      <c r="K706" s="29" t="n">
        <v>0</v>
      </c>
      <c r="L706" s="29" t="s">
        <v>1846</v>
      </c>
    </row>
    <row r="707" customFormat="false" ht="15" hidden="false" customHeight="false" outlineLevel="0" collapsed="false">
      <c r="A707" s="29" t="n">
        <v>113547</v>
      </c>
      <c r="B707" s="29" t="s">
        <v>1695</v>
      </c>
      <c r="C707" s="29" t="s">
        <v>1696</v>
      </c>
      <c r="D707" s="29" t="s">
        <v>745</v>
      </c>
      <c r="E707" s="29" t="s">
        <v>746</v>
      </c>
      <c r="F707" s="29" t="s">
        <v>116</v>
      </c>
      <c r="G707" s="29" t="s">
        <v>67</v>
      </c>
      <c r="H707" s="29" t="s">
        <v>1844</v>
      </c>
      <c r="I707" s="29" t="s">
        <v>1860</v>
      </c>
      <c r="J707" s="29" t="n">
        <v>0</v>
      </c>
      <c r="K707" s="29" t="n">
        <v>0</v>
      </c>
      <c r="L707" s="29" t="s">
        <v>1846</v>
      </c>
    </row>
    <row r="708" customFormat="false" ht="15" hidden="false" customHeight="false" outlineLevel="0" collapsed="false">
      <c r="A708" s="29" t="n">
        <v>113547</v>
      </c>
      <c r="B708" s="29" t="s">
        <v>1695</v>
      </c>
      <c r="C708" s="29" t="s">
        <v>1696</v>
      </c>
      <c r="D708" s="29" t="s">
        <v>753</v>
      </c>
      <c r="E708" s="29" t="s">
        <v>754</v>
      </c>
      <c r="F708" s="29" t="s">
        <v>116</v>
      </c>
      <c r="G708" s="29" t="s">
        <v>68</v>
      </c>
      <c r="H708" s="29" t="s">
        <v>1381</v>
      </c>
      <c r="I708" s="29" t="s">
        <v>1860</v>
      </c>
      <c r="J708" s="29" t="n">
        <v>0</v>
      </c>
      <c r="K708" s="29" t="n">
        <v>0</v>
      </c>
      <c r="L708" s="29" t="s">
        <v>1846</v>
      </c>
    </row>
    <row r="709" customFormat="false" ht="15" hidden="false" customHeight="false" outlineLevel="0" collapsed="false">
      <c r="A709" s="29" t="n">
        <v>117080</v>
      </c>
      <c r="B709" s="29" t="s">
        <v>1700</v>
      </c>
      <c r="C709" s="29" t="s">
        <v>1701</v>
      </c>
      <c r="D709" s="29" t="s">
        <v>247</v>
      </c>
      <c r="E709" s="29" t="s">
        <v>248</v>
      </c>
      <c r="F709" s="29" t="s">
        <v>69</v>
      </c>
      <c r="G709" s="29" t="s">
        <v>67</v>
      </c>
      <c r="H709" s="29" t="s">
        <v>1844</v>
      </c>
      <c r="I709" s="29" t="s">
        <v>1848</v>
      </c>
      <c r="J709" s="29" t="n">
        <v>0</v>
      </c>
      <c r="K709" s="29" t="n">
        <v>0</v>
      </c>
      <c r="L709" s="29" t="s">
        <v>1846</v>
      </c>
    </row>
    <row r="710" customFormat="false" ht="15" hidden="false" customHeight="false" outlineLevel="0" collapsed="false">
      <c r="A710" s="29" t="n">
        <v>117080</v>
      </c>
      <c r="B710" s="29" t="s">
        <v>1700</v>
      </c>
      <c r="C710" s="29" t="s">
        <v>1701</v>
      </c>
      <c r="D710" s="29" t="s">
        <v>277</v>
      </c>
      <c r="E710" s="29" t="s">
        <v>278</v>
      </c>
      <c r="F710" s="29" t="s">
        <v>69</v>
      </c>
      <c r="G710" s="29" t="s">
        <v>67</v>
      </c>
      <c r="H710" s="29" t="s">
        <v>1379</v>
      </c>
      <c r="I710" s="29" t="s">
        <v>1850</v>
      </c>
      <c r="J710" s="29" t="n">
        <v>0</v>
      </c>
      <c r="K710" s="29" t="n">
        <v>0</v>
      </c>
      <c r="L710" s="29" t="s">
        <v>1846</v>
      </c>
    </row>
    <row r="711" customFormat="false" ht="15" hidden="false" customHeight="false" outlineLevel="0" collapsed="false">
      <c r="A711" s="29" t="n">
        <v>117080</v>
      </c>
      <c r="B711" s="29" t="s">
        <v>1700</v>
      </c>
      <c r="C711" s="29" t="s">
        <v>1701</v>
      </c>
      <c r="D711" s="29" t="s">
        <v>297</v>
      </c>
      <c r="E711" s="29" t="s">
        <v>298</v>
      </c>
      <c r="F711" s="29" t="s">
        <v>69</v>
      </c>
      <c r="G711" s="29" t="s">
        <v>68</v>
      </c>
      <c r="H711" s="29" t="s">
        <v>1381</v>
      </c>
      <c r="I711" s="29" t="s">
        <v>1848</v>
      </c>
      <c r="J711" s="29" t="n">
        <v>0</v>
      </c>
      <c r="K711" s="29" t="n">
        <v>0</v>
      </c>
      <c r="L711" s="29" t="s">
        <v>1846</v>
      </c>
    </row>
    <row r="712" customFormat="false" ht="15" hidden="false" customHeight="false" outlineLevel="0" collapsed="false">
      <c r="A712" s="29" t="n">
        <v>117080</v>
      </c>
      <c r="B712" s="29" t="s">
        <v>1700</v>
      </c>
      <c r="C712" s="29" t="s">
        <v>1701</v>
      </c>
      <c r="D712" s="29" t="s">
        <v>304</v>
      </c>
      <c r="E712" s="29" t="s">
        <v>305</v>
      </c>
      <c r="F712" s="29" t="s">
        <v>69</v>
      </c>
      <c r="G712" s="29" t="s">
        <v>68</v>
      </c>
      <c r="H712" s="29" t="s">
        <v>1381</v>
      </c>
      <c r="I712" s="29" t="s">
        <v>1851</v>
      </c>
      <c r="J712" s="29" t="n">
        <v>0</v>
      </c>
      <c r="K712" s="29" t="n">
        <v>0</v>
      </c>
      <c r="L712" s="29" t="s">
        <v>1846</v>
      </c>
    </row>
    <row r="713" customFormat="false" ht="15" hidden="false" customHeight="false" outlineLevel="0" collapsed="false">
      <c r="A713" s="29" t="n">
        <v>117080</v>
      </c>
      <c r="B713" s="29" t="s">
        <v>1700</v>
      </c>
      <c r="C713" s="29" t="s">
        <v>1701</v>
      </c>
      <c r="D713" s="29" t="s">
        <v>311</v>
      </c>
      <c r="E713" s="29" t="s">
        <v>312</v>
      </c>
      <c r="F713" s="29" t="s">
        <v>69</v>
      </c>
      <c r="G713" s="29" t="s">
        <v>68</v>
      </c>
      <c r="H713" s="29" t="s">
        <v>1381</v>
      </c>
      <c r="I713" s="29" t="s">
        <v>1851</v>
      </c>
      <c r="J713" s="29" t="n">
        <v>0</v>
      </c>
      <c r="K713" s="29" t="n">
        <v>0</v>
      </c>
      <c r="L713" s="29" t="s">
        <v>1846</v>
      </c>
    </row>
    <row r="714" customFormat="false" ht="15" hidden="false" customHeight="false" outlineLevel="0" collapsed="false">
      <c r="A714" s="29" t="n">
        <v>117080</v>
      </c>
      <c r="B714" s="29" t="s">
        <v>1700</v>
      </c>
      <c r="C714" s="29" t="s">
        <v>1701</v>
      </c>
      <c r="D714" s="29" t="s">
        <v>325</v>
      </c>
      <c r="E714" s="29" t="s">
        <v>326</v>
      </c>
      <c r="F714" s="29" t="s">
        <v>76</v>
      </c>
      <c r="G714" s="29" t="s">
        <v>67</v>
      </c>
      <c r="H714" s="29" t="s">
        <v>1844</v>
      </c>
      <c r="I714" s="29" t="s">
        <v>1852</v>
      </c>
      <c r="J714" s="29" t="n">
        <v>0</v>
      </c>
      <c r="K714" s="29" t="n">
        <v>0</v>
      </c>
      <c r="L714" s="29" t="s">
        <v>1846</v>
      </c>
    </row>
    <row r="715" customFormat="false" ht="15" hidden="false" customHeight="false" outlineLevel="0" collapsed="false">
      <c r="A715" s="29" t="n">
        <v>117080</v>
      </c>
      <c r="B715" s="29" t="s">
        <v>1700</v>
      </c>
      <c r="C715" s="29" t="s">
        <v>1701</v>
      </c>
      <c r="D715" s="29" t="s">
        <v>336</v>
      </c>
      <c r="E715" s="29" t="s">
        <v>337</v>
      </c>
      <c r="F715" s="29" t="s">
        <v>76</v>
      </c>
      <c r="G715" s="29" t="s">
        <v>67</v>
      </c>
      <c r="H715" s="29" t="s">
        <v>1844</v>
      </c>
      <c r="I715" s="29" t="s">
        <v>1852</v>
      </c>
      <c r="J715" s="29" t="n">
        <v>0</v>
      </c>
      <c r="K715" s="29" t="n">
        <v>0</v>
      </c>
      <c r="L715" s="29" t="s">
        <v>1846</v>
      </c>
    </row>
    <row r="716" customFormat="false" ht="15" hidden="false" customHeight="false" outlineLevel="0" collapsed="false">
      <c r="A716" s="29" t="n">
        <v>117080</v>
      </c>
      <c r="B716" s="29" t="s">
        <v>1700</v>
      </c>
      <c r="C716" s="29" t="s">
        <v>1701</v>
      </c>
      <c r="D716" s="29" t="s">
        <v>343</v>
      </c>
      <c r="E716" s="29" t="s">
        <v>344</v>
      </c>
      <c r="F716" s="29" t="s">
        <v>76</v>
      </c>
      <c r="G716" s="29" t="s">
        <v>67</v>
      </c>
      <c r="H716" s="29" t="s">
        <v>1844</v>
      </c>
      <c r="I716" s="29" t="s">
        <v>1873</v>
      </c>
      <c r="J716" s="29" t="n">
        <v>0</v>
      </c>
      <c r="K716" s="29" t="n">
        <v>0</v>
      </c>
      <c r="L716" s="29" t="s">
        <v>1846</v>
      </c>
    </row>
    <row r="717" customFormat="false" ht="15" hidden="false" customHeight="false" outlineLevel="0" collapsed="false">
      <c r="A717" s="29" t="n">
        <v>117080</v>
      </c>
      <c r="B717" s="29" t="s">
        <v>1700</v>
      </c>
      <c r="C717" s="29" t="s">
        <v>1701</v>
      </c>
      <c r="D717" s="29" t="s">
        <v>353</v>
      </c>
      <c r="E717" s="29" t="s">
        <v>354</v>
      </c>
      <c r="F717" s="29" t="s">
        <v>76</v>
      </c>
      <c r="G717" s="29" t="s">
        <v>67</v>
      </c>
      <c r="H717" s="29" t="s">
        <v>1844</v>
      </c>
      <c r="I717" s="29" t="s">
        <v>1853</v>
      </c>
      <c r="J717" s="29" t="n">
        <v>0</v>
      </c>
      <c r="K717" s="29" t="n">
        <v>0</v>
      </c>
      <c r="L717" s="29" t="s">
        <v>1846</v>
      </c>
    </row>
    <row r="718" customFormat="false" ht="15" hidden="false" customHeight="false" outlineLevel="0" collapsed="false">
      <c r="A718" s="29" t="n">
        <v>117080</v>
      </c>
      <c r="B718" s="29" t="s">
        <v>1700</v>
      </c>
      <c r="C718" s="29" t="s">
        <v>1701</v>
      </c>
      <c r="D718" s="29" t="s">
        <v>360</v>
      </c>
      <c r="E718" s="29" t="s">
        <v>361</v>
      </c>
      <c r="F718" s="29" t="s">
        <v>76</v>
      </c>
      <c r="G718" s="29" t="s">
        <v>67</v>
      </c>
      <c r="H718" s="29" t="s">
        <v>1844</v>
      </c>
      <c r="I718" s="29" t="s">
        <v>1873</v>
      </c>
      <c r="J718" s="29" t="n">
        <v>0</v>
      </c>
      <c r="K718" s="29" t="n">
        <v>0</v>
      </c>
      <c r="L718" s="29" t="s">
        <v>1846</v>
      </c>
    </row>
    <row r="719" customFormat="false" ht="15" hidden="false" customHeight="false" outlineLevel="0" collapsed="false">
      <c r="A719" s="29" t="n">
        <v>117080</v>
      </c>
      <c r="B719" s="29" t="s">
        <v>1700</v>
      </c>
      <c r="C719" s="29" t="s">
        <v>1701</v>
      </c>
      <c r="D719" s="29" t="s">
        <v>371</v>
      </c>
      <c r="E719" s="29" t="s">
        <v>372</v>
      </c>
      <c r="F719" s="29" t="s">
        <v>76</v>
      </c>
      <c r="G719" s="29" t="s">
        <v>67</v>
      </c>
      <c r="H719" s="29" t="s">
        <v>1844</v>
      </c>
      <c r="I719" s="29" t="s">
        <v>1873</v>
      </c>
      <c r="J719" s="29" t="n">
        <v>0</v>
      </c>
      <c r="K719" s="29" t="n">
        <v>0</v>
      </c>
      <c r="L719" s="29" t="s">
        <v>1846</v>
      </c>
    </row>
    <row r="720" customFormat="false" ht="15" hidden="false" customHeight="false" outlineLevel="0" collapsed="false">
      <c r="A720" s="29" t="n">
        <v>117080</v>
      </c>
      <c r="B720" s="29" t="s">
        <v>1700</v>
      </c>
      <c r="C720" s="29" t="s">
        <v>1701</v>
      </c>
      <c r="D720" s="29" t="s">
        <v>387</v>
      </c>
      <c r="E720" s="29" t="s">
        <v>388</v>
      </c>
      <c r="F720" s="29" t="s">
        <v>76</v>
      </c>
      <c r="G720" s="29" t="s">
        <v>68</v>
      </c>
      <c r="H720" s="29" t="s">
        <v>1381</v>
      </c>
      <c r="I720" s="29" t="s">
        <v>1853</v>
      </c>
      <c r="J720" s="29" t="n">
        <v>0</v>
      </c>
      <c r="K720" s="29" t="n">
        <v>0</v>
      </c>
      <c r="L720" s="29" t="s">
        <v>1846</v>
      </c>
    </row>
    <row r="721" customFormat="false" ht="15" hidden="false" customHeight="false" outlineLevel="0" collapsed="false">
      <c r="A721" s="29" t="n">
        <v>117080</v>
      </c>
      <c r="B721" s="29" t="s">
        <v>1700</v>
      </c>
      <c r="C721" s="29" t="s">
        <v>1701</v>
      </c>
      <c r="D721" s="29" t="s">
        <v>396</v>
      </c>
      <c r="E721" s="29" t="s">
        <v>397</v>
      </c>
      <c r="F721" s="29" t="s">
        <v>76</v>
      </c>
      <c r="G721" s="29" t="s">
        <v>68</v>
      </c>
      <c r="H721" s="29" t="s">
        <v>1381</v>
      </c>
      <c r="I721" s="29" t="s">
        <v>1853</v>
      </c>
      <c r="J721" s="29" t="n">
        <v>0</v>
      </c>
      <c r="K721" s="29" t="n">
        <v>0</v>
      </c>
      <c r="L721" s="29" t="s">
        <v>1846</v>
      </c>
    </row>
    <row r="722" customFormat="false" ht="15" hidden="false" customHeight="false" outlineLevel="0" collapsed="false">
      <c r="A722" s="29" t="n">
        <v>117080</v>
      </c>
      <c r="B722" s="29" t="s">
        <v>1700</v>
      </c>
      <c r="C722" s="29" t="s">
        <v>1701</v>
      </c>
      <c r="D722" s="29" t="s">
        <v>403</v>
      </c>
      <c r="E722" s="29" t="s">
        <v>404</v>
      </c>
      <c r="F722" s="29" t="s">
        <v>76</v>
      </c>
      <c r="G722" s="29" t="s">
        <v>68</v>
      </c>
      <c r="H722" s="29" t="s">
        <v>1381</v>
      </c>
      <c r="I722" s="29" t="s">
        <v>1852</v>
      </c>
      <c r="J722" s="29" t="n">
        <v>0</v>
      </c>
      <c r="K722" s="29" t="n">
        <v>0</v>
      </c>
      <c r="L722" s="29" t="s">
        <v>1846</v>
      </c>
    </row>
    <row r="723" customFormat="false" ht="15" hidden="false" customHeight="false" outlineLevel="0" collapsed="false">
      <c r="A723" s="29" t="n">
        <v>117080</v>
      </c>
      <c r="B723" s="29" t="s">
        <v>1700</v>
      </c>
      <c r="C723" s="29" t="s">
        <v>1701</v>
      </c>
      <c r="D723" s="29" t="s">
        <v>411</v>
      </c>
      <c r="E723" s="29" t="s">
        <v>412</v>
      </c>
      <c r="F723" s="29" t="s">
        <v>76</v>
      </c>
      <c r="G723" s="29" t="s">
        <v>68</v>
      </c>
      <c r="H723" s="29" t="s">
        <v>1381</v>
      </c>
      <c r="I723" s="29" t="s">
        <v>1873</v>
      </c>
      <c r="J723" s="29" t="n">
        <v>0</v>
      </c>
      <c r="K723" s="29" t="n">
        <v>0</v>
      </c>
      <c r="L723" s="29" t="s">
        <v>1846</v>
      </c>
    </row>
    <row r="724" customFormat="false" ht="15" hidden="false" customHeight="false" outlineLevel="0" collapsed="false">
      <c r="A724" s="29" t="n">
        <v>117080</v>
      </c>
      <c r="B724" s="29" t="s">
        <v>1700</v>
      </c>
      <c r="C724" s="29" t="s">
        <v>1701</v>
      </c>
      <c r="D724" s="29" t="s">
        <v>428</v>
      </c>
      <c r="E724" s="29" t="s">
        <v>429</v>
      </c>
      <c r="F724" s="29" t="s">
        <v>76</v>
      </c>
      <c r="G724" s="29" t="s">
        <v>68</v>
      </c>
      <c r="H724" s="29" t="s">
        <v>1381</v>
      </c>
      <c r="I724" s="29" t="s">
        <v>1853</v>
      </c>
      <c r="J724" s="29" t="n">
        <v>0</v>
      </c>
      <c r="K724" s="29" t="n">
        <v>0</v>
      </c>
      <c r="L724" s="29" t="s">
        <v>1846</v>
      </c>
    </row>
    <row r="725" customFormat="false" ht="15" hidden="false" customHeight="false" outlineLevel="0" collapsed="false">
      <c r="A725" s="29" t="n">
        <v>117080</v>
      </c>
      <c r="B725" s="29" t="s">
        <v>1700</v>
      </c>
      <c r="C725" s="29" t="s">
        <v>1701</v>
      </c>
      <c r="D725" s="29" t="s">
        <v>433</v>
      </c>
      <c r="E725" s="29" t="s">
        <v>434</v>
      </c>
      <c r="F725" s="29" t="s">
        <v>82</v>
      </c>
      <c r="G725" s="29" t="s">
        <v>66</v>
      </c>
      <c r="H725" s="29" t="s">
        <v>1379</v>
      </c>
      <c r="I725" s="29" t="s">
        <v>1854</v>
      </c>
      <c r="J725" s="29" t="n">
        <v>0</v>
      </c>
      <c r="K725" s="29" t="n">
        <v>0</v>
      </c>
      <c r="L725" s="29" t="s">
        <v>1846</v>
      </c>
    </row>
    <row r="726" customFormat="false" ht="15" hidden="false" customHeight="false" outlineLevel="0" collapsed="false">
      <c r="A726" s="29" t="n">
        <v>117080</v>
      </c>
      <c r="B726" s="29" t="s">
        <v>1700</v>
      </c>
      <c r="C726" s="29" t="s">
        <v>1701</v>
      </c>
      <c r="D726" s="29" t="s">
        <v>451</v>
      </c>
      <c r="E726" s="29" t="s">
        <v>452</v>
      </c>
      <c r="F726" s="29" t="s">
        <v>82</v>
      </c>
      <c r="G726" s="29" t="s">
        <v>67</v>
      </c>
      <c r="H726" s="29" t="s">
        <v>1379</v>
      </c>
      <c r="I726" s="29" t="s">
        <v>1855</v>
      </c>
      <c r="J726" s="29" t="n">
        <v>0</v>
      </c>
      <c r="K726" s="29" t="n">
        <v>0</v>
      </c>
      <c r="L726" s="29" t="s">
        <v>1846</v>
      </c>
    </row>
    <row r="727" customFormat="false" ht="15" hidden="false" customHeight="false" outlineLevel="0" collapsed="false">
      <c r="A727" s="29" t="n">
        <v>117080</v>
      </c>
      <c r="B727" s="29" t="s">
        <v>1700</v>
      </c>
      <c r="C727" s="29" t="s">
        <v>1701</v>
      </c>
      <c r="D727" s="29" t="s">
        <v>459</v>
      </c>
      <c r="E727" s="29" t="s">
        <v>460</v>
      </c>
      <c r="F727" s="29" t="s">
        <v>82</v>
      </c>
      <c r="G727" s="29" t="s">
        <v>67</v>
      </c>
      <c r="H727" s="29" t="s">
        <v>1379</v>
      </c>
      <c r="I727" s="29" t="s">
        <v>1855</v>
      </c>
      <c r="J727" s="29" t="n">
        <v>0</v>
      </c>
      <c r="K727" s="29" t="n">
        <v>0</v>
      </c>
      <c r="L727" s="29" t="s">
        <v>1846</v>
      </c>
    </row>
    <row r="728" customFormat="false" ht="15" hidden="false" customHeight="false" outlineLevel="0" collapsed="false">
      <c r="A728" s="29" t="n">
        <v>117080</v>
      </c>
      <c r="B728" s="29" t="s">
        <v>1700</v>
      </c>
      <c r="C728" s="29" t="s">
        <v>1701</v>
      </c>
      <c r="D728" s="29" t="s">
        <v>466</v>
      </c>
      <c r="E728" s="29" t="s">
        <v>467</v>
      </c>
      <c r="F728" s="29" t="s">
        <v>82</v>
      </c>
      <c r="G728" s="29" t="s">
        <v>67</v>
      </c>
      <c r="H728" s="29" t="s">
        <v>1379</v>
      </c>
      <c r="I728" s="29" t="s">
        <v>1855</v>
      </c>
      <c r="J728" s="29" t="n">
        <v>0</v>
      </c>
      <c r="K728" s="29" t="n">
        <v>0</v>
      </c>
      <c r="L728" s="29" t="s">
        <v>1846</v>
      </c>
    </row>
    <row r="729" customFormat="false" ht="15" hidden="false" customHeight="false" outlineLevel="0" collapsed="false">
      <c r="A729" s="29" t="n">
        <v>117080</v>
      </c>
      <c r="B729" s="29" t="s">
        <v>1700</v>
      </c>
      <c r="C729" s="29" t="s">
        <v>1701</v>
      </c>
      <c r="D729" s="29" t="s">
        <v>508</v>
      </c>
      <c r="E729" s="29" t="s">
        <v>509</v>
      </c>
      <c r="F729" s="29" t="s">
        <v>88</v>
      </c>
      <c r="G729" s="29" t="s">
        <v>67</v>
      </c>
      <c r="H729" s="29" t="s">
        <v>1379</v>
      </c>
      <c r="I729" s="29" t="s">
        <v>1850</v>
      </c>
      <c r="J729" s="29" t="n">
        <v>0</v>
      </c>
      <c r="K729" s="29" t="n">
        <v>0</v>
      </c>
      <c r="L729" s="29" t="s">
        <v>1846</v>
      </c>
    </row>
    <row r="730" customFormat="false" ht="15" hidden="false" customHeight="false" outlineLevel="0" collapsed="false">
      <c r="A730" s="29" t="n">
        <v>117080</v>
      </c>
      <c r="B730" s="29" t="s">
        <v>1700</v>
      </c>
      <c r="C730" s="29" t="s">
        <v>1701</v>
      </c>
      <c r="D730" s="29" t="s">
        <v>515</v>
      </c>
      <c r="E730" s="29" t="s">
        <v>516</v>
      </c>
      <c r="F730" s="29" t="s">
        <v>88</v>
      </c>
      <c r="G730" s="29" t="s">
        <v>67</v>
      </c>
      <c r="H730" s="29" t="s">
        <v>1379</v>
      </c>
      <c r="I730" s="29" t="s">
        <v>1850</v>
      </c>
      <c r="J730" s="29" t="n">
        <v>0</v>
      </c>
      <c r="K730" s="29" t="n">
        <v>0</v>
      </c>
      <c r="L730" s="29" t="s">
        <v>1846</v>
      </c>
    </row>
    <row r="731" customFormat="false" ht="15" hidden="false" customHeight="false" outlineLevel="0" collapsed="false">
      <c r="A731" s="29" t="n">
        <v>117080</v>
      </c>
      <c r="B731" s="29" t="s">
        <v>1700</v>
      </c>
      <c r="C731" s="29" t="s">
        <v>1701</v>
      </c>
      <c r="D731" s="29" t="s">
        <v>523</v>
      </c>
      <c r="E731" s="29" t="s">
        <v>524</v>
      </c>
      <c r="F731" s="29" t="s">
        <v>88</v>
      </c>
      <c r="G731" s="29" t="s">
        <v>67</v>
      </c>
      <c r="H731" s="29" t="s">
        <v>1844</v>
      </c>
      <c r="I731" s="29" t="s">
        <v>1856</v>
      </c>
      <c r="J731" s="29" t="n">
        <v>0</v>
      </c>
      <c r="K731" s="29" t="n">
        <v>0</v>
      </c>
      <c r="L731" s="29" t="s">
        <v>1846</v>
      </c>
    </row>
    <row r="732" customFormat="false" ht="15" hidden="false" customHeight="false" outlineLevel="0" collapsed="false">
      <c r="A732" s="29" t="n">
        <v>117080</v>
      </c>
      <c r="B732" s="29" t="s">
        <v>1700</v>
      </c>
      <c r="C732" s="29" t="s">
        <v>1701</v>
      </c>
      <c r="D732" s="29" t="s">
        <v>530</v>
      </c>
      <c r="E732" s="29" t="s">
        <v>531</v>
      </c>
      <c r="F732" s="29" t="s">
        <v>88</v>
      </c>
      <c r="G732" s="29" t="s">
        <v>68</v>
      </c>
      <c r="H732" s="29" t="s">
        <v>1381</v>
      </c>
      <c r="I732" s="29" t="s">
        <v>1847</v>
      </c>
      <c r="J732" s="29" t="n">
        <v>0</v>
      </c>
      <c r="K732" s="29" t="n">
        <v>0</v>
      </c>
      <c r="L732" s="29" t="s">
        <v>1846</v>
      </c>
    </row>
    <row r="733" customFormat="false" ht="15" hidden="false" customHeight="false" outlineLevel="0" collapsed="false">
      <c r="A733" s="29" t="n">
        <v>117080</v>
      </c>
      <c r="B733" s="29" t="s">
        <v>1700</v>
      </c>
      <c r="C733" s="29" t="s">
        <v>1701</v>
      </c>
      <c r="D733" s="29" t="s">
        <v>536</v>
      </c>
      <c r="E733" s="29" t="s">
        <v>537</v>
      </c>
      <c r="F733" s="29" t="s">
        <v>88</v>
      </c>
      <c r="G733" s="29" t="s">
        <v>68</v>
      </c>
      <c r="H733" s="29" t="s">
        <v>1381</v>
      </c>
      <c r="I733" s="29" t="s">
        <v>1847</v>
      </c>
      <c r="J733" s="29" t="n">
        <v>0</v>
      </c>
      <c r="K733" s="29" t="n">
        <v>0</v>
      </c>
      <c r="L733" s="29" t="s">
        <v>1846</v>
      </c>
    </row>
    <row r="734" customFormat="false" ht="15" hidden="false" customHeight="false" outlineLevel="0" collapsed="false">
      <c r="A734" s="29" t="n">
        <v>117080</v>
      </c>
      <c r="B734" s="29" t="s">
        <v>1700</v>
      </c>
      <c r="C734" s="29" t="s">
        <v>1701</v>
      </c>
      <c r="D734" s="29" t="s">
        <v>543</v>
      </c>
      <c r="E734" s="29" t="s">
        <v>544</v>
      </c>
      <c r="F734" s="29" t="s">
        <v>88</v>
      </c>
      <c r="G734" s="29" t="s">
        <v>68</v>
      </c>
      <c r="H734" s="29" t="s">
        <v>1381</v>
      </c>
      <c r="I734" s="29" t="s">
        <v>1847</v>
      </c>
      <c r="J734" s="29" t="n">
        <v>0</v>
      </c>
      <c r="K734" s="29" t="n">
        <v>0</v>
      </c>
      <c r="L734" s="29" t="s">
        <v>1846</v>
      </c>
    </row>
    <row r="735" customFormat="false" ht="15" hidden="false" customHeight="false" outlineLevel="0" collapsed="false">
      <c r="A735" s="29" t="n">
        <v>117080</v>
      </c>
      <c r="B735" s="29" t="s">
        <v>1700</v>
      </c>
      <c r="C735" s="29" t="s">
        <v>1701</v>
      </c>
      <c r="D735" s="29" t="s">
        <v>551</v>
      </c>
      <c r="E735" s="29" t="s">
        <v>552</v>
      </c>
      <c r="F735" s="29" t="s">
        <v>88</v>
      </c>
      <c r="G735" s="29" t="s">
        <v>68</v>
      </c>
      <c r="H735" s="29" t="s">
        <v>1381</v>
      </c>
      <c r="I735" s="29" t="s">
        <v>1857</v>
      </c>
      <c r="J735" s="29" t="n">
        <v>0</v>
      </c>
      <c r="K735" s="29" t="n">
        <v>0</v>
      </c>
      <c r="L735" s="29" t="s">
        <v>1846</v>
      </c>
    </row>
    <row r="736" customFormat="false" ht="15" hidden="false" customHeight="false" outlineLevel="0" collapsed="false">
      <c r="A736" s="29" t="n">
        <v>117080</v>
      </c>
      <c r="B736" s="29" t="s">
        <v>1700</v>
      </c>
      <c r="C736" s="29" t="s">
        <v>1701</v>
      </c>
      <c r="D736" s="29" t="s">
        <v>558</v>
      </c>
      <c r="E736" s="29" t="s">
        <v>559</v>
      </c>
      <c r="F736" s="29" t="s">
        <v>88</v>
      </c>
      <c r="G736" s="29" t="s">
        <v>68</v>
      </c>
      <c r="H736" s="29" t="s">
        <v>1381</v>
      </c>
      <c r="I736" s="29" t="s">
        <v>1856</v>
      </c>
      <c r="J736" s="29" t="n">
        <v>0</v>
      </c>
      <c r="K736" s="29" t="n">
        <v>0</v>
      </c>
      <c r="L736" s="29" t="s">
        <v>1846</v>
      </c>
    </row>
    <row r="737" customFormat="false" ht="15" hidden="false" customHeight="false" outlineLevel="0" collapsed="false">
      <c r="A737" s="29" t="n">
        <v>117080</v>
      </c>
      <c r="B737" s="29" t="s">
        <v>1700</v>
      </c>
      <c r="C737" s="29" t="s">
        <v>1701</v>
      </c>
      <c r="D737" s="29" t="s">
        <v>565</v>
      </c>
      <c r="E737" s="29" t="s">
        <v>566</v>
      </c>
      <c r="F737" s="29" t="s">
        <v>88</v>
      </c>
      <c r="G737" s="29" t="s">
        <v>68</v>
      </c>
      <c r="H737" s="29" t="s">
        <v>1381</v>
      </c>
      <c r="I737" s="29" t="s">
        <v>1856</v>
      </c>
      <c r="J737" s="29" t="n">
        <v>0</v>
      </c>
      <c r="K737" s="29" t="n">
        <v>0</v>
      </c>
      <c r="L737" s="29" t="s">
        <v>1846</v>
      </c>
    </row>
    <row r="738" customFormat="false" ht="15" hidden="false" customHeight="false" outlineLevel="0" collapsed="false">
      <c r="A738" s="29" t="n">
        <v>117080</v>
      </c>
      <c r="B738" s="29" t="s">
        <v>1700</v>
      </c>
      <c r="C738" s="29" t="s">
        <v>1701</v>
      </c>
      <c r="D738" s="29" t="s">
        <v>572</v>
      </c>
      <c r="E738" s="29" t="s">
        <v>573</v>
      </c>
      <c r="F738" s="29" t="s">
        <v>88</v>
      </c>
      <c r="G738" s="29" t="s">
        <v>68</v>
      </c>
      <c r="H738" s="29" t="s">
        <v>1381</v>
      </c>
      <c r="I738" s="29" t="s">
        <v>1847</v>
      </c>
      <c r="J738" s="29" t="n">
        <v>0</v>
      </c>
      <c r="K738" s="29" t="n">
        <v>0</v>
      </c>
      <c r="L738" s="29" t="s">
        <v>1846</v>
      </c>
    </row>
    <row r="739" customFormat="false" ht="15" hidden="false" customHeight="false" outlineLevel="0" collapsed="false">
      <c r="A739" s="29" t="n">
        <v>117080</v>
      </c>
      <c r="B739" s="29" t="s">
        <v>1700</v>
      </c>
      <c r="C739" s="29" t="s">
        <v>1701</v>
      </c>
      <c r="D739" s="29" t="s">
        <v>581</v>
      </c>
      <c r="E739" s="29" t="s">
        <v>582</v>
      </c>
      <c r="F739" s="29" t="s">
        <v>93</v>
      </c>
      <c r="G739" s="29" t="s">
        <v>67</v>
      </c>
      <c r="H739" s="29" t="s">
        <v>1844</v>
      </c>
      <c r="I739" s="29" t="s">
        <v>1858</v>
      </c>
      <c r="J739" s="29" t="n">
        <v>0</v>
      </c>
      <c r="K739" s="29" t="n">
        <v>0</v>
      </c>
      <c r="L739" s="29" t="s">
        <v>1846</v>
      </c>
    </row>
    <row r="740" customFormat="false" ht="15" hidden="false" customHeight="false" outlineLevel="0" collapsed="false">
      <c r="A740" s="29" t="n">
        <v>117080</v>
      </c>
      <c r="B740" s="29" t="s">
        <v>1700</v>
      </c>
      <c r="C740" s="29" t="s">
        <v>1701</v>
      </c>
      <c r="D740" s="29" t="s">
        <v>590</v>
      </c>
      <c r="E740" s="29" t="s">
        <v>591</v>
      </c>
      <c r="F740" s="29" t="s">
        <v>93</v>
      </c>
      <c r="G740" s="29" t="s">
        <v>67</v>
      </c>
      <c r="H740" s="29" t="s">
        <v>1844</v>
      </c>
      <c r="I740" s="29" t="s">
        <v>1859</v>
      </c>
      <c r="J740" s="29" t="n">
        <v>0</v>
      </c>
      <c r="K740" s="29" t="n">
        <v>0</v>
      </c>
      <c r="L740" s="29" t="s">
        <v>1846</v>
      </c>
    </row>
    <row r="741" customFormat="false" ht="15" hidden="false" customHeight="false" outlineLevel="0" collapsed="false">
      <c r="A741" s="29" t="n">
        <v>117080</v>
      </c>
      <c r="B741" s="29" t="s">
        <v>1700</v>
      </c>
      <c r="C741" s="29" t="s">
        <v>1701</v>
      </c>
      <c r="D741" s="29" t="s">
        <v>597</v>
      </c>
      <c r="E741" s="29" t="s">
        <v>598</v>
      </c>
      <c r="F741" s="29" t="s">
        <v>93</v>
      </c>
      <c r="G741" s="29" t="s">
        <v>67</v>
      </c>
      <c r="H741" s="29" t="s">
        <v>1844</v>
      </c>
      <c r="I741" s="29" t="s">
        <v>1859</v>
      </c>
      <c r="J741" s="29" t="n">
        <v>0</v>
      </c>
      <c r="K741" s="29" t="n">
        <v>0</v>
      </c>
      <c r="L741" s="29" t="s">
        <v>1846</v>
      </c>
    </row>
    <row r="742" customFormat="false" ht="15" hidden="false" customHeight="false" outlineLevel="0" collapsed="false">
      <c r="A742" s="29" t="n">
        <v>117080</v>
      </c>
      <c r="B742" s="29" t="s">
        <v>1700</v>
      </c>
      <c r="C742" s="29" t="s">
        <v>1701</v>
      </c>
      <c r="D742" s="29" t="s">
        <v>604</v>
      </c>
      <c r="E742" s="29" t="s">
        <v>605</v>
      </c>
      <c r="F742" s="29" t="s">
        <v>93</v>
      </c>
      <c r="G742" s="29" t="s">
        <v>68</v>
      </c>
      <c r="H742" s="29" t="s">
        <v>1381</v>
      </c>
      <c r="I742" s="29" t="s">
        <v>1859</v>
      </c>
      <c r="J742" s="29" t="n">
        <v>0</v>
      </c>
      <c r="K742" s="29" t="n">
        <v>0</v>
      </c>
      <c r="L742" s="29" t="s">
        <v>1846</v>
      </c>
    </row>
    <row r="743" customFormat="false" ht="15" hidden="false" customHeight="false" outlineLevel="0" collapsed="false">
      <c r="A743" s="29" t="n">
        <v>117080</v>
      </c>
      <c r="B743" s="29" t="s">
        <v>1700</v>
      </c>
      <c r="C743" s="29" t="s">
        <v>1701</v>
      </c>
      <c r="D743" s="29" t="s">
        <v>612</v>
      </c>
      <c r="E743" s="29" t="s">
        <v>613</v>
      </c>
      <c r="F743" s="29" t="s">
        <v>93</v>
      </c>
      <c r="G743" s="29" t="s">
        <v>68</v>
      </c>
      <c r="H743" s="29" t="s">
        <v>1381</v>
      </c>
      <c r="I743" s="29" t="s">
        <v>1859</v>
      </c>
      <c r="J743" s="29" t="n">
        <v>0</v>
      </c>
      <c r="K743" s="29" t="n">
        <v>0</v>
      </c>
      <c r="L743" s="29" t="s">
        <v>1846</v>
      </c>
    </row>
    <row r="744" customFormat="false" ht="15" hidden="false" customHeight="false" outlineLevel="0" collapsed="false">
      <c r="A744" s="29" t="n">
        <v>117080</v>
      </c>
      <c r="B744" s="29" t="s">
        <v>1700</v>
      </c>
      <c r="C744" s="29" t="s">
        <v>1701</v>
      </c>
      <c r="D744" s="29" t="s">
        <v>618</v>
      </c>
      <c r="E744" s="29" t="s">
        <v>619</v>
      </c>
      <c r="F744" s="29" t="s">
        <v>93</v>
      </c>
      <c r="G744" s="29" t="s">
        <v>68</v>
      </c>
      <c r="H744" s="29" t="s">
        <v>1381</v>
      </c>
      <c r="I744" s="29" t="s">
        <v>1859</v>
      </c>
      <c r="J744" s="29" t="n">
        <v>0</v>
      </c>
      <c r="K744" s="29" t="n">
        <v>0</v>
      </c>
      <c r="L744" s="29" t="s">
        <v>1846</v>
      </c>
    </row>
    <row r="745" customFormat="false" ht="15" hidden="false" customHeight="false" outlineLevel="0" collapsed="false">
      <c r="A745" s="29" t="n">
        <v>117080</v>
      </c>
      <c r="B745" s="29" t="s">
        <v>1700</v>
      </c>
      <c r="C745" s="29" t="s">
        <v>1701</v>
      </c>
      <c r="D745" s="29" t="s">
        <v>627</v>
      </c>
      <c r="E745" s="29" t="s">
        <v>628</v>
      </c>
      <c r="F745" s="29" t="s">
        <v>93</v>
      </c>
      <c r="G745" s="29" t="s">
        <v>68</v>
      </c>
      <c r="H745" s="29" t="s">
        <v>1381</v>
      </c>
      <c r="I745" s="29" t="s">
        <v>1858</v>
      </c>
      <c r="J745" s="29" t="n">
        <v>0</v>
      </c>
      <c r="K745" s="29" t="n">
        <v>0</v>
      </c>
      <c r="L745" s="29" t="s">
        <v>1846</v>
      </c>
    </row>
    <row r="746" customFormat="false" ht="15" hidden="false" customHeight="false" outlineLevel="0" collapsed="false">
      <c r="A746" s="29" t="n">
        <v>117080</v>
      </c>
      <c r="B746" s="29" t="s">
        <v>1700</v>
      </c>
      <c r="C746" s="29" t="s">
        <v>1701</v>
      </c>
      <c r="D746" s="29" t="s">
        <v>636</v>
      </c>
      <c r="E746" s="29" t="s">
        <v>637</v>
      </c>
      <c r="F746" s="29" t="s">
        <v>93</v>
      </c>
      <c r="G746" s="29" t="s">
        <v>68</v>
      </c>
      <c r="H746" s="29" t="s">
        <v>1381</v>
      </c>
      <c r="I746" s="29" t="s">
        <v>1858</v>
      </c>
      <c r="J746" s="29" t="n">
        <v>0</v>
      </c>
      <c r="K746" s="29" t="n">
        <v>0</v>
      </c>
      <c r="L746" s="29" t="s">
        <v>1846</v>
      </c>
    </row>
    <row r="747" customFormat="false" ht="15" hidden="false" customHeight="false" outlineLevel="0" collapsed="false">
      <c r="A747" s="29" t="n">
        <v>117080</v>
      </c>
      <c r="B747" s="29" t="s">
        <v>1700</v>
      </c>
      <c r="C747" s="29" t="s">
        <v>1701</v>
      </c>
      <c r="D747" s="29" t="s">
        <v>668</v>
      </c>
      <c r="E747" s="29" t="s">
        <v>669</v>
      </c>
      <c r="F747" s="29" t="s">
        <v>105</v>
      </c>
      <c r="G747" s="29" t="s">
        <v>66</v>
      </c>
      <c r="H747" s="29" t="s">
        <v>1379</v>
      </c>
      <c r="I747" s="29" t="s">
        <v>1854</v>
      </c>
      <c r="J747" s="29" t="n">
        <v>0</v>
      </c>
      <c r="K747" s="29" t="n">
        <v>0</v>
      </c>
      <c r="L747" s="29" t="s">
        <v>1846</v>
      </c>
    </row>
    <row r="748" customFormat="false" ht="15" hidden="false" customHeight="false" outlineLevel="0" collapsed="false">
      <c r="A748" s="29" t="n">
        <v>117080</v>
      </c>
      <c r="B748" s="29" t="s">
        <v>1700</v>
      </c>
      <c r="C748" s="29" t="s">
        <v>1701</v>
      </c>
      <c r="D748" s="29" t="s">
        <v>680</v>
      </c>
      <c r="E748" s="29" t="s">
        <v>681</v>
      </c>
      <c r="F748" s="29" t="s">
        <v>105</v>
      </c>
      <c r="G748" s="29" t="s">
        <v>66</v>
      </c>
      <c r="H748" s="29" t="s">
        <v>1379</v>
      </c>
      <c r="I748" s="29" t="s">
        <v>1854</v>
      </c>
      <c r="J748" s="29" t="n">
        <v>0</v>
      </c>
      <c r="K748" s="29" t="n">
        <v>0</v>
      </c>
      <c r="L748" s="29" t="s">
        <v>1846</v>
      </c>
    </row>
    <row r="749" customFormat="false" ht="15" hidden="false" customHeight="false" outlineLevel="0" collapsed="false">
      <c r="A749" s="29" t="n">
        <v>117080</v>
      </c>
      <c r="B749" s="29" t="s">
        <v>1700</v>
      </c>
      <c r="C749" s="29" t="s">
        <v>1701</v>
      </c>
      <c r="D749" s="29" t="s">
        <v>711</v>
      </c>
      <c r="E749" s="29" t="s">
        <v>712</v>
      </c>
      <c r="F749" s="29" t="s">
        <v>116</v>
      </c>
      <c r="G749" s="29" t="s">
        <v>66</v>
      </c>
      <c r="H749" s="29" t="s">
        <v>1379</v>
      </c>
      <c r="I749" s="29" t="s">
        <v>1854</v>
      </c>
      <c r="J749" s="29" t="n">
        <v>0</v>
      </c>
      <c r="K749" s="29" t="n">
        <v>0</v>
      </c>
      <c r="L749" s="29" t="s">
        <v>1846</v>
      </c>
    </row>
    <row r="750" customFormat="false" ht="15" hidden="false" customHeight="false" outlineLevel="0" collapsed="false">
      <c r="A750" s="29" t="n">
        <v>117080</v>
      </c>
      <c r="B750" s="29" t="s">
        <v>1700</v>
      </c>
      <c r="C750" s="29" t="s">
        <v>1701</v>
      </c>
      <c r="D750" s="29" t="s">
        <v>721</v>
      </c>
      <c r="E750" s="29" t="s">
        <v>722</v>
      </c>
      <c r="F750" s="29" t="s">
        <v>116</v>
      </c>
      <c r="G750" s="29" t="s">
        <v>66</v>
      </c>
      <c r="H750" s="29" t="s">
        <v>1379</v>
      </c>
      <c r="I750" s="29" t="s">
        <v>1854</v>
      </c>
      <c r="J750" s="29" t="n">
        <v>0</v>
      </c>
      <c r="K750" s="29" t="n">
        <v>0</v>
      </c>
      <c r="L750" s="29" t="s">
        <v>1846</v>
      </c>
    </row>
    <row r="751" customFormat="false" ht="15" hidden="false" customHeight="false" outlineLevel="0" collapsed="false">
      <c r="A751" s="29" t="n">
        <v>117080</v>
      </c>
      <c r="B751" s="29" t="s">
        <v>1700</v>
      </c>
      <c r="C751" s="29" t="s">
        <v>1701</v>
      </c>
      <c r="D751" s="29" t="s">
        <v>729</v>
      </c>
      <c r="E751" s="29" t="s">
        <v>730</v>
      </c>
      <c r="F751" s="29" t="s">
        <v>116</v>
      </c>
      <c r="G751" s="29" t="s">
        <v>67</v>
      </c>
      <c r="H751" s="29" t="s">
        <v>1844</v>
      </c>
      <c r="I751" s="29" t="s">
        <v>1879</v>
      </c>
      <c r="J751" s="29" t="n">
        <v>0</v>
      </c>
      <c r="K751" s="29" t="n">
        <v>0</v>
      </c>
      <c r="L751" s="29" t="s">
        <v>1846</v>
      </c>
    </row>
    <row r="752" customFormat="false" ht="15" hidden="false" customHeight="false" outlineLevel="0" collapsed="false">
      <c r="A752" s="29" t="n">
        <v>117080</v>
      </c>
      <c r="B752" s="29" t="s">
        <v>1700</v>
      </c>
      <c r="C752" s="29" t="s">
        <v>1701</v>
      </c>
      <c r="D752" s="29" t="s">
        <v>737</v>
      </c>
      <c r="E752" s="29" t="s">
        <v>738</v>
      </c>
      <c r="F752" s="29" t="s">
        <v>116</v>
      </c>
      <c r="G752" s="29" t="s">
        <v>67</v>
      </c>
      <c r="H752" s="29" t="s">
        <v>1844</v>
      </c>
      <c r="I752" s="29" t="s">
        <v>1879</v>
      </c>
      <c r="J752" s="29" t="n">
        <v>0</v>
      </c>
      <c r="K752" s="29" t="n">
        <v>0</v>
      </c>
      <c r="L752" s="29" t="s">
        <v>1846</v>
      </c>
    </row>
    <row r="753" customFormat="false" ht="15" hidden="false" customHeight="false" outlineLevel="0" collapsed="false">
      <c r="A753" s="29" t="n">
        <v>117080</v>
      </c>
      <c r="B753" s="29" t="s">
        <v>1700</v>
      </c>
      <c r="C753" s="29" t="s">
        <v>1701</v>
      </c>
      <c r="D753" s="29" t="s">
        <v>745</v>
      </c>
      <c r="E753" s="29" t="s">
        <v>746</v>
      </c>
      <c r="F753" s="29" t="s">
        <v>116</v>
      </c>
      <c r="G753" s="29" t="s">
        <v>67</v>
      </c>
      <c r="H753" s="29" t="s">
        <v>1844</v>
      </c>
      <c r="I753" s="29" t="s">
        <v>1860</v>
      </c>
      <c r="J753" s="29" t="n">
        <v>0</v>
      </c>
      <c r="K753" s="29" t="n">
        <v>0</v>
      </c>
      <c r="L753" s="29" t="s">
        <v>1846</v>
      </c>
    </row>
    <row r="754" customFormat="false" ht="15" hidden="false" customHeight="false" outlineLevel="0" collapsed="false">
      <c r="A754" s="29" t="n">
        <v>117080</v>
      </c>
      <c r="B754" s="29" t="s">
        <v>1700</v>
      </c>
      <c r="C754" s="29" t="s">
        <v>1701</v>
      </c>
      <c r="D754" s="29" t="s">
        <v>753</v>
      </c>
      <c r="E754" s="29" t="s">
        <v>754</v>
      </c>
      <c r="F754" s="29" t="s">
        <v>116</v>
      </c>
      <c r="G754" s="29" t="s">
        <v>68</v>
      </c>
      <c r="H754" s="29" t="s">
        <v>1381</v>
      </c>
      <c r="I754" s="29" t="s">
        <v>1860</v>
      </c>
      <c r="J754" s="29" t="n">
        <v>0</v>
      </c>
      <c r="K754" s="29" t="n">
        <v>0</v>
      </c>
      <c r="L754" s="29" t="s">
        <v>1846</v>
      </c>
    </row>
    <row r="755" customFormat="false" ht="15" hidden="false" customHeight="false" outlineLevel="0" collapsed="false">
      <c r="A755" s="29" t="n">
        <v>117600</v>
      </c>
      <c r="B755" s="29" t="s">
        <v>1704</v>
      </c>
      <c r="C755" s="29" t="s">
        <v>1705</v>
      </c>
      <c r="D755" s="29" t="s">
        <v>247</v>
      </c>
      <c r="E755" s="29" t="s">
        <v>248</v>
      </c>
      <c r="F755" s="29" t="s">
        <v>69</v>
      </c>
      <c r="G755" s="29" t="s">
        <v>67</v>
      </c>
      <c r="H755" s="29" t="s">
        <v>1844</v>
      </c>
      <c r="I755" s="29" t="s">
        <v>1848</v>
      </c>
      <c r="J755" s="29" t="n">
        <v>0</v>
      </c>
      <c r="K755" s="29" t="n">
        <v>0</v>
      </c>
      <c r="L755" s="29" t="s">
        <v>1849</v>
      </c>
    </row>
    <row r="756" customFormat="false" ht="15" hidden="false" customHeight="false" outlineLevel="0" collapsed="false">
      <c r="A756" s="29" t="n">
        <v>117600</v>
      </c>
      <c r="B756" s="29" t="s">
        <v>1704</v>
      </c>
      <c r="C756" s="29" t="s">
        <v>1705</v>
      </c>
      <c r="D756" s="29" t="s">
        <v>277</v>
      </c>
      <c r="E756" s="29" t="s">
        <v>278</v>
      </c>
      <c r="F756" s="29" t="s">
        <v>69</v>
      </c>
      <c r="G756" s="29" t="s">
        <v>67</v>
      </c>
      <c r="H756" s="29" t="s">
        <v>1379</v>
      </c>
      <c r="I756" s="29" t="s">
        <v>1850</v>
      </c>
      <c r="J756" s="29" t="n">
        <v>0</v>
      </c>
      <c r="K756" s="29" t="n">
        <v>0</v>
      </c>
      <c r="L756" s="29" t="s">
        <v>1849</v>
      </c>
    </row>
    <row r="757" customFormat="false" ht="15" hidden="false" customHeight="false" outlineLevel="0" collapsed="false">
      <c r="A757" s="29" t="n">
        <v>117600</v>
      </c>
      <c r="B757" s="29" t="s">
        <v>1704</v>
      </c>
      <c r="C757" s="29" t="s">
        <v>1705</v>
      </c>
      <c r="D757" s="29" t="s">
        <v>297</v>
      </c>
      <c r="E757" s="29" t="s">
        <v>298</v>
      </c>
      <c r="F757" s="29" t="s">
        <v>69</v>
      </c>
      <c r="G757" s="29" t="s">
        <v>68</v>
      </c>
      <c r="H757" s="29" t="s">
        <v>1381</v>
      </c>
      <c r="I757" s="29" t="s">
        <v>1848</v>
      </c>
      <c r="J757" s="29" t="n">
        <v>0</v>
      </c>
      <c r="K757" s="29" t="n">
        <v>0</v>
      </c>
      <c r="L757" s="29" t="s">
        <v>1849</v>
      </c>
    </row>
    <row r="758" customFormat="false" ht="15" hidden="false" customHeight="false" outlineLevel="0" collapsed="false">
      <c r="A758" s="29" t="n">
        <v>117600</v>
      </c>
      <c r="B758" s="29" t="s">
        <v>1704</v>
      </c>
      <c r="C758" s="29" t="s">
        <v>1705</v>
      </c>
      <c r="D758" s="29" t="s">
        <v>304</v>
      </c>
      <c r="E758" s="29" t="s">
        <v>305</v>
      </c>
      <c r="F758" s="29" t="s">
        <v>69</v>
      </c>
      <c r="G758" s="29" t="s">
        <v>68</v>
      </c>
      <c r="H758" s="29" t="s">
        <v>1381</v>
      </c>
      <c r="I758" s="29" t="s">
        <v>1851</v>
      </c>
      <c r="J758" s="29" t="n">
        <v>0</v>
      </c>
      <c r="K758" s="29" t="n">
        <v>0</v>
      </c>
      <c r="L758" s="29" t="s">
        <v>1849</v>
      </c>
    </row>
    <row r="759" customFormat="false" ht="15" hidden="false" customHeight="false" outlineLevel="0" collapsed="false">
      <c r="A759" s="29" t="n">
        <v>117600</v>
      </c>
      <c r="B759" s="29" t="s">
        <v>1704</v>
      </c>
      <c r="C759" s="29" t="s">
        <v>1705</v>
      </c>
      <c r="D759" s="29" t="s">
        <v>311</v>
      </c>
      <c r="E759" s="29" t="s">
        <v>312</v>
      </c>
      <c r="F759" s="29" t="s">
        <v>69</v>
      </c>
      <c r="G759" s="29" t="s">
        <v>68</v>
      </c>
      <c r="H759" s="29" t="s">
        <v>1381</v>
      </c>
      <c r="I759" s="29" t="s">
        <v>1851</v>
      </c>
      <c r="J759" s="29" t="n">
        <v>0</v>
      </c>
      <c r="K759" s="29" t="n">
        <v>0</v>
      </c>
      <c r="L759" s="29" t="s">
        <v>1849</v>
      </c>
    </row>
    <row r="760" customFormat="false" ht="15" hidden="false" customHeight="false" outlineLevel="0" collapsed="false">
      <c r="A760" s="29" t="n">
        <v>117600</v>
      </c>
      <c r="B760" s="29" t="s">
        <v>1704</v>
      </c>
      <c r="C760" s="29" t="s">
        <v>1705</v>
      </c>
      <c r="D760" s="29" t="s">
        <v>325</v>
      </c>
      <c r="E760" s="29" t="s">
        <v>326</v>
      </c>
      <c r="F760" s="29" t="s">
        <v>76</v>
      </c>
      <c r="G760" s="29" t="s">
        <v>67</v>
      </c>
      <c r="H760" s="29" t="s">
        <v>1844</v>
      </c>
      <c r="I760" s="29" t="s">
        <v>1852</v>
      </c>
      <c r="J760" s="29" t="n">
        <v>0</v>
      </c>
      <c r="K760" s="29" t="n">
        <v>5</v>
      </c>
      <c r="L760" s="29" t="s">
        <v>1866</v>
      </c>
    </row>
    <row r="761" customFormat="false" ht="15" hidden="false" customHeight="false" outlineLevel="0" collapsed="false">
      <c r="A761" s="29" t="n">
        <v>117600</v>
      </c>
      <c r="B761" s="29" t="s">
        <v>1704</v>
      </c>
      <c r="C761" s="29" t="s">
        <v>1705</v>
      </c>
      <c r="D761" s="29" t="s">
        <v>336</v>
      </c>
      <c r="E761" s="29" t="s">
        <v>337</v>
      </c>
      <c r="F761" s="29" t="s">
        <v>76</v>
      </c>
      <c r="G761" s="29" t="s">
        <v>67</v>
      </c>
      <c r="H761" s="29" t="s">
        <v>1844</v>
      </c>
      <c r="I761" s="29" t="s">
        <v>1852</v>
      </c>
      <c r="J761" s="29" t="n">
        <v>0</v>
      </c>
      <c r="K761" s="29" t="n">
        <v>0</v>
      </c>
      <c r="L761" s="29" t="s">
        <v>1849</v>
      </c>
    </row>
    <row r="762" customFormat="false" ht="15" hidden="false" customHeight="false" outlineLevel="0" collapsed="false">
      <c r="A762" s="29" t="n">
        <v>117600</v>
      </c>
      <c r="B762" s="29" t="s">
        <v>1704</v>
      </c>
      <c r="C762" s="29" t="s">
        <v>1705</v>
      </c>
      <c r="D762" s="29" t="s">
        <v>343</v>
      </c>
      <c r="E762" s="29" t="s">
        <v>344</v>
      </c>
      <c r="F762" s="29" t="s">
        <v>76</v>
      </c>
      <c r="G762" s="29" t="s">
        <v>67</v>
      </c>
      <c r="H762" s="29" t="s">
        <v>1844</v>
      </c>
      <c r="I762" s="29" t="s">
        <v>1873</v>
      </c>
      <c r="J762" s="29" t="n">
        <v>0</v>
      </c>
      <c r="K762" s="29" t="n">
        <v>5</v>
      </c>
      <c r="L762" s="29" t="s">
        <v>1866</v>
      </c>
    </row>
    <row r="763" customFormat="false" ht="15" hidden="false" customHeight="false" outlineLevel="0" collapsed="false">
      <c r="A763" s="29" t="n">
        <v>117600</v>
      </c>
      <c r="B763" s="29" t="s">
        <v>1704</v>
      </c>
      <c r="C763" s="29" t="s">
        <v>1705</v>
      </c>
      <c r="D763" s="29" t="s">
        <v>353</v>
      </c>
      <c r="E763" s="29" t="s">
        <v>354</v>
      </c>
      <c r="F763" s="29" t="s">
        <v>76</v>
      </c>
      <c r="G763" s="29" t="s">
        <v>67</v>
      </c>
      <c r="H763" s="29" t="s">
        <v>1844</v>
      </c>
      <c r="I763" s="29" t="s">
        <v>1853</v>
      </c>
      <c r="J763" s="29" t="n">
        <v>0</v>
      </c>
      <c r="K763" s="29" t="n">
        <v>5</v>
      </c>
      <c r="L763" s="29" t="s">
        <v>1866</v>
      </c>
    </row>
    <row r="764" customFormat="false" ht="15" hidden="false" customHeight="false" outlineLevel="0" collapsed="false">
      <c r="A764" s="29" t="n">
        <v>117600</v>
      </c>
      <c r="B764" s="29" t="s">
        <v>1704</v>
      </c>
      <c r="C764" s="29" t="s">
        <v>1705</v>
      </c>
      <c r="D764" s="29" t="s">
        <v>360</v>
      </c>
      <c r="E764" s="29" t="s">
        <v>361</v>
      </c>
      <c r="F764" s="29" t="s">
        <v>76</v>
      </c>
      <c r="G764" s="29" t="s">
        <v>67</v>
      </c>
      <c r="H764" s="29" t="s">
        <v>1844</v>
      </c>
      <c r="I764" s="29" t="s">
        <v>1873</v>
      </c>
      <c r="J764" s="29" t="n">
        <v>0</v>
      </c>
      <c r="K764" s="29" t="n">
        <v>0</v>
      </c>
      <c r="L764" s="29" t="s">
        <v>1849</v>
      </c>
    </row>
    <row r="765" customFormat="false" ht="15" hidden="false" customHeight="false" outlineLevel="0" collapsed="false">
      <c r="A765" s="29" t="n">
        <v>117600</v>
      </c>
      <c r="B765" s="29" t="s">
        <v>1704</v>
      </c>
      <c r="C765" s="29" t="s">
        <v>1705</v>
      </c>
      <c r="D765" s="29" t="s">
        <v>371</v>
      </c>
      <c r="E765" s="29" t="s">
        <v>372</v>
      </c>
      <c r="F765" s="29" t="s">
        <v>76</v>
      </c>
      <c r="G765" s="29" t="s">
        <v>67</v>
      </c>
      <c r="H765" s="29" t="s">
        <v>1844</v>
      </c>
      <c r="I765" s="29" t="s">
        <v>1873</v>
      </c>
      <c r="J765" s="29" t="n">
        <v>0</v>
      </c>
      <c r="K765" s="29" t="n">
        <v>0</v>
      </c>
      <c r="L765" s="29" t="s">
        <v>1849</v>
      </c>
    </row>
    <row r="766" customFormat="false" ht="15" hidden="false" customHeight="false" outlineLevel="0" collapsed="false">
      <c r="A766" s="29" t="n">
        <v>117600</v>
      </c>
      <c r="B766" s="29" t="s">
        <v>1704</v>
      </c>
      <c r="C766" s="29" t="s">
        <v>1705</v>
      </c>
      <c r="D766" s="29" t="s">
        <v>387</v>
      </c>
      <c r="E766" s="29" t="s">
        <v>388</v>
      </c>
      <c r="F766" s="29" t="s">
        <v>76</v>
      </c>
      <c r="G766" s="29" t="s">
        <v>68</v>
      </c>
      <c r="H766" s="29" t="s">
        <v>1381</v>
      </c>
      <c r="I766" s="29" t="s">
        <v>1853</v>
      </c>
      <c r="J766" s="29" t="n">
        <v>0</v>
      </c>
      <c r="K766" s="29" t="n">
        <v>0</v>
      </c>
      <c r="L766" s="29" t="s">
        <v>1849</v>
      </c>
    </row>
    <row r="767" customFormat="false" ht="15" hidden="false" customHeight="false" outlineLevel="0" collapsed="false">
      <c r="A767" s="29" t="n">
        <v>117600</v>
      </c>
      <c r="B767" s="29" t="s">
        <v>1704</v>
      </c>
      <c r="C767" s="29" t="s">
        <v>1705</v>
      </c>
      <c r="D767" s="29" t="s">
        <v>396</v>
      </c>
      <c r="E767" s="29" t="s">
        <v>397</v>
      </c>
      <c r="F767" s="29" t="s">
        <v>76</v>
      </c>
      <c r="G767" s="29" t="s">
        <v>68</v>
      </c>
      <c r="H767" s="29" t="s">
        <v>1381</v>
      </c>
      <c r="I767" s="29" t="s">
        <v>1853</v>
      </c>
      <c r="J767" s="29" t="n">
        <v>0</v>
      </c>
      <c r="K767" s="29" t="n">
        <v>0</v>
      </c>
      <c r="L767" s="29" t="s">
        <v>1849</v>
      </c>
    </row>
    <row r="768" customFormat="false" ht="15" hidden="false" customHeight="false" outlineLevel="0" collapsed="false">
      <c r="A768" s="29" t="n">
        <v>117600</v>
      </c>
      <c r="B768" s="29" t="s">
        <v>1704</v>
      </c>
      <c r="C768" s="29" t="s">
        <v>1705</v>
      </c>
      <c r="D768" s="29" t="s">
        <v>403</v>
      </c>
      <c r="E768" s="29" t="s">
        <v>404</v>
      </c>
      <c r="F768" s="29" t="s">
        <v>76</v>
      </c>
      <c r="G768" s="29" t="s">
        <v>68</v>
      </c>
      <c r="H768" s="29" t="s">
        <v>1381</v>
      </c>
      <c r="I768" s="29" t="s">
        <v>1852</v>
      </c>
      <c r="J768" s="29" t="n">
        <v>0</v>
      </c>
      <c r="K768" s="29" t="n">
        <v>0</v>
      </c>
      <c r="L768" s="29" t="s">
        <v>1849</v>
      </c>
    </row>
    <row r="769" customFormat="false" ht="15" hidden="false" customHeight="false" outlineLevel="0" collapsed="false">
      <c r="A769" s="29" t="n">
        <v>117600</v>
      </c>
      <c r="B769" s="29" t="s">
        <v>1704</v>
      </c>
      <c r="C769" s="29" t="s">
        <v>1705</v>
      </c>
      <c r="D769" s="29" t="s">
        <v>411</v>
      </c>
      <c r="E769" s="29" t="s">
        <v>412</v>
      </c>
      <c r="F769" s="29" t="s">
        <v>76</v>
      </c>
      <c r="G769" s="29" t="s">
        <v>68</v>
      </c>
      <c r="H769" s="29" t="s">
        <v>1381</v>
      </c>
      <c r="I769" s="29" t="s">
        <v>1873</v>
      </c>
      <c r="J769" s="29" t="n">
        <v>0</v>
      </c>
      <c r="K769" s="29" t="n">
        <v>0</v>
      </c>
      <c r="L769" s="29" t="s">
        <v>1849</v>
      </c>
    </row>
    <row r="770" customFormat="false" ht="15" hidden="false" customHeight="false" outlineLevel="0" collapsed="false">
      <c r="A770" s="29" t="n">
        <v>117600</v>
      </c>
      <c r="B770" s="29" t="s">
        <v>1704</v>
      </c>
      <c r="C770" s="29" t="s">
        <v>1705</v>
      </c>
      <c r="D770" s="29" t="s">
        <v>428</v>
      </c>
      <c r="E770" s="29" t="s">
        <v>429</v>
      </c>
      <c r="F770" s="29" t="s">
        <v>76</v>
      </c>
      <c r="G770" s="29" t="s">
        <v>68</v>
      </c>
      <c r="H770" s="29" t="s">
        <v>1381</v>
      </c>
      <c r="I770" s="29" t="s">
        <v>1853</v>
      </c>
      <c r="J770" s="29" t="n">
        <v>0</v>
      </c>
      <c r="K770" s="29" t="n">
        <v>0</v>
      </c>
      <c r="L770" s="29" t="s">
        <v>1849</v>
      </c>
    </row>
    <row r="771" customFormat="false" ht="15" hidden="false" customHeight="false" outlineLevel="0" collapsed="false">
      <c r="A771" s="29" t="n">
        <v>117600</v>
      </c>
      <c r="B771" s="29" t="s">
        <v>1704</v>
      </c>
      <c r="C771" s="29" t="s">
        <v>1705</v>
      </c>
      <c r="D771" s="29" t="s">
        <v>433</v>
      </c>
      <c r="E771" s="29" t="s">
        <v>434</v>
      </c>
      <c r="F771" s="29" t="s">
        <v>82</v>
      </c>
      <c r="G771" s="29" t="s">
        <v>66</v>
      </c>
      <c r="H771" s="29" t="s">
        <v>1379</v>
      </c>
      <c r="I771" s="29" t="s">
        <v>1854</v>
      </c>
      <c r="J771" s="29" t="n">
        <v>0</v>
      </c>
      <c r="K771" s="29" t="n">
        <v>0</v>
      </c>
      <c r="L771" s="29" t="s">
        <v>1849</v>
      </c>
    </row>
    <row r="772" customFormat="false" ht="15" hidden="false" customHeight="false" outlineLevel="0" collapsed="false">
      <c r="A772" s="29" t="n">
        <v>117600</v>
      </c>
      <c r="B772" s="29" t="s">
        <v>1704</v>
      </c>
      <c r="C772" s="29" t="s">
        <v>1705</v>
      </c>
      <c r="D772" s="29" t="s">
        <v>451</v>
      </c>
      <c r="E772" s="29" t="s">
        <v>452</v>
      </c>
      <c r="F772" s="29" t="s">
        <v>82</v>
      </c>
      <c r="G772" s="29" t="s">
        <v>67</v>
      </c>
      <c r="H772" s="29" t="s">
        <v>1379</v>
      </c>
      <c r="I772" s="29" t="s">
        <v>1855</v>
      </c>
      <c r="J772" s="29" t="n">
        <v>0</v>
      </c>
      <c r="K772" s="29" t="n">
        <v>0</v>
      </c>
      <c r="L772" s="29" t="s">
        <v>1849</v>
      </c>
    </row>
    <row r="773" customFormat="false" ht="15" hidden="false" customHeight="false" outlineLevel="0" collapsed="false">
      <c r="A773" s="29" t="n">
        <v>117600</v>
      </c>
      <c r="B773" s="29" t="s">
        <v>1704</v>
      </c>
      <c r="C773" s="29" t="s">
        <v>1705</v>
      </c>
      <c r="D773" s="29" t="s">
        <v>459</v>
      </c>
      <c r="E773" s="29" t="s">
        <v>460</v>
      </c>
      <c r="F773" s="29" t="s">
        <v>82</v>
      </c>
      <c r="G773" s="29" t="s">
        <v>67</v>
      </c>
      <c r="H773" s="29" t="s">
        <v>1379</v>
      </c>
      <c r="I773" s="29" t="s">
        <v>1855</v>
      </c>
      <c r="J773" s="29" t="n">
        <v>0</v>
      </c>
      <c r="K773" s="29" t="n">
        <v>0</v>
      </c>
      <c r="L773" s="29" t="s">
        <v>1849</v>
      </c>
    </row>
    <row r="774" customFormat="false" ht="15" hidden="false" customHeight="false" outlineLevel="0" collapsed="false">
      <c r="A774" s="29" t="n">
        <v>117600</v>
      </c>
      <c r="B774" s="29" t="s">
        <v>1704</v>
      </c>
      <c r="C774" s="29" t="s">
        <v>1705</v>
      </c>
      <c r="D774" s="29" t="s">
        <v>466</v>
      </c>
      <c r="E774" s="29" t="s">
        <v>467</v>
      </c>
      <c r="F774" s="29" t="s">
        <v>82</v>
      </c>
      <c r="G774" s="29" t="s">
        <v>67</v>
      </c>
      <c r="H774" s="29" t="s">
        <v>1379</v>
      </c>
      <c r="I774" s="29" t="s">
        <v>1855</v>
      </c>
      <c r="J774" s="29" t="n">
        <v>0</v>
      </c>
      <c r="K774" s="29" t="n">
        <v>0</v>
      </c>
      <c r="L774" s="29" t="s">
        <v>1849</v>
      </c>
    </row>
    <row r="775" customFormat="false" ht="15" hidden="false" customHeight="false" outlineLevel="0" collapsed="false">
      <c r="A775" s="29" t="n">
        <v>117600</v>
      </c>
      <c r="B775" s="29" t="s">
        <v>1704</v>
      </c>
      <c r="C775" s="29" t="s">
        <v>1705</v>
      </c>
      <c r="D775" s="29" t="s">
        <v>508</v>
      </c>
      <c r="E775" s="29" t="s">
        <v>509</v>
      </c>
      <c r="F775" s="29" t="s">
        <v>88</v>
      </c>
      <c r="G775" s="29" t="s">
        <v>67</v>
      </c>
      <c r="H775" s="29" t="s">
        <v>1379</v>
      </c>
      <c r="I775" s="29" t="s">
        <v>1850</v>
      </c>
      <c r="J775" s="29" t="n">
        <v>5</v>
      </c>
      <c r="K775" s="29" t="n">
        <v>0</v>
      </c>
      <c r="L775" s="29" t="s">
        <v>1867</v>
      </c>
    </row>
    <row r="776" customFormat="false" ht="15" hidden="false" customHeight="false" outlineLevel="0" collapsed="false">
      <c r="A776" s="29" t="n">
        <v>117600</v>
      </c>
      <c r="B776" s="29" t="s">
        <v>1704</v>
      </c>
      <c r="C776" s="29" t="s">
        <v>1705</v>
      </c>
      <c r="D776" s="29" t="s">
        <v>515</v>
      </c>
      <c r="E776" s="29" t="s">
        <v>516</v>
      </c>
      <c r="F776" s="29" t="s">
        <v>88</v>
      </c>
      <c r="G776" s="29" t="s">
        <v>67</v>
      </c>
      <c r="H776" s="29" t="s">
        <v>1379</v>
      </c>
      <c r="I776" s="29" t="s">
        <v>1850</v>
      </c>
      <c r="J776" s="29" t="n">
        <v>0</v>
      </c>
      <c r="K776" s="29" t="n">
        <v>0</v>
      </c>
      <c r="L776" s="29" t="s">
        <v>1849</v>
      </c>
    </row>
    <row r="777" customFormat="false" ht="15" hidden="false" customHeight="false" outlineLevel="0" collapsed="false">
      <c r="A777" s="29" t="n">
        <v>117600</v>
      </c>
      <c r="B777" s="29" t="s">
        <v>1704</v>
      </c>
      <c r="C777" s="29" t="s">
        <v>1705</v>
      </c>
      <c r="D777" s="29" t="s">
        <v>523</v>
      </c>
      <c r="E777" s="29" t="s">
        <v>524</v>
      </c>
      <c r="F777" s="29" t="s">
        <v>88</v>
      </c>
      <c r="G777" s="29" t="s">
        <v>67</v>
      </c>
      <c r="H777" s="29" t="s">
        <v>1844</v>
      </c>
      <c r="I777" s="29" t="s">
        <v>1856</v>
      </c>
      <c r="J777" s="29" t="n">
        <v>0</v>
      </c>
      <c r="K777" s="29" t="n">
        <v>0</v>
      </c>
      <c r="L777" s="29" t="s">
        <v>1849</v>
      </c>
    </row>
    <row r="778" customFormat="false" ht="15" hidden="false" customHeight="false" outlineLevel="0" collapsed="false">
      <c r="A778" s="29" t="n">
        <v>117600</v>
      </c>
      <c r="B778" s="29" t="s">
        <v>1704</v>
      </c>
      <c r="C778" s="29" t="s">
        <v>1705</v>
      </c>
      <c r="D778" s="29" t="s">
        <v>530</v>
      </c>
      <c r="E778" s="29" t="s">
        <v>531</v>
      </c>
      <c r="F778" s="29" t="s">
        <v>88</v>
      </c>
      <c r="G778" s="29" t="s">
        <v>68</v>
      </c>
      <c r="H778" s="29" t="s">
        <v>1381</v>
      </c>
      <c r="I778" s="29" t="s">
        <v>1847</v>
      </c>
      <c r="J778" s="29" t="n">
        <v>0</v>
      </c>
      <c r="K778" s="29" t="n">
        <v>0</v>
      </c>
      <c r="L778" s="29" t="s">
        <v>1849</v>
      </c>
    </row>
    <row r="779" customFormat="false" ht="15" hidden="false" customHeight="false" outlineLevel="0" collapsed="false">
      <c r="A779" s="29" t="n">
        <v>117600</v>
      </c>
      <c r="B779" s="29" t="s">
        <v>1704</v>
      </c>
      <c r="C779" s="29" t="s">
        <v>1705</v>
      </c>
      <c r="D779" s="29" t="s">
        <v>536</v>
      </c>
      <c r="E779" s="29" t="s">
        <v>537</v>
      </c>
      <c r="F779" s="29" t="s">
        <v>88</v>
      </c>
      <c r="G779" s="29" t="s">
        <v>68</v>
      </c>
      <c r="H779" s="29" t="s">
        <v>1381</v>
      </c>
      <c r="I779" s="29" t="s">
        <v>1847</v>
      </c>
      <c r="J779" s="29" t="n">
        <v>0</v>
      </c>
      <c r="K779" s="29" t="n">
        <v>0</v>
      </c>
      <c r="L779" s="29" t="s">
        <v>1849</v>
      </c>
    </row>
    <row r="780" customFormat="false" ht="15" hidden="false" customHeight="false" outlineLevel="0" collapsed="false">
      <c r="A780" s="29" t="n">
        <v>117600</v>
      </c>
      <c r="B780" s="29" t="s">
        <v>1704</v>
      </c>
      <c r="C780" s="29" t="s">
        <v>1705</v>
      </c>
      <c r="D780" s="29" t="s">
        <v>543</v>
      </c>
      <c r="E780" s="29" t="s">
        <v>544</v>
      </c>
      <c r="F780" s="29" t="s">
        <v>88</v>
      </c>
      <c r="G780" s="29" t="s">
        <v>68</v>
      </c>
      <c r="H780" s="29" t="s">
        <v>1381</v>
      </c>
      <c r="I780" s="29" t="s">
        <v>1847</v>
      </c>
      <c r="J780" s="29" t="n">
        <v>0</v>
      </c>
      <c r="K780" s="29" t="n">
        <v>0</v>
      </c>
      <c r="L780" s="29" t="s">
        <v>1849</v>
      </c>
    </row>
    <row r="781" customFormat="false" ht="15" hidden="false" customHeight="false" outlineLevel="0" collapsed="false">
      <c r="A781" s="29" t="n">
        <v>117600</v>
      </c>
      <c r="B781" s="29" t="s">
        <v>1704</v>
      </c>
      <c r="C781" s="29" t="s">
        <v>1705</v>
      </c>
      <c r="D781" s="29" t="s">
        <v>551</v>
      </c>
      <c r="E781" s="29" t="s">
        <v>552</v>
      </c>
      <c r="F781" s="29" t="s">
        <v>88</v>
      </c>
      <c r="G781" s="29" t="s">
        <v>68</v>
      </c>
      <c r="H781" s="29" t="s">
        <v>1381</v>
      </c>
      <c r="I781" s="29" t="s">
        <v>1857</v>
      </c>
      <c r="J781" s="29" t="n">
        <v>0</v>
      </c>
      <c r="K781" s="29" t="n">
        <v>0</v>
      </c>
      <c r="L781" s="29" t="s">
        <v>1849</v>
      </c>
    </row>
    <row r="782" customFormat="false" ht="15" hidden="false" customHeight="false" outlineLevel="0" collapsed="false">
      <c r="A782" s="29" t="n">
        <v>117600</v>
      </c>
      <c r="B782" s="29" t="s">
        <v>1704</v>
      </c>
      <c r="C782" s="29" t="s">
        <v>1705</v>
      </c>
      <c r="D782" s="29" t="s">
        <v>558</v>
      </c>
      <c r="E782" s="29" t="s">
        <v>559</v>
      </c>
      <c r="F782" s="29" t="s">
        <v>88</v>
      </c>
      <c r="G782" s="29" t="s">
        <v>68</v>
      </c>
      <c r="H782" s="29" t="s">
        <v>1381</v>
      </c>
      <c r="I782" s="29" t="s">
        <v>1856</v>
      </c>
      <c r="J782" s="29" t="n">
        <v>0</v>
      </c>
      <c r="K782" s="29" t="n">
        <v>0</v>
      </c>
      <c r="L782" s="29" t="s">
        <v>1849</v>
      </c>
    </row>
    <row r="783" customFormat="false" ht="15" hidden="false" customHeight="false" outlineLevel="0" collapsed="false">
      <c r="A783" s="29" t="n">
        <v>117600</v>
      </c>
      <c r="B783" s="29" t="s">
        <v>1704</v>
      </c>
      <c r="C783" s="29" t="s">
        <v>1705</v>
      </c>
      <c r="D783" s="29" t="s">
        <v>565</v>
      </c>
      <c r="E783" s="29" t="s">
        <v>566</v>
      </c>
      <c r="F783" s="29" t="s">
        <v>88</v>
      </c>
      <c r="G783" s="29" t="s">
        <v>68</v>
      </c>
      <c r="H783" s="29" t="s">
        <v>1381</v>
      </c>
      <c r="I783" s="29" t="s">
        <v>1856</v>
      </c>
      <c r="J783" s="29" t="n">
        <v>0</v>
      </c>
      <c r="K783" s="29" t="n">
        <v>0</v>
      </c>
      <c r="L783" s="29" t="s">
        <v>1849</v>
      </c>
    </row>
    <row r="784" customFormat="false" ht="15" hidden="false" customHeight="false" outlineLevel="0" collapsed="false">
      <c r="A784" s="29" t="n">
        <v>117600</v>
      </c>
      <c r="B784" s="29" t="s">
        <v>1704</v>
      </c>
      <c r="C784" s="29" t="s">
        <v>1705</v>
      </c>
      <c r="D784" s="29" t="s">
        <v>572</v>
      </c>
      <c r="E784" s="29" t="s">
        <v>573</v>
      </c>
      <c r="F784" s="29" t="s">
        <v>88</v>
      </c>
      <c r="G784" s="29" t="s">
        <v>68</v>
      </c>
      <c r="H784" s="29" t="s">
        <v>1381</v>
      </c>
      <c r="I784" s="29" t="s">
        <v>1847</v>
      </c>
      <c r="J784" s="29" t="n">
        <v>0</v>
      </c>
      <c r="K784" s="29" t="n">
        <v>0</v>
      </c>
      <c r="L784" s="29" t="s">
        <v>1849</v>
      </c>
    </row>
    <row r="785" customFormat="false" ht="15" hidden="false" customHeight="false" outlineLevel="0" collapsed="false">
      <c r="A785" s="29" t="n">
        <v>117600</v>
      </c>
      <c r="B785" s="29" t="s">
        <v>1704</v>
      </c>
      <c r="C785" s="29" t="s">
        <v>1705</v>
      </c>
      <c r="D785" s="29" t="s">
        <v>581</v>
      </c>
      <c r="E785" s="29" t="s">
        <v>582</v>
      </c>
      <c r="F785" s="29" t="s">
        <v>93</v>
      </c>
      <c r="G785" s="29" t="s">
        <v>67</v>
      </c>
      <c r="H785" s="29" t="s">
        <v>1844</v>
      </c>
      <c r="I785" s="29" t="s">
        <v>1858</v>
      </c>
      <c r="J785" s="29" t="n">
        <v>0</v>
      </c>
      <c r="K785" s="29" t="n">
        <v>0</v>
      </c>
      <c r="L785" s="29" t="s">
        <v>1849</v>
      </c>
    </row>
    <row r="786" customFormat="false" ht="15" hidden="false" customHeight="false" outlineLevel="0" collapsed="false">
      <c r="A786" s="29" t="n">
        <v>117600</v>
      </c>
      <c r="B786" s="29" t="s">
        <v>1704</v>
      </c>
      <c r="C786" s="29" t="s">
        <v>1705</v>
      </c>
      <c r="D786" s="29" t="s">
        <v>590</v>
      </c>
      <c r="E786" s="29" t="s">
        <v>591</v>
      </c>
      <c r="F786" s="29" t="s">
        <v>93</v>
      </c>
      <c r="G786" s="29" t="s">
        <v>67</v>
      </c>
      <c r="H786" s="29" t="s">
        <v>1844</v>
      </c>
      <c r="I786" s="29" t="s">
        <v>1859</v>
      </c>
      <c r="J786" s="29" t="n">
        <v>0</v>
      </c>
      <c r="K786" s="29" t="n">
        <v>7</v>
      </c>
      <c r="L786" s="29" t="s">
        <v>1866</v>
      </c>
    </row>
    <row r="787" customFormat="false" ht="15" hidden="false" customHeight="false" outlineLevel="0" collapsed="false">
      <c r="A787" s="29" t="n">
        <v>117600</v>
      </c>
      <c r="B787" s="29" t="s">
        <v>1704</v>
      </c>
      <c r="C787" s="29" t="s">
        <v>1705</v>
      </c>
      <c r="D787" s="29" t="s">
        <v>597</v>
      </c>
      <c r="E787" s="29" t="s">
        <v>598</v>
      </c>
      <c r="F787" s="29" t="s">
        <v>93</v>
      </c>
      <c r="G787" s="29" t="s">
        <v>67</v>
      </c>
      <c r="H787" s="29" t="s">
        <v>1844</v>
      </c>
      <c r="I787" s="29" t="s">
        <v>1859</v>
      </c>
      <c r="J787" s="29" t="n">
        <v>0</v>
      </c>
      <c r="K787" s="29" t="n">
        <v>7</v>
      </c>
      <c r="L787" s="29" t="s">
        <v>1866</v>
      </c>
    </row>
    <row r="788" customFormat="false" ht="15" hidden="false" customHeight="false" outlineLevel="0" collapsed="false">
      <c r="A788" s="29" t="n">
        <v>117600</v>
      </c>
      <c r="B788" s="29" t="s">
        <v>1704</v>
      </c>
      <c r="C788" s="29" t="s">
        <v>1705</v>
      </c>
      <c r="D788" s="29" t="s">
        <v>604</v>
      </c>
      <c r="E788" s="29" t="s">
        <v>605</v>
      </c>
      <c r="F788" s="29" t="s">
        <v>93</v>
      </c>
      <c r="G788" s="29" t="s">
        <v>68</v>
      </c>
      <c r="H788" s="29" t="s">
        <v>1381</v>
      </c>
      <c r="I788" s="29" t="s">
        <v>1859</v>
      </c>
      <c r="J788" s="29" t="n">
        <v>0</v>
      </c>
      <c r="K788" s="29" t="n">
        <v>0</v>
      </c>
      <c r="L788" s="29" t="s">
        <v>1849</v>
      </c>
    </row>
    <row r="789" customFormat="false" ht="15" hidden="false" customHeight="false" outlineLevel="0" collapsed="false">
      <c r="A789" s="29" t="n">
        <v>117600</v>
      </c>
      <c r="B789" s="29" t="s">
        <v>1704</v>
      </c>
      <c r="C789" s="29" t="s">
        <v>1705</v>
      </c>
      <c r="D789" s="29" t="s">
        <v>612</v>
      </c>
      <c r="E789" s="29" t="s">
        <v>613</v>
      </c>
      <c r="F789" s="29" t="s">
        <v>93</v>
      </c>
      <c r="G789" s="29" t="s">
        <v>68</v>
      </c>
      <c r="H789" s="29" t="s">
        <v>1381</v>
      </c>
      <c r="I789" s="29" t="s">
        <v>1859</v>
      </c>
      <c r="J789" s="29" t="n">
        <v>0</v>
      </c>
      <c r="K789" s="29" t="n">
        <v>0</v>
      </c>
      <c r="L789" s="29" t="s">
        <v>1849</v>
      </c>
    </row>
    <row r="790" customFormat="false" ht="15" hidden="false" customHeight="false" outlineLevel="0" collapsed="false">
      <c r="A790" s="29" t="n">
        <v>117600</v>
      </c>
      <c r="B790" s="29" t="s">
        <v>1704</v>
      </c>
      <c r="C790" s="29" t="s">
        <v>1705</v>
      </c>
      <c r="D790" s="29" t="s">
        <v>618</v>
      </c>
      <c r="E790" s="29" t="s">
        <v>619</v>
      </c>
      <c r="F790" s="29" t="s">
        <v>93</v>
      </c>
      <c r="G790" s="29" t="s">
        <v>68</v>
      </c>
      <c r="H790" s="29" t="s">
        <v>1381</v>
      </c>
      <c r="I790" s="29" t="s">
        <v>1859</v>
      </c>
      <c r="J790" s="29" t="n">
        <v>0</v>
      </c>
      <c r="K790" s="29" t="n">
        <v>0</v>
      </c>
      <c r="L790" s="29" t="s">
        <v>1849</v>
      </c>
    </row>
    <row r="791" customFormat="false" ht="15" hidden="false" customHeight="false" outlineLevel="0" collapsed="false">
      <c r="A791" s="29" t="n">
        <v>117600</v>
      </c>
      <c r="B791" s="29" t="s">
        <v>1704</v>
      </c>
      <c r="C791" s="29" t="s">
        <v>1705</v>
      </c>
      <c r="D791" s="29" t="s">
        <v>627</v>
      </c>
      <c r="E791" s="29" t="s">
        <v>628</v>
      </c>
      <c r="F791" s="29" t="s">
        <v>93</v>
      </c>
      <c r="G791" s="29" t="s">
        <v>68</v>
      </c>
      <c r="H791" s="29" t="s">
        <v>1381</v>
      </c>
      <c r="I791" s="29" t="s">
        <v>1858</v>
      </c>
      <c r="J791" s="29" t="n">
        <v>0</v>
      </c>
      <c r="K791" s="29" t="n">
        <v>0</v>
      </c>
      <c r="L791" s="29" t="s">
        <v>1849</v>
      </c>
    </row>
    <row r="792" customFormat="false" ht="15" hidden="false" customHeight="false" outlineLevel="0" collapsed="false">
      <c r="A792" s="29" t="n">
        <v>117600</v>
      </c>
      <c r="B792" s="29" t="s">
        <v>1704</v>
      </c>
      <c r="C792" s="29" t="s">
        <v>1705</v>
      </c>
      <c r="D792" s="29" t="s">
        <v>636</v>
      </c>
      <c r="E792" s="29" t="s">
        <v>637</v>
      </c>
      <c r="F792" s="29" t="s">
        <v>93</v>
      </c>
      <c r="G792" s="29" t="s">
        <v>68</v>
      </c>
      <c r="H792" s="29" t="s">
        <v>1381</v>
      </c>
      <c r="I792" s="29" t="s">
        <v>1858</v>
      </c>
      <c r="J792" s="29" t="n">
        <v>0</v>
      </c>
      <c r="K792" s="29" t="n">
        <v>0</v>
      </c>
      <c r="L792" s="29" t="s">
        <v>1849</v>
      </c>
    </row>
    <row r="793" customFormat="false" ht="15" hidden="false" customHeight="false" outlineLevel="0" collapsed="false">
      <c r="A793" s="29" t="n">
        <v>117600</v>
      </c>
      <c r="B793" s="29" t="s">
        <v>1704</v>
      </c>
      <c r="C793" s="29" t="s">
        <v>1705</v>
      </c>
      <c r="D793" s="29" t="s">
        <v>668</v>
      </c>
      <c r="E793" s="29" t="s">
        <v>669</v>
      </c>
      <c r="F793" s="29" t="s">
        <v>105</v>
      </c>
      <c r="G793" s="29" t="s">
        <v>66</v>
      </c>
      <c r="H793" s="29" t="s">
        <v>1379</v>
      </c>
      <c r="I793" s="29" t="s">
        <v>1854</v>
      </c>
      <c r="J793" s="29" t="n">
        <v>0</v>
      </c>
      <c r="K793" s="29" t="n">
        <v>0</v>
      </c>
      <c r="L793" s="29" t="s">
        <v>1849</v>
      </c>
    </row>
    <row r="794" customFormat="false" ht="15" hidden="false" customHeight="false" outlineLevel="0" collapsed="false">
      <c r="A794" s="29" t="n">
        <v>117600</v>
      </c>
      <c r="B794" s="29" t="s">
        <v>1704</v>
      </c>
      <c r="C794" s="29" t="s">
        <v>1705</v>
      </c>
      <c r="D794" s="29" t="s">
        <v>680</v>
      </c>
      <c r="E794" s="29" t="s">
        <v>681</v>
      </c>
      <c r="F794" s="29" t="s">
        <v>105</v>
      </c>
      <c r="G794" s="29" t="s">
        <v>66</v>
      </c>
      <c r="H794" s="29" t="s">
        <v>1379</v>
      </c>
      <c r="I794" s="29" t="s">
        <v>1854</v>
      </c>
      <c r="J794" s="29" t="n">
        <v>0</v>
      </c>
      <c r="K794" s="29" t="n">
        <v>0</v>
      </c>
      <c r="L794" s="29" t="s">
        <v>1849</v>
      </c>
    </row>
    <row r="795" customFormat="false" ht="15" hidden="false" customHeight="false" outlineLevel="0" collapsed="false">
      <c r="A795" s="29" t="n">
        <v>117600</v>
      </c>
      <c r="B795" s="29" t="s">
        <v>1704</v>
      </c>
      <c r="C795" s="29" t="s">
        <v>1705</v>
      </c>
      <c r="D795" s="29" t="s">
        <v>711</v>
      </c>
      <c r="E795" s="29" t="s">
        <v>712</v>
      </c>
      <c r="F795" s="29" t="s">
        <v>116</v>
      </c>
      <c r="G795" s="29" t="s">
        <v>66</v>
      </c>
      <c r="H795" s="29" t="s">
        <v>1379</v>
      </c>
      <c r="I795" s="29" t="s">
        <v>1854</v>
      </c>
      <c r="J795" s="29" t="n">
        <v>0</v>
      </c>
      <c r="K795" s="29" t="n">
        <v>6</v>
      </c>
      <c r="L795" s="29" t="s">
        <v>1866</v>
      </c>
    </row>
    <row r="796" customFormat="false" ht="15" hidden="false" customHeight="false" outlineLevel="0" collapsed="false">
      <c r="A796" s="29" t="n">
        <v>117600</v>
      </c>
      <c r="B796" s="29" t="s">
        <v>1704</v>
      </c>
      <c r="C796" s="29" t="s">
        <v>1705</v>
      </c>
      <c r="D796" s="29" t="s">
        <v>721</v>
      </c>
      <c r="E796" s="29" t="s">
        <v>722</v>
      </c>
      <c r="F796" s="29" t="s">
        <v>116</v>
      </c>
      <c r="G796" s="29" t="s">
        <v>66</v>
      </c>
      <c r="H796" s="29" t="s">
        <v>1379</v>
      </c>
      <c r="I796" s="29" t="s">
        <v>1854</v>
      </c>
      <c r="J796" s="29" t="n">
        <v>0</v>
      </c>
      <c r="K796" s="29" t="n">
        <v>0</v>
      </c>
      <c r="L796" s="29" t="s">
        <v>1849</v>
      </c>
    </row>
    <row r="797" customFormat="false" ht="15" hidden="false" customHeight="false" outlineLevel="0" collapsed="false">
      <c r="A797" s="29" t="n">
        <v>117600</v>
      </c>
      <c r="B797" s="29" t="s">
        <v>1704</v>
      </c>
      <c r="C797" s="29" t="s">
        <v>1705</v>
      </c>
      <c r="D797" s="29" t="s">
        <v>729</v>
      </c>
      <c r="E797" s="29" t="s">
        <v>730</v>
      </c>
      <c r="F797" s="29" t="s">
        <v>116</v>
      </c>
      <c r="G797" s="29" t="s">
        <v>67</v>
      </c>
      <c r="H797" s="29" t="s">
        <v>1844</v>
      </c>
      <c r="I797" s="29" t="s">
        <v>1879</v>
      </c>
      <c r="J797" s="29" t="n">
        <v>0</v>
      </c>
      <c r="K797" s="29" t="n">
        <v>0</v>
      </c>
      <c r="L797" s="29" t="s">
        <v>1849</v>
      </c>
    </row>
    <row r="798" customFormat="false" ht="15" hidden="false" customHeight="false" outlineLevel="0" collapsed="false">
      <c r="A798" s="29" t="n">
        <v>117600</v>
      </c>
      <c r="B798" s="29" t="s">
        <v>1704</v>
      </c>
      <c r="C798" s="29" t="s">
        <v>1705</v>
      </c>
      <c r="D798" s="29" t="s">
        <v>737</v>
      </c>
      <c r="E798" s="29" t="s">
        <v>738</v>
      </c>
      <c r="F798" s="29" t="s">
        <v>116</v>
      </c>
      <c r="G798" s="29" t="s">
        <v>67</v>
      </c>
      <c r="H798" s="29" t="s">
        <v>1844</v>
      </c>
      <c r="I798" s="29" t="s">
        <v>1879</v>
      </c>
      <c r="J798" s="29" t="n">
        <v>0</v>
      </c>
      <c r="K798" s="29" t="n">
        <v>0</v>
      </c>
      <c r="L798" s="29" t="s">
        <v>1849</v>
      </c>
    </row>
    <row r="799" customFormat="false" ht="15" hidden="false" customHeight="false" outlineLevel="0" collapsed="false">
      <c r="A799" s="29" t="n">
        <v>117600</v>
      </c>
      <c r="B799" s="29" t="s">
        <v>1704</v>
      </c>
      <c r="C799" s="29" t="s">
        <v>1705</v>
      </c>
      <c r="D799" s="29" t="s">
        <v>745</v>
      </c>
      <c r="E799" s="29" t="s">
        <v>746</v>
      </c>
      <c r="F799" s="29" t="s">
        <v>116</v>
      </c>
      <c r="G799" s="29" t="s">
        <v>67</v>
      </c>
      <c r="H799" s="29" t="s">
        <v>1844</v>
      </c>
      <c r="I799" s="29" t="s">
        <v>1860</v>
      </c>
      <c r="J799" s="29" t="n">
        <v>0</v>
      </c>
      <c r="K799" s="29" t="n">
        <v>0</v>
      </c>
      <c r="L799" s="29" t="s">
        <v>1849</v>
      </c>
    </row>
    <row r="800" customFormat="false" ht="15" hidden="false" customHeight="false" outlineLevel="0" collapsed="false">
      <c r="A800" s="29" t="n">
        <v>117600</v>
      </c>
      <c r="B800" s="29" t="s">
        <v>1704</v>
      </c>
      <c r="C800" s="29" t="s">
        <v>1705</v>
      </c>
      <c r="D800" s="29" t="s">
        <v>753</v>
      </c>
      <c r="E800" s="29" t="s">
        <v>754</v>
      </c>
      <c r="F800" s="29" t="s">
        <v>116</v>
      </c>
      <c r="G800" s="29" t="s">
        <v>68</v>
      </c>
      <c r="H800" s="29" t="s">
        <v>1381</v>
      </c>
      <c r="I800" s="29" t="s">
        <v>1860</v>
      </c>
      <c r="J800" s="29" t="n">
        <v>0</v>
      </c>
      <c r="K800" s="29" t="n">
        <v>0</v>
      </c>
      <c r="L800" s="29" t="s">
        <v>1849</v>
      </c>
    </row>
    <row r="801" customFormat="false" ht="15" hidden="false" customHeight="false" outlineLevel="0" collapsed="false">
      <c r="A801" s="29" t="n">
        <v>120055</v>
      </c>
      <c r="B801" s="29" t="s">
        <v>1707</v>
      </c>
      <c r="C801" s="29" t="s">
        <v>1708</v>
      </c>
      <c r="D801" s="29" t="s">
        <v>247</v>
      </c>
      <c r="E801" s="29" t="s">
        <v>248</v>
      </c>
      <c r="F801" s="29" t="s">
        <v>69</v>
      </c>
      <c r="G801" s="29" t="s">
        <v>67</v>
      </c>
      <c r="H801" s="29" t="s">
        <v>1844</v>
      </c>
      <c r="I801" s="29" t="s">
        <v>1848</v>
      </c>
      <c r="J801" s="29" t="n">
        <v>0</v>
      </c>
      <c r="K801" s="29" t="n">
        <v>0</v>
      </c>
      <c r="L801" s="29" t="s">
        <v>1849</v>
      </c>
    </row>
    <row r="802" customFormat="false" ht="15" hidden="false" customHeight="false" outlineLevel="0" collapsed="false">
      <c r="A802" s="29" t="n">
        <v>120055</v>
      </c>
      <c r="B802" s="29" t="s">
        <v>1707</v>
      </c>
      <c r="C802" s="29" t="s">
        <v>1708</v>
      </c>
      <c r="D802" s="29" t="s">
        <v>277</v>
      </c>
      <c r="E802" s="29" t="s">
        <v>278</v>
      </c>
      <c r="F802" s="29" t="s">
        <v>69</v>
      </c>
      <c r="G802" s="29" t="s">
        <v>67</v>
      </c>
      <c r="H802" s="29" t="s">
        <v>1379</v>
      </c>
      <c r="I802" s="29" t="s">
        <v>1850</v>
      </c>
      <c r="J802" s="29" t="n">
        <v>0</v>
      </c>
      <c r="K802" s="29" t="n">
        <v>0</v>
      </c>
      <c r="L802" s="29" t="s">
        <v>1849</v>
      </c>
    </row>
    <row r="803" customFormat="false" ht="15" hidden="false" customHeight="false" outlineLevel="0" collapsed="false">
      <c r="A803" s="29" t="n">
        <v>120055</v>
      </c>
      <c r="B803" s="29" t="s">
        <v>1707</v>
      </c>
      <c r="C803" s="29" t="s">
        <v>1708</v>
      </c>
      <c r="D803" s="29" t="s">
        <v>297</v>
      </c>
      <c r="E803" s="29" t="s">
        <v>298</v>
      </c>
      <c r="F803" s="29" t="s">
        <v>69</v>
      </c>
      <c r="G803" s="29" t="s">
        <v>68</v>
      </c>
      <c r="H803" s="29" t="s">
        <v>1381</v>
      </c>
      <c r="I803" s="29" t="s">
        <v>1848</v>
      </c>
      <c r="J803" s="29" t="n">
        <v>0</v>
      </c>
      <c r="K803" s="29" t="n">
        <v>0</v>
      </c>
      <c r="L803" s="29" t="s">
        <v>1849</v>
      </c>
    </row>
    <row r="804" customFormat="false" ht="15" hidden="false" customHeight="false" outlineLevel="0" collapsed="false">
      <c r="A804" s="29" t="n">
        <v>120055</v>
      </c>
      <c r="B804" s="29" t="s">
        <v>1707</v>
      </c>
      <c r="C804" s="29" t="s">
        <v>1708</v>
      </c>
      <c r="D804" s="29" t="s">
        <v>304</v>
      </c>
      <c r="E804" s="29" t="s">
        <v>305</v>
      </c>
      <c r="F804" s="29" t="s">
        <v>69</v>
      </c>
      <c r="G804" s="29" t="s">
        <v>68</v>
      </c>
      <c r="H804" s="29" t="s">
        <v>1381</v>
      </c>
      <c r="I804" s="29" t="s">
        <v>1851</v>
      </c>
      <c r="J804" s="29" t="n">
        <v>0</v>
      </c>
      <c r="K804" s="29" t="n">
        <v>0</v>
      </c>
      <c r="L804" s="29" t="s">
        <v>1849</v>
      </c>
    </row>
    <row r="805" customFormat="false" ht="15" hidden="false" customHeight="false" outlineLevel="0" collapsed="false">
      <c r="A805" s="29" t="n">
        <v>120055</v>
      </c>
      <c r="B805" s="29" t="s">
        <v>1707</v>
      </c>
      <c r="C805" s="29" t="s">
        <v>1708</v>
      </c>
      <c r="D805" s="29" t="s">
        <v>311</v>
      </c>
      <c r="E805" s="29" t="s">
        <v>312</v>
      </c>
      <c r="F805" s="29" t="s">
        <v>69</v>
      </c>
      <c r="G805" s="29" t="s">
        <v>68</v>
      </c>
      <c r="H805" s="29" t="s">
        <v>1381</v>
      </c>
      <c r="I805" s="29" t="s">
        <v>1851</v>
      </c>
      <c r="J805" s="29" t="n">
        <v>0</v>
      </c>
      <c r="K805" s="29" t="n">
        <v>0</v>
      </c>
      <c r="L805" s="29" t="s">
        <v>1849</v>
      </c>
    </row>
    <row r="806" customFormat="false" ht="15" hidden="false" customHeight="false" outlineLevel="0" collapsed="false">
      <c r="A806" s="29" t="n">
        <v>120055</v>
      </c>
      <c r="B806" s="29" t="s">
        <v>1707</v>
      </c>
      <c r="C806" s="29" t="s">
        <v>1708</v>
      </c>
      <c r="D806" s="29" t="s">
        <v>325</v>
      </c>
      <c r="E806" s="29" t="s">
        <v>326</v>
      </c>
      <c r="F806" s="29" t="s">
        <v>76</v>
      </c>
      <c r="G806" s="29" t="s">
        <v>67</v>
      </c>
      <c r="H806" s="29" t="s">
        <v>1844</v>
      </c>
      <c r="I806" s="29" t="s">
        <v>1852</v>
      </c>
      <c r="J806" s="29" t="n">
        <v>0</v>
      </c>
      <c r="K806" s="29" t="n">
        <v>3</v>
      </c>
      <c r="L806" s="29" t="s">
        <v>1866</v>
      </c>
    </row>
    <row r="807" customFormat="false" ht="15" hidden="false" customHeight="false" outlineLevel="0" collapsed="false">
      <c r="A807" s="29" t="n">
        <v>120055</v>
      </c>
      <c r="B807" s="29" t="s">
        <v>1707</v>
      </c>
      <c r="C807" s="29" t="s">
        <v>1708</v>
      </c>
      <c r="D807" s="29" t="s">
        <v>336</v>
      </c>
      <c r="E807" s="29" t="s">
        <v>337</v>
      </c>
      <c r="F807" s="29" t="s">
        <v>76</v>
      </c>
      <c r="G807" s="29" t="s">
        <v>67</v>
      </c>
      <c r="H807" s="29" t="s">
        <v>1844</v>
      </c>
      <c r="I807" s="29" t="s">
        <v>1852</v>
      </c>
      <c r="J807" s="29" t="n">
        <v>0</v>
      </c>
      <c r="K807" s="29" t="n">
        <v>0</v>
      </c>
      <c r="L807" s="29" t="s">
        <v>1849</v>
      </c>
    </row>
    <row r="808" customFormat="false" ht="15" hidden="false" customHeight="false" outlineLevel="0" collapsed="false">
      <c r="A808" s="29" t="n">
        <v>120055</v>
      </c>
      <c r="B808" s="29" t="s">
        <v>1707</v>
      </c>
      <c r="C808" s="29" t="s">
        <v>1708</v>
      </c>
      <c r="D808" s="29" t="s">
        <v>403</v>
      </c>
      <c r="E808" s="29" t="s">
        <v>404</v>
      </c>
      <c r="F808" s="29" t="s">
        <v>76</v>
      </c>
      <c r="G808" s="29" t="s">
        <v>68</v>
      </c>
      <c r="H808" s="29" t="s">
        <v>1381</v>
      </c>
      <c r="I808" s="29" t="s">
        <v>1852</v>
      </c>
      <c r="J808" s="29" t="n">
        <v>0</v>
      </c>
      <c r="K808" s="29" t="n">
        <v>0</v>
      </c>
      <c r="L808" s="29" t="s">
        <v>1849</v>
      </c>
    </row>
    <row r="809" customFormat="false" ht="15" hidden="false" customHeight="false" outlineLevel="0" collapsed="false">
      <c r="A809" s="29" t="n">
        <v>120055</v>
      </c>
      <c r="B809" s="29" t="s">
        <v>1707</v>
      </c>
      <c r="C809" s="29" t="s">
        <v>1708</v>
      </c>
      <c r="D809" s="29" t="s">
        <v>433</v>
      </c>
      <c r="E809" s="29" t="s">
        <v>434</v>
      </c>
      <c r="F809" s="29" t="s">
        <v>82</v>
      </c>
      <c r="G809" s="29" t="s">
        <v>66</v>
      </c>
      <c r="H809" s="29" t="s">
        <v>1379</v>
      </c>
      <c r="I809" s="29" t="s">
        <v>1854</v>
      </c>
      <c r="J809" s="29" t="n">
        <v>0</v>
      </c>
      <c r="K809" s="29" t="n">
        <v>0</v>
      </c>
      <c r="L809" s="29" t="s">
        <v>1849</v>
      </c>
    </row>
    <row r="810" customFormat="false" ht="15" hidden="false" customHeight="false" outlineLevel="0" collapsed="false">
      <c r="A810" s="29" t="n">
        <v>120055</v>
      </c>
      <c r="B810" s="29" t="s">
        <v>1707</v>
      </c>
      <c r="C810" s="29" t="s">
        <v>1708</v>
      </c>
      <c r="D810" s="29" t="s">
        <v>451</v>
      </c>
      <c r="E810" s="29" t="s">
        <v>452</v>
      </c>
      <c r="F810" s="29" t="s">
        <v>82</v>
      </c>
      <c r="G810" s="29" t="s">
        <v>67</v>
      </c>
      <c r="H810" s="29" t="s">
        <v>1379</v>
      </c>
      <c r="I810" s="29" t="s">
        <v>1855</v>
      </c>
      <c r="J810" s="29" t="n">
        <v>0</v>
      </c>
      <c r="K810" s="29" t="n">
        <v>0</v>
      </c>
      <c r="L810" s="29" t="s">
        <v>1849</v>
      </c>
    </row>
    <row r="811" customFormat="false" ht="15" hidden="false" customHeight="false" outlineLevel="0" collapsed="false">
      <c r="A811" s="29" t="n">
        <v>120055</v>
      </c>
      <c r="B811" s="29" t="s">
        <v>1707</v>
      </c>
      <c r="C811" s="29" t="s">
        <v>1708</v>
      </c>
      <c r="D811" s="29" t="s">
        <v>459</v>
      </c>
      <c r="E811" s="29" t="s">
        <v>460</v>
      </c>
      <c r="F811" s="29" t="s">
        <v>82</v>
      </c>
      <c r="G811" s="29" t="s">
        <v>67</v>
      </c>
      <c r="H811" s="29" t="s">
        <v>1379</v>
      </c>
      <c r="I811" s="29" t="s">
        <v>1855</v>
      </c>
      <c r="J811" s="29" t="n">
        <v>0</v>
      </c>
      <c r="K811" s="29" t="n">
        <v>0</v>
      </c>
      <c r="L811" s="29" t="s">
        <v>1849</v>
      </c>
    </row>
    <row r="812" customFormat="false" ht="15" hidden="false" customHeight="false" outlineLevel="0" collapsed="false">
      <c r="A812" s="29" t="n">
        <v>120055</v>
      </c>
      <c r="B812" s="29" t="s">
        <v>1707</v>
      </c>
      <c r="C812" s="29" t="s">
        <v>1708</v>
      </c>
      <c r="D812" s="29" t="s">
        <v>466</v>
      </c>
      <c r="E812" s="29" t="s">
        <v>467</v>
      </c>
      <c r="F812" s="29" t="s">
        <v>82</v>
      </c>
      <c r="G812" s="29" t="s">
        <v>67</v>
      </c>
      <c r="H812" s="29" t="s">
        <v>1379</v>
      </c>
      <c r="I812" s="29" t="s">
        <v>1855</v>
      </c>
      <c r="J812" s="29" t="n">
        <v>0</v>
      </c>
      <c r="K812" s="29" t="n">
        <v>0</v>
      </c>
      <c r="L812" s="29" t="s">
        <v>1849</v>
      </c>
    </row>
    <row r="813" customFormat="false" ht="15" hidden="false" customHeight="false" outlineLevel="0" collapsed="false">
      <c r="A813" s="29" t="n">
        <v>120055</v>
      </c>
      <c r="B813" s="29" t="s">
        <v>1707</v>
      </c>
      <c r="C813" s="29" t="s">
        <v>1708</v>
      </c>
      <c r="D813" s="29" t="s">
        <v>508</v>
      </c>
      <c r="E813" s="29" t="s">
        <v>509</v>
      </c>
      <c r="F813" s="29" t="s">
        <v>88</v>
      </c>
      <c r="G813" s="29" t="s">
        <v>67</v>
      </c>
      <c r="H813" s="29" t="s">
        <v>1379</v>
      </c>
      <c r="I813" s="29" t="s">
        <v>1850</v>
      </c>
      <c r="J813" s="29" t="n">
        <v>4</v>
      </c>
      <c r="K813" s="29" t="n">
        <v>0</v>
      </c>
      <c r="L813" s="29" t="s">
        <v>1867</v>
      </c>
    </row>
    <row r="814" customFormat="false" ht="15" hidden="false" customHeight="false" outlineLevel="0" collapsed="false">
      <c r="A814" s="29" t="n">
        <v>120055</v>
      </c>
      <c r="B814" s="29" t="s">
        <v>1707</v>
      </c>
      <c r="C814" s="29" t="s">
        <v>1708</v>
      </c>
      <c r="D814" s="29" t="s">
        <v>515</v>
      </c>
      <c r="E814" s="29" t="s">
        <v>516</v>
      </c>
      <c r="F814" s="29" t="s">
        <v>88</v>
      </c>
      <c r="G814" s="29" t="s">
        <v>67</v>
      </c>
      <c r="H814" s="29" t="s">
        <v>1379</v>
      </c>
      <c r="I814" s="29" t="s">
        <v>1850</v>
      </c>
      <c r="J814" s="29" t="n">
        <v>0</v>
      </c>
      <c r="K814" s="29" t="n">
        <v>0</v>
      </c>
      <c r="L814" s="29" t="s">
        <v>1849</v>
      </c>
    </row>
    <row r="815" customFormat="false" ht="15" hidden="false" customHeight="false" outlineLevel="0" collapsed="false">
      <c r="A815" s="29" t="n">
        <v>120055</v>
      </c>
      <c r="B815" s="29" t="s">
        <v>1707</v>
      </c>
      <c r="C815" s="29" t="s">
        <v>1708</v>
      </c>
      <c r="D815" s="29" t="s">
        <v>530</v>
      </c>
      <c r="E815" s="29" t="s">
        <v>531</v>
      </c>
      <c r="F815" s="29" t="s">
        <v>88</v>
      </c>
      <c r="G815" s="29" t="s">
        <v>68</v>
      </c>
      <c r="H815" s="29" t="s">
        <v>1381</v>
      </c>
      <c r="I815" s="29" t="s">
        <v>1847</v>
      </c>
      <c r="J815" s="29" t="n">
        <v>0</v>
      </c>
      <c r="K815" s="29" t="n">
        <v>0</v>
      </c>
      <c r="L815" s="29" t="s">
        <v>1849</v>
      </c>
    </row>
    <row r="816" customFormat="false" ht="15" hidden="false" customHeight="false" outlineLevel="0" collapsed="false">
      <c r="A816" s="29" t="n">
        <v>120055</v>
      </c>
      <c r="B816" s="29" t="s">
        <v>1707</v>
      </c>
      <c r="C816" s="29" t="s">
        <v>1708</v>
      </c>
      <c r="D816" s="29" t="s">
        <v>536</v>
      </c>
      <c r="E816" s="29" t="s">
        <v>537</v>
      </c>
      <c r="F816" s="29" t="s">
        <v>88</v>
      </c>
      <c r="G816" s="29" t="s">
        <v>68</v>
      </c>
      <c r="H816" s="29" t="s">
        <v>1381</v>
      </c>
      <c r="I816" s="29" t="s">
        <v>1847</v>
      </c>
      <c r="J816" s="29" t="n">
        <v>0</v>
      </c>
      <c r="K816" s="29" t="n">
        <v>0</v>
      </c>
      <c r="L816" s="29" t="s">
        <v>1849</v>
      </c>
    </row>
    <row r="817" customFormat="false" ht="15" hidden="false" customHeight="false" outlineLevel="0" collapsed="false">
      <c r="A817" s="29" t="n">
        <v>120055</v>
      </c>
      <c r="B817" s="29" t="s">
        <v>1707</v>
      </c>
      <c r="C817" s="29" t="s">
        <v>1708</v>
      </c>
      <c r="D817" s="29" t="s">
        <v>543</v>
      </c>
      <c r="E817" s="29" t="s">
        <v>544</v>
      </c>
      <c r="F817" s="29" t="s">
        <v>88</v>
      </c>
      <c r="G817" s="29" t="s">
        <v>68</v>
      </c>
      <c r="H817" s="29" t="s">
        <v>1381</v>
      </c>
      <c r="I817" s="29" t="s">
        <v>1847</v>
      </c>
      <c r="J817" s="29" t="n">
        <v>0</v>
      </c>
      <c r="K817" s="29" t="n">
        <v>0</v>
      </c>
      <c r="L817" s="29" t="s">
        <v>1849</v>
      </c>
    </row>
    <row r="818" customFormat="false" ht="15" hidden="false" customHeight="false" outlineLevel="0" collapsed="false">
      <c r="A818" s="29" t="n">
        <v>120055</v>
      </c>
      <c r="B818" s="29" t="s">
        <v>1707</v>
      </c>
      <c r="C818" s="29" t="s">
        <v>1708</v>
      </c>
      <c r="D818" s="29" t="s">
        <v>551</v>
      </c>
      <c r="E818" s="29" t="s">
        <v>552</v>
      </c>
      <c r="F818" s="29" t="s">
        <v>88</v>
      </c>
      <c r="G818" s="29" t="s">
        <v>68</v>
      </c>
      <c r="H818" s="29" t="s">
        <v>1381</v>
      </c>
      <c r="I818" s="29" t="s">
        <v>1847</v>
      </c>
      <c r="J818" s="29" t="n">
        <v>0</v>
      </c>
      <c r="K818" s="29" t="n">
        <v>0</v>
      </c>
      <c r="L818" s="29" t="s">
        <v>1849</v>
      </c>
    </row>
    <row r="819" customFormat="false" ht="15" hidden="false" customHeight="false" outlineLevel="0" collapsed="false">
      <c r="A819" s="29" t="n">
        <v>120055</v>
      </c>
      <c r="B819" s="29" t="s">
        <v>1707</v>
      </c>
      <c r="C819" s="29" t="s">
        <v>1708</v>
      </c>
      <c r="D819" s="29" t="s">
        <v>572</v>
      </c>
      <c r="E819" s="29" t="s">
        <v>573</v>
      </c>
      <c r="F819" s="29" t="s">
        <v>88</v>
      </c>
      <c r="G819" s="29" t="s">
        <v>68</v>
      </c>
      <c r="H819" s="29" t="s">
        <v>1381</v>
      </c>
      <c r="I819" s="29" t="s">
        <v>1847</v>
      </c>
      <c r="J819" s="29" t="n">
        <v>0</v>
      </c>
      <c r="K819" s="29" t="n">
        <v>0</v>
      </c>
      <c r="L819" s="29" t="s">
        <v>1849</v>
      </c>
    </row>
    <row r="820" customFormat="false" ht="15" hidden="false" customHeight="false" outlineLevel="0" collapsed="false">
      <c r="A820" s="29" t="n">
        <v>120055</v>
      </c>
      <c r="B820" s="29" t="s">
        <v>1707</v>
      </c>
      <c r="C820" s="29" t="s">
        <v>1708</v>
      </c>
      <c r="D820" s="29" t="s">
        <v>581</v>
      </c>
      <c r="E820" s="29" t="s">
        <v>582</v>
      </c>
      <c r="F820" s="29" t="s">
        <v>93</v>
      </c>
      <c r="G820" s="29" t="s">
        <v>67</v>
      </c>
      <c r="H820" s="29" t="s">
        <v>1844</v>
      </c>
      <c r="I820" s="29" t="s">
        <v>1858</v>
      </c>
      <c r="J820" s="29" t="n">
        <v>0</v>
      </c>
      <c r="K820" s="29" t="n">
        <v>0</v>
      </c>
      <c r="L820" s="29" t="s">
        <v>1849</v>
      </c>
    </row>
    <row r="821" customFormat="false" ht="15" hidden="false" customHeight="false" outlineLevel="0" collapsed="false">
      <c r="A821" s="29" t="n">
        <v>120055</v>
      </c>
      <c r="B821" s="29" t="s">
        <v>1707</v>
      </c>
      <c r="C821" s="29" t="s">
        <v>1708</v>
      </c>
      <c r="D821" s="29" t="s">
        <v>590</v>
      </c>
      <c r="E821" s="29" t="s">
        <v>591</v>
      </c>
      <c r="F821" s="29" t="s">
        <v>93</v>
      </c>
      <c r="G821" s="29" t="s">
        <v>67</v>
      </c>
      <c r="H821" s="29" t="s">
        <v>1844</v>
      </c>
      <c r="I821" s="29" t="s">
        <v>1859</v>
      </c>
      <c r="J821" s="29" t="n">
        <v>0</v>
      </c>
      <c r="K821" s="29" t="n">
        <v>9</v>
      </c>
      <c r="L821" s="29" t="s">
        <v>1866</v>
      </c>
    </row>
    <row r="822" customFormat="false" ht="15" hidden="false" customHeight="false" outlineLevel="0" collapsed="false">
      <c r="A822" s="29" t="n">
        <v>120055</v>
      </c>
      <c r="B822" s="29" t="s">
        <v>1707</v>
      </c>
      <c r="C822" s="29" t="s">
        <v>1708</v>
      </c>
      <c r="D822" s="29" t="s">
        <v>597</v>
      </c>
      <c r="E822" s="29" t="s">
        <v>598</v>
      </c>
      <c r="F822" s="29" t="s">
        <v>93</v>
      </c>
      <c r="G822" s="29" t="s">
        <v>67</v>
      </c>
      <c r="H822" s="29" t="s">
        <v>1844</v>
      </c>
      <c r="I822" s="29" t="s">
        <v>1859</v>
      </c>
      <c r="J822" s="29" t="n">
        <v>0</v>
      </c>
      <c r="K822" s="29" t="n">
        <v>9</v>
      </c>
      <c r="L822" s="29" t="s">
        <v>1866</v>
      </c>
    </row>
    <row r="823" customFormat="false" ht="15" hidden="false" customHeight="false" outlineLevel="0" collapsed="false">
      <c r="A823" s="29" t="n">
        <v>120055</v>
      </c>
      <c r="B823" s="29" t="s">
        <v>1707</v>
      </c>
      <c r="C823" s="29" t="s">
        <v>1708</v>
      </c>
      <c r="D823" s="29" t="s">
        <v>604</v>
      </c>
      <c r="E823" s="29" t="s">
        <v>605</v>
      </c>
      <c r="F823" s="29" t="s">
        <v>93</v>
      </c>
      <c r="G823" s="29" t="s">
        <v>68</v>
      </c>
      <c r="H823" s="29" t="s">
        <v>1381</v>
      </c>
      <c r="I823" s="29" t="s">
        <v>1859</v>
      </c>
      <c r="J823" s="29" t="n">
        <v>0</v>
      </c>
      <c r="K823" s="29" t="n">
        <v>0</v>
      </c>
      <c r="L823" s="29" t="s">
        <v>1849</v>
      </c>
    </row>
    <row r="824" customFormat="false" ht="15" hidden="false" customHeight="false" outlineLevel="0" collapsed="false">
      <c r="A824" s="29" t="n">
        <v>120055</v>
      </c>
      <c r="B824" s="29" t="s">
        <v>1707</v>
      </c>
      <c r="C824" s="29" t="s">
        <v>1708</v>
      </c>
      <c r="D824" s="29" t="s">
        <v>612</v>
      </c>
      <c r="E824" s="29" t="s">
        <v>613</v>
      </c>
      <c r="F824" s="29" t="s">
        <v>93</v>
      </c>
      <c r="G824" s="29" t="s">
        <v>68</v>
      </c>
      <c r="H824" s="29" t="s">
        <v>1381</v>
      </c>
      <c r="I824" s="29" t="s">
        <v>1859</v>
      </c>
      <c r="J824" s="29" t="n">
        <v>0</v>
      </c>
      <c r="K824" s="29" t="n">
        <v>0</v>
      </c>
      <c r="L824" s="29" t="s">
        <v>1849</v>
      </c>
    </row>
    <row r="825" customFormat="false" ht="15" hidden="false" customHeight="false" outlineLevel="0" collapsed="false">
      <c r="A825" s="29" t="n">
        <v>120055</v>
      </c>
      <c r="B825" s="29" t="s">
        <v>1707</v>
      </c>
      <c r="C825" s="29" t="s">
        <v>1708</v>
      </c>
      <c r="D825" s="29" t="s">
        <v>618</v>
      </c>
      <c r="E825" s="29" t="s">
        <v>619</v>
      </c>
      <c r="F825" s="29" t="s">
        <v>93</v>
      </c>
      <c r="G825" s="29" t="s">
        <v>68</v>
      </c>
      <c r="H825" s="29" t="s">
        <v>1381</v>
      </c>
      <c r="I825" s="29" t="s">
        <v>1859</v>
      </c>
      <c r="J825" s="29" t="n">
        <v>0</v>
      </c>
      <c r="K825" s="29" t="n">
        <v>0</v>
      </c>
      <c r="L825" s="29" t="s">
        <v>1849</v>
      </c>
    </row>
    <row r="826" customFormat="false" ht="15" hidden="false" customHeight="false" outlineLevel="0" collapsed="false">
      <c r="A826" s="29" t="n">
        <v>120055</v>
      </c>
      <c r="B826" s="29" t="s">
        <v>1707</v>
      </c>
      <c r="C826" s="29" t="s">
        <v>1708</v>
      </c>
      <c r="D826" s="29" t="s">
        <v>627</v>
      </c>
      <c r="E826" s="29" t="s">
        <v>628</v>
      </c>
      <c r="F826" s="29" t="s">
        <v>93</v>
      </c>
      <c r="G826" s="29" t="s">
        <v>68</v>
      </c>
      <c r="H826" s="29" t="s">
        <v>1381</v>
      </c>
      <c r="I826" s="29" t="s">
        <v>1858</v>
      </c>
      <c r="J826" s="29" t="n">
        <v>0</v>
      </c>
      <c r="K826" s="29" t="n">
        <v>0</v>
      </c>
      <c r="L826" s="29" t="s">
        <v>1849</v>
      </c>
    </row>
    <row r="827" customFormat="false" ht="15" hidden="false" customHeight="false" outlineLevel="0" collapsed="false">
      <c r="A827" s="29" t="n">
        <v>120055</v>
      </c>
      <c r="B827" s="29" t="s">
        <v>1707</v>
      </c>
      <c r="C827" s="29" t="s">
        <v>1708</v>
      </c>
      <c r="D827" s="29" t="s">
        <v>636</v>
      </c>
      <c r="E827" s="29" t="s">
        <v>637</v>
      </c>
      <c r="F827" s="29" t="s">
        <v>93</v>
      </c>
      <c r="G827" s="29" t="s">
        <v>68</v>
      </c>
      <c r="H827" s="29" t="s">
        <v>1381</v>
      </c>
      <c r="I827" s="29" t="s">
        <v>1858</v>
      </c>
      <c r="J827" s="29" t="n">
        <v>0</v>
      </c>
      <c r="K827" s="29" t="n">
        <v>0</v>
      </c>
      <c r="L827" s="29" t="s">
        <v>1849</v>
      </c>
    </row>
    <row r="828" customFormat="false" ht="15" hidden="false" customHeight="false" outlineLevel="0" collapsed="false">
      <c r="A828" s="29" t="n">
        <v>120055</v>
      </c>
      <c r="B828" s="29" t="s">
        <v>1707</v>
      </c>
      <c r="C828" s="29" t="s">
        <v>1708</v>
      </c>
      <c r="D828" s="29" t="s">
        <v>668</v>
      </c>
      <c r="E828" s="29" t="s">
        <v>669</v>
      </c>
      <c r="F828" s="29" t="s">
        <v>105</v>
      </c>
      <c r="G828" s="29" t="s">
        <v>66</v>
      </c>
      <c r="H828" s="29" t="s">
        <v>1379</v>
      </c>
      <c r="I828" s="29" t="s">
        <v>1854</v>
      </c>
      <c r="J828" s="29" t="n">
        <v>0</v>
      </c>
      <c r="K828" s="29" t="n">
        <v>0</v>
      </c>
      <c r="L828" s="29" t="s">
        <v>1849</v>
      </c>
    </row>
    <row r="829" customFormat="false" ht="15" hidden="false" customHeight="false" outlineLevel="0" collapsed="false">
      <c r="A829" s="29" t="n">
        <v>120055</v>
      </c>
      <c r="B829" s="29" t="s">
        <v>1707</v>
      </c>
      <c r="C829" s="29" t="s">
        <v>1708</v>
      </c>
      <c r="D829" s="29" t="s">
        <v>680</v>
      </c>
      <c r="E829" s="29" t="s">
        <v>681</v>
      </c>
      <c r="F829" s="29" t="s">
        <v>105</v>
      </c>
      <c r="G829" s="29" t="s">
        <v>66</v>
      </c>
      <c r="H829" s="29" t="s">
        <v>1379</v>
      </c>
      <c r="I829" s="29" t="s">
        <v>1854</v>
      </c>
      <c r="J829" s="29" t="n">
        <v>0</v>
      </c>
      <c r="K829" s="29" t="n">
        <v>0</v>
      </c>
      <c r="L829" s="29" t="s">
        <v>1849</v>
      </c>
    </row>
    <row r="830" customFormat="false" ht="15" hidden="false" customHeight="false" outlineLevel="0" collapsed="false">
      <c r="A830" s="29" t="n">
        <v>120055</v>
      </c>
      <c r="B830" s="29" t="s">
        <v>1707</v>
      </c>
      <c r="C830" s="29" t="s">
        <v>1708</v>
      </c>
      <c r="D830" s="29" t="s">
        <v>711</v>
      </c>
      <c r="E830" s="29" t="s">
        <v>712</v>
      </c>
      <c r="F830" s="29" t="s">
        <v>116</v>
      </c>
      <c r="G830" s="29" t="s">
        <v>66</v>
      </c>
      <c r="H830" s="29" t="s">
        <v>1379</v>
      </c>
      <c r="I830" s="29" t="s">
        <v>1854</v>
      </c>
      <c r="J830" s="29" t="n">
        <v>0</v>
      </c>
      <c r="K830" s="29" t="n">
        <v>8</v>
      </c>
      <c r="L830" s="29" t="s">
        <v>1866</v>
      </c>
    </row>
    <row r="831" customFormat="false" ht="15" hidden="false" customHeight="false" outlineLevel="0" collapsed="false">
      <c r="A831" s="29" t="n">
        <v>120055</v>
      </c>
      <c r="B831" s="29" t="s">
        <v>1707</v>
      </c>
      <c r="C831" s="29" t="s">
        <v>1708</v>
      </c>
      <c r="D831" s="29" t="s">
        <v>721</v>
      </c>
      <c r="E831" s="29" t="s">
        <v>722</v>
      </c>
      <c r="F831" s="29" t="s">
        <v>116</v>
      </c>
      <c r="G831" s="29" t="s">
        <v>66</v>
      </c>
      <c r="H831" s="29" t="s">
        <v>1379</v>
      </c>
      <c r="I831" s="29" t="s">
        <v>1854</v>
      </c>
      <c r="J831" s="29" t="n">
        <v>0</v>
      </c>
      <c r="K831" s="29" t="n">
        <v>0</v>
      </c>
      <c r="L831" s="29" t="s">
        <v>1849</v>
      </c>
    </row>
    <row r="832" customFormat="false" ht="15" hidden="false" customHeight="false" outlineLevel="0" collapsed="false">
      <c r="A832" s="29" t="n">
        <v>120055</v>
      </c>
      <c r="B832" s="29" t="s">
        <v>1707</v>
      </c>
      <c r="C832" s="29" t="s">
        <v>1708</v>
      </c>
      <c r="D832" s="29" t="s">
        <v>745</v>
      </c>
      <c r="E832" s="29" t="s">
        <v>746</v>
      </c>
      <c r="F832" s="29" t="s">
        <v>116</v>
      </c>
      <c r="G832" s="29" t="s">
        <v>67</v>
      </c>
      <c r="H832" s="29" t="s">
        <v>1844</v>
      </c>
      <c r="I832" s="29" t="s">
        <v>1860</v>
      </c>
      <c r="J832" s="29" t="n">
        <v>0</v>
      </c>
      <c r="K832" s="29" t="n">
        <v>0</v>
      </c>
      <c r="L832" s="29" t="s">
        <v>1849</v>
      </c>
    </row>
    <row r="833" customFormat="false" ht="15" hidden="false" customHeight="false" outlineLevel="0" collapsed="false">
      <c r="A833" s="29" t="n">
        <v>120055</v>
      </c>
      <c r="B833" s="29" t="s">
        <v>1707</v>
      </c>
      <c r="C833" s="29" t="s">
        <v>1708</v>
      </c>
      <c r="D833" s="29" t="s">
        <v>753</v>
      </c>
      <c r="E833" s="29" t="s">
        <v>754</v>
      </c>
      <c r="F833" s="29" t="s">
        <v>116</v>
      </c>
      <c r="G833" s="29" t="s">
        <v>68</v>
      </c>
      <c r="H833" s="29" t="s">
        <v>1381</v>
      </c>
      <c r="I833" s="29" t="s">
        <v>1860</v>
      </c>
      <c r="J833" s="29" t="n">
        <v>0</v>
      </c>
      <c r="K833" s="29" t="n">
        <v>0</v>
      </c>
      <c r="L833" s="29" t="s">
        <v>1849</v>
      </c>
    </row>
    <row r="834" customFormat="false" ht="15" hidden="false" customHeight="false" outlineLevel="0" collapsed="false">
      <c r="A834" s="29" t="n">
        <v>126783</v>
      </c>
      <c r="B834" s="29" t="s">
        <v>1713</v>
      </c>
      <c r="C834" s="29" t="s">
        <v>1714</v>
      </c>
      <c r="D834" s="29" t="s">
        <v>247</v>
      </c>
      <c r="E834" s="29" t="s">
        <v>248</v>
      </c>
      <c r="F834" s="29" t="s">
        <v>69</v>
      </c>
      <c r="G834" s="29" t="s">
        <v>67</v>
      </c>
      <c r="H834" s="29" t="s">
        <v>1844</v>
      </c>
      <c r="I834" s="29" t="s">
        <v>1848</v>
      </c>
      <c r="J834" s="29" t="n">
        <v>0</v>
      </c>
      <c r="K834" s="29" t="n">
        <v>0</v>
      </c>
      <c r="L834" s="29" t="s">
        <v>1846</v>
      </c>
    </row>
    <row r="835" customFormat="false" ht="15" hidden="false" customHeight="false" outlineLevel="0" collapsed="false">
      <c r="A835" s="29" t="n">
        <v>126783</v>
      </c>
      <c r="B835" s="29" t="s">
        <v>1713</v>
      </c>
      <c r="C835" s="29" t="s">
        <v>1714</v>
      </c>
      <c r="D835" s="29" t="s">
        <v>277</v>
      </c>
      <c r="E835" s="29" t="s">
        <v>278</v>
      </c>
      <c r="F835" s="29" t="s">
        <v>69</v>
      </c>
      <c r="G835" s="29" t="s">
        <v>67</v>
      </c>
      <c r="H835" s="29" t="s">
        <v>1379</v>
      </c>
      <c r="I835" s="29" t="s">
        <v>1850</v>
      </c>
      <c r="J835" s="29" t="n">
        <v>0</v>
      </c>
      <c r="K835" s="29" t="n">
        <v>0</v>
      </c>
      <c r="L835" s="29" t="s">
        <v>1846</v>
      </c>
    </row>
    <row r="836" customFormat="false" ht="15" hidden="false" customHeight="false" outlineLevel="0" collapsed="false">
      <c r="A836" s="29" t="n">
        <v>126783</v>
      </c>
      <c r="B836" s="29" t="s">
        <v>1713</v>
      </c>
      <c r="C836" s="29" t="s">
        <v>1714</v>
      </c>
      <c r="D836" s="29" t="s">
        <v>297</v>
      </c>
      <c r="E836" s="29" t="s">
        <v>298</v>
      </c>
      <c r="F836" s="29" t="s">
        <v>69</v>
      </c>
      <c r="G836" s="29" t="s">
        <v>68</v>
      </c>
      <c r="H836" s="29" t="s">
        <v>1381</v>
      </c>
      <c r="I836" s="29" t="s">
        <v>1848</v>
      </c>
      <c r="J836" s="29" t="n">
        <v>0</v>
      </c>
      <c r="K836" s="29" t="n">
        <v>0</v>
      </c>
      <c r="L836" s="29" t="s">
        <v>1846</v>
      </c>
    </row>
    <row r="837" customFormat="false" ht="15" hidden="false" customHeight="false" outlineLevel="0" collapsed="false">
      <c r="A837" s="29" t="n">
        <v>126783</v>
      </c>
      <c r="B837" s="29" t="s">
        <v>1713</v>
      </c>
      <c r="C837" s="29" t="s">
        <v>1714</v>
      </c>
      <c r="D837" s="29" t="s">
        <v>304</v>
      </c>
      <c r="E837" s="29" t="s">
        <v>305</v>
      </c>
      <c r="F837" s="29" t="s">
        <v>69</v>
      </c>
      <c r="G837" s="29" t="s">
        <v>68</v>
      </c>
      <c r="H837" s="29" t="s">
        <v>1381</v>
      </c>
      <c r="I837" s="29" t="s">
        <v>1851</v>
      </c>
      <c r="J837" s="29" t="n">
        <v>0</v>
      </c>
      <c r="K837" s="29" t="n">
        <v>0</v>
      </c>
      <c r="L837" s="29" t="s">
        <v>1846</v>
      </c>
    </row>
    <row r="838" customFormat="false" ht="15" hidden="false" customHeight="false" outlineLevel="0" collapsed="false">
      <c r="A838" s="29" t="n">
        <v>126783</v>
      </c>
      <c r="B838" s="29" t="s">
        <v>1713</v>
      </c>
      <c r="C838" s="29" t="s">
        <v>1714</v>
      </c>
      <c r="D838" s="29" t="s">
        <v>311</v>
      </c>
      <c r="E838" s="29" t="s">
        <v>312</v>
      </c>
      <c r="F838" s="29" t="s">
        <v>69</v>
      </c>
      <c r="G838" s="29" t="s">
        <v>68</v>
      </c>
      <c r="H838" s="29" t="s">
        <v>1381</v>
      </c>
      <c r="I838" s="29" t="s">
        <v>1851</v>
      </c>
      <c r="J838" s="29" t="n">
        <v>0</v>
      </c>
      <c r="K838" s="29" t="n">
        <v>0</v>
      </c>
      <c r="L838" s="29" t="s">
        <v>1846</v>
      </c>
    </row>
    <row r="839" customFormat="false" ht="15" hidden="false" customHeight="false" outlineLevel="0" collapsed="false">
      <c r="A839" s="29" t="n">
        <v>126783</v>
      </c>
      <c r="B839" s="29" t="s">
        <v>1713</v>
      </c>
      <c r="C839" s="29" t="s">
        <v>1714</v>
      </c>
      <c r="D839" s="29" t="s">
        <v>325</v>
      </c>
      <c r="E839" s="29" t="s">
        <v>326</v>
      </c>
      <c r="F839" s="29" t="s">
        <v>76</v>
      </c>
      <c r="G839" s="29" t="s">
        <v>67</v>
      </c>
      <c r="H839" s="29" t="s">
        <v>1844</v>
      </c>
      <c r="I839" s="29" t="s">
        <v>1852</v>
      </c>
      <c r="J839" s="29" t="n">
        <v>0</v>
      </c>
      <c r="K839" s="29" t="n">
        <v>13</v>
      </c>
      <c r="L839" s="29" t="s">
        <v>1866</v>
      </c>
    </row>
    <row r="840" customFormat="false" ht="15" hidden="false" customHeight="false" outlineLevel="0" collapsed="false">
      <c r="A840" s="29" t="n">
        <v>126783</v>
      </c>
      <c r="B840" s="29" t="s">
        <v>1713</v>
      </c>
      <c r="C840" s="29" t="s">
        <v>1714</v>
      </c>
      <c r="D840" s="29" t="s">
        <v>336</v>
      </c>
      <c r="E840" s="29" t="s">
        <v>337</v>
      </c>
      <c r="F840" s="29" t="s">
        <v>76</v>
      </c>
      <c r="G840" s="29" t="s">
        <v>67</v>
      </c>
      <c r="H840" s="29" t="s">
        <v>1844</v>
      </c>
      <c r="I840" s="29" t="s">
        <v>1852</v>
      </c>
      <c r="J840" s="29" t="n">
        <v>0</v>
      </c>
      <c r="K840" s="29" t="n">
        <v>0</v>
      </c>
      <c r="L840" s="29" t="s">
        <v>1846</v>
      </c>
    </row>
    <row r="841" customFormat="false" ht="15" hidden="false" customHeight="false" outlineLevel="0" collapsed="false">
      <c r="A841" s="29" t="n">
        <v>126783</v>
      </c>
      <c r="B841" s="29" t="s">
        <v>1713</v>
      </c>
      <c r="C841" s="29" t="s">
        <v>1714</v>
      </c>
      <c r="D841" s="29" t="s">
        <v>343</v>
      </c>
      <c r="E841" s="29" t="s">
        <v>344</v>
      </c>
      <c r="F841" s="29" t="s">
        <v>76</v>
      </c>
      <c r="G841" s="29" t="s">
        <v>67</v>
      </c>
      <c r="H841" s="29" t="s">
        <v>1844</v>
      </c>
      <c r="I841" s="29" t="s">
        <v>1873</v>
      </c>
      <c r="J841" s="29" t="n">
        <v>0</v>
      </c>
      <c r="K841" s="29" t="n">
        <v>13</v>
      </c>
      <c r="L841" s="29" t="s">
        <v>1866</v>
      </c>
    </row>
    <row r="842" customFormat="false" ht="15" hidden="false" customHeight="false" outlineLevel="0" collapsed="false">
      <c r="A842" s="29" t="n">
        <v>126783</v>
      </c>
      <c r="B842" s="29" t="s">
        <v>1713</v>
      </c>
      <c r="C842" s="29" t="s">
        <v>1714</v>
      </c>
      <c r="D842" s="29" t="s">
        <v>353</v>
      </c>
      <c r="E842" s="29" t="s">
        <v>354</v>
      </c>
      <c r="F842" s="29" t="s">
        <v>76</v>
      </c>
      <c r="G842" s="29" t="s">
        <v>67</v>
      </c>
      <c r="H842" s="29" t="s">
        <v>1844</v>
      </c>
      <c r="I842" s="29" t="s">
        <v>1853</v>
      </c>
      <c r="J842" s="29" t="n">
        <v>0</v>
      </c>
      <c r="K842" s="29" t="n">
        <v>13</v>
      </c>
      <c r="L842" s="29" t="s">
        <v>1866</v>
      </c>
    </row>
    <row r="843" customFormat="false" ht="15" hidden="false" customHeight="false" outlineLevel="0" collapsed="false">
      <c r="A843" s="29" t="n">
        <v>126783</v>
      </c>
      <c r="B843" s="29" t="s">
        <v>1713</v>
      </c>
      <c r="C843" s="29" t="s">
        <v>1714</v>
      </c>
      <c r="D843" s="29" t="s">
        <v>360</v>
      </c>
      <c r="E843" s="29" t="s">
        <v>361</v>
      </c>
      <c r="F843" s="29" t="s">
        <v>76</v>
      </c>
      <c r="G843" s="29" t="s">
        <v>67</v>
      </c>
      <c r="H843" s="29" t="s">
        <v>1844</v>
      </c>
      <c r="I843" s="29" t="s">
        <v>1873</v>
      </c>
      <c r="J843" s="29" t="n">
        <v>0</v>
      </c>
      <c r="K843" s="29" t="n">
        <v>0</v>
      </c>
      <c r="L843" s="29" t="s">
        <v>1846</v>
      </c>
    </row>
    <row r="844" customFormat="false" ht="15" hidden="false" customHeight="false" outlineLevel="0" collapsed="false">
      <c r="A844" s="29" t="n">
        <v>126783</v>
      </c>
      <c r="B844" s="29" t="s">
        <v>1713</v>
      </c>
      <c r="C844" s="29" t="s">
        <v>1714</v>
      </c>
      <c r="D844" s="29" t="s">
        <v>371</v>
      </c>
      <c r="E844" s="29" t="s">
        <v>372</v>
      </c>
      <c r="F844" s="29" t="s">
        <v>76</v>
      </c>
      <c r="G844" s="29" t="s">
        <v>67</v>
      </c>
      <c r="H844" s="29" t="s">
        <v>1844</v>
      </c>
      <c r="I844" s="29" t="s">
        <v>1873</v>
      </c>
      <c r="J844" s="29" t="n">
        <v>0</v>
      </c>
      <c r="K844" s="29" t="n">
        <v>0</v>
      </c>
      <c r="L844" s="29" t="s">
        <v>1846</v>
      </c>
    </row>
    <row r="845" customFormat="false" ht="15" hidden="false" customHeight="false" outlineLevel="0" collapsed="false">
      <c r="A845" s="29" t="n">
        <v>126783</v>
      </c>
      <c r="B845" s="29" t="s">
        <v>1713</v>
      </c>
      <c r="C845" s="29" t="s">
        <v>1714</v>
      </c>
      <c r="D845" s="29" t="s">
        <v>387</v>
      </c>
      <c r="E845" s="29" t="s">
        <v>388</v>
      </c>
      <c r="F845" s="29" t="s">
        <v>76</v>
      </c>
      <c r="G845" s="29" t="s">
        <v>68</v>
      </c>
      <c r="H845" s="29" t="s">
        <v>1381</v>
      </c>
      <c r="I845" s="29" t="s">
        <v>1853</v>
      </c>
      <c r="J845" s="29" t="n">
        <v>0</v>
      </c>
      <c r="K845" s="29" t="n">
        <v>0</v>
      </c>
      <c r="L845" s="29" t="s">
        <v>1846</v>
      </c>
    </row>
    <row r="846" customFormat="false" ht="15" hidden="false" customHeight="false" outlineLevel="0" collapsed="false">
      <c r="A846" s="29" t="n">
        <v>126783</v>
      </c>
      <c r="B846" s="29" t="s">
        <v>1713</v>
      </c>
      <c r="C846" s="29" t="s">
        <v>1714</v>
      </c>
      <c r="D846" s="29" t="s">
        <v>396</v>
      </c>
      <c r="E846" s="29" t="s">
        <v>397</v>
      </c>
      <c r="F846" s="29" t="s">
        <v>76</v>
      </c>
      <c r="G846" s="29" t="s">
        <v>68</v>
      </c>
      <c r="H846" s="29" t="s">
        <v>1381</v>
      </c>
      <c r="I846" s="29" t="s">
        <v>1853</v>
      </c>
      <c r="J846" s="29" t="n">
        <v>0</v>
      </c>
      <c r="K846" s="29" t="n">
        <v>0</v>
      </c>
      <c r="L846" s="29" t="s">
        <v>1846</v>
      </c>
    </row>
    <row r="847" customFormat="false" ht="15" hidden="false" customHeight="false" outlineLevel="0" collapsed="false">
      <c r="A847" s="29" t="n">
        <v>126783</v>
      </c>
      <c r="B847" s="29" t="s">
        <v>1713</v>
      </c>
      <c r="C847" s="29" t="s">
        <v>1714</v>
      </c>
      <c r="D847" s="29" t="s">
        <v>403</v>
      </c>
      <c r="E847" s="29" t="s">
        <v>404</v>
      </c>
      <c r="F847" s="29" t="s">
        <v>76</v>
      </c>
      <c r="G847" s="29" t="s">
        <v>68</v>
      </c>
      <c r="H847" s="29" t="s">
        <v>1381</v>
      </c>
      <c r="I847" s="29" t="s">
        <v>1852</v>
      </c>
      <c r="J847" s="29" t="n">
        <v>0</v>
      </c>
      <c r="K847" s="29" t="n">
        <v>0</v>
      </c>
      <c r="L847" s="29" t="s">
        <v>1846</v>
      </c>
    </row>
    <row r="848" customFormat="false" ht="15" hidden="false" customHeight="false" outlineLevel="0" collapsed="false">
      <c r="A848" s="29" t="n">
        <v>126783</v>
      </c>
      <c r="B848" s="29" t="s">
        <v>1713</v>
      </c>
      <c r="C848" s="29" t="s">
        <v>1714</v>
      </c>
      <c r="D848" s="29" t="s">
        <v>411</v>
      </c>
      <c r="E848" s="29" t="s">
        <v>412</v>
      </c>
      <c r="F848" s="29" t="s">
        <v>76</v>
      </c>
      <c r="G848" s="29" t="s">
        <v>68</v>
      </c>
      <c r="H848" s="29" t="s">
        <v>1381</v>
      </c>
      <c r="I848" s="29" t="s">
        <v>1873</v>
      </c>
      <c r="J848" s="29" t="n">
        <v>0</v>
      </c>
      <c r="K848" s="29" t="n">
        <v>0</v>
      </c>
      <c r="L848" s="29" t="s">
        <v>1846</v>
      </c>
    </row>
    <row r="849" customFormat="false" ht="15" hidden="false" customHeight="false" outlineLevel="0" collapsed="false">
      <c r="A849" s="29" t="n">
        <v>126783</v>
      </c>
      <c r="B849" s="29" t="s">
        <v>1713</v>
      </c>
      <c r="C849" s="29" t="s">
        <v>1714</v>
      </c>
      <c r="D849" s="29" t="s">
        <v>428</v>
      </c>
      <c r="E849" s="29" t="s">
        <v>429</v>
      </c>
      <c r="F849" s="29" t="s">
        <v>76</v>
      </c>
      <c r="G849" s="29" t="s">
        <v>68</v>
      </c>
      <c r="H849" s="29" t="s">
        <v>1381</v>
      </c>
      <c r="I849" s="29" t="s">
        <v>1853</v>
      </c>
      <c r="J849" s="29" t="n">
        <v>0</v>
      </c>
      <c r="K849" s="29" t="n">
        <v>0</v>
      </c>
      <c r="L849" s="29" t="s">
        <v>1846</v>
      </c>
    </row>
    <row r="850" customFormat="false" ht="15" hidden="false" customHeight="false" outlineLevel="0" collapsed="false">
      <c r="A850" s="29" t="n">
        <v>126783</v>
      </c>
      <c r="B850" s="29" t="s">
        <v>1713</v>
      </c>
      <c r="C850" s="29" t="s">
        <v>1714</v>
      </c>
      <c r="D850" s="29" t="s">
        <v>433</v>
      </c>
      <c r="E850" s="29" t="s">
        <v>434</v>
      </c>
      <c r="F850" s="29" t="s">
        <v>82</v>
      </c>
      <c r="G850" s="29" t="s">
        <v>66</v>
      </c>
      <c r="H850" s="29" t="s">
        <v>1379</v>
      </c>
      <c r="I850" s="29" t="s">
        <v>1854</v>
      </c>
      <c r="J850" s="29" t="n">
        <v>0</v>
      </c>
      <c r="K850" s="29" t="n">
        <v>0</v>
      </c>
      <c r="L850" s="29" t="s">
        <v>1846</v>
      </c>
    </row>
    <row r="851" customFormat="false" ht="15" hidden="false" customHeight="false" outlineLevel="0" collapsed="false">
      <c r="A851" s="29" t="n">
        <v>126783</v>
      </c>
      <c r="B851" s="29" t="s">
        <v>1713</v>
      </c>
      <c r="C851" s="29" t="s">
        <v>1714</v>
      </c>
      <c r="D851" s="29" t="s">
        <v>451</v>
      </c>
      <c r="E851" s="29" t="s">
        <v>452</v>
      </c>
      <c r="F851" s="29" t="s">
        <v>82</v>
      </c>
      <c r="G851" s="29" t="s">
        <v>67</v>
      </c>
      <c r="H851" s="29" t="s">
        <v>1379</v>
      </c>
      <c r="I851" s="29" t="s">
        <v>1855</v>
      </c>
      <c r="J851" s="29" t="n">
        <v>0</v>
      </c>
      <c r="K851" s="29" t="n">
        <v>0</v>
      </c>
      <c r="L851" s="29" t="s">
        <v>1846</v>
      </c>
    </row>
    <row r="852" customFormat="false" ht="15" hidden="false" customHeight="false" outlineLevel="0" collapsed="false">
      <c r="A852" s="29" t="n">
        <v>126783</v>
      </c>
      <c r="B852" s="29" t="s">
        <v>1713</v>
      </c>
      <c r="C852" s="29" t="s">
        <v>1714</v>
      </c>
      <c r="D852" s="29" t="s">
        <v>459</v>
      </c>
      <c r="E852" s="29" t="s">
        <v>460</v>
      </c>
      <c r="F852" s="29" t="s">
        <v>82</v>
      </c>
      <c r="G852" s="29" t="s">
        <v>67</v>
      </c>
      <c r="H852" s="29" t="s">
        <v>1379</v>
      </c>
      <c r="I852" s="29" t="s">
        <v>1855</v>
      </c>
      <c r="J852" s="29" t="n">
        <v>0</v>
      </c>
      <c r="K852" s="29" t="n">
        <v>0</v>
      </c>
      <c r="L852" s="29" t="s">
        <v>1846</v>
      </c>
    </row>
    <row r="853" customFormat="false" ht="15" hidden="false" customHeight="false" outlineLevel="0" collapsed="false">
      <c r="A853" s="29" t="n">
        <v>126783</v>
      </c>
      <c r="B853" s="29" t="s">
        <v>1713</v>
      </c>
      <c r="C853" s="29" t="s">
        <v>1714</v>
      </c>
      <c r="D853" s="29" t="s">
        <v>466</v>
      </c>
      <c r="E853" s="29" t="s">
        <v>467</v>
      </c>
      <c r="F853" s="29" t="s">
        <v>82</v>
      </c>
      <c r="G853" s="29" t="s">
        <v>67</v>
      </c>
      <c r="H853" s="29" t="s">
        <v>1379</v>
      </c>
      <c r="I853" s="29" t="s">
        <v>1855</v>
      </c>
      <c r="J853" s="29" t="n">
        <v>0</v>
      </c>
      <c r="K853" s="29" t="n">
        <v>0</v>
      </c>
      <c r="L853" s="29" t="s">
        <v>1846</v>
      </c>
    </row>
    <row r="854" customFormat="false" ht="15" hidden="false" customHeight="false" outlineLevel="0" collapsed="false">
      <c r="A854" s="29" t="n">
        <v>126783</v>
      </c>
      <c r="B854" s="29" t="s">
        <v>1713</v>
      </c>
      <c r="C854" s="29" t="s">
        <v>1714</v>
      </c>
      <c r="D854" s="29" t="s">
        <v>508</v>
      </c>
      <c r="E854" s="29" t="s">
        <v>509</v>
      </c>
      <c r="F854" s="29" t="s">
        <v>88</v>
      </c>
      <c r="G854" s="29" t="s">
        <v>67</v>
      </c>
      <c r="H854" s="29" t="s">
        <v>1379</v>
      </c>
      <c r="I854" s="29" t="s">
        <v>1850</v>
      </c>
      <c r="J854" s="29" t="n">
        <v>7</v>
      </c>
      <c r="K854" s="29" t="n">
        <v>0</v>
      </c>
      <c r="L854" s="29" t="s">
        <v>1867</v>
      </c>
    </row>
    <row r="855" customFormat="false" ht="15" hidden="false" customHeight="false" outlineLevel="0" collapsed="false">
      <c r="A855" s="29" t="n">
        <v>126783</v>
      </c>
      <c r="B855" s="29" t="s">
        <v>1713</v>
      </c>
      <c r="C855" s="29" t="s">
        <v>1714</v>
      </c>
      <c r="D855" s="29" t="s">
        <v>515</v>
      </c>
      <c r="E855" s="29" t="s">
        <v>516</v>
      </c>
      <c r="F855" s="29" t="s">
        <v>88</v>
      </c>
      <c r="G855" s="29" t="s">
        <v>67</v>
      </c>
      <c r="H855" s="29" t="s">
        <v>1379</v>
      </c>
      <c r="I855" s="29" t="s">
        <v>1850</v>
      </c>
      <c r="J855" s="29" t="n">
        <v>0</v>
      </c>
      <c r="K855" s="29" t="n">
        <v>0</v>
      </c>
      <c r="L855" s="29" t="s">
        <v>1846</v>
      </c>
    </row>
    <row r="856" customFormat="false" ht="15" hidden="false" customHeight="false" outlineLevel="0" collapsed="false">
      <c r="A856" s="29" t="n">
        <v>126783</v>
      </c>
      <c r="B856" s="29" t="s">
        <v>1713</v>
      </c>
      <c r="C856" s="29" t="s">
        <v>1714</v>
      </c>
      <c r="D856" s="29" t="s">
        <v>523</v>
      </c>
      <c r="E856" s="29" t="s">
        <v>524</v>
      </c>
      <c r="F856" s="29" t="s">
        <v>88</v>
      </c>
      <c r="G856" s="29" t="s">
        <v>67</v>
      </c>
      <c r="H856" s="29" t="s">
        <v>1844</v>
      </c>
      <c r="I856" s="29" t="s">
        <v>1856</v>
      </c>
      <c r="J856" s="29" t="n">
        <v>0</v>
      </c>
      <c r="K856" s="29" t="n">
        <v>0</v>
      </c>
      <c r="L856" s="29" t="s">
        <v>1846</v>
      </c>
    </row>
    <row r="857" customFormat="false" ht="15" hidden="false" customHeight="false" outlineLevel="0" collapsed="false">
      <c r="A857" s="29" t="n">
        <v>126783</v>
      </c>
      <c r="B857" s="29" t="s">
        <v>1713</v>
      </c>
      <c r="C857" s="29" t="s">
        <v>1714</v>
      </c>
      <c r="D857" s="29" t="s">
        <v>530</v>
      </c>
      <c r="E857" s="29" t="s">
        <v>531</v>
      </c>
      <c r="F857" s="29" t="s">
        <v>88</v>
      </c>
      <c r="G857" s="29" t="s">
        <v>68</v>
      </c>
      <c r="H857" s="29" t="s">
        <v>1381</v>
      </c>
      <c r="I857" s="29" t="s">
        <v>1847</v>
      </c>
      <c r="J857" s="29" t="n">
        <v>0</v>
      </c>
      <c r="K857" s="29" t="n">
        <v>0</v>
      </c>
      <c r="L857" s="29" t="s">
        <v>1846</v>
      </c>
    </row>
    <row r="858" customFormat="false" ht="15" hidden="false" customHeight="false" outlineLevel="0" collapsed="false">
      <c r="A858" s="29" t="n">
        <v>126783</v>
      </c>
      <c r="B858" s="29" t="s">
        <v>1713</v>
      </c>
      <c r="C858" s="29" t="s">
        <v>1714</v>
      </c>
      <c r="D858" s="29" t="s">
        <v>536</v>
      </c>
      <c r="E858" s="29" t="s">
        <v>537</v>
      </c>
      <c r="F858" s="29" t="s">
        <v>88</v>
      </c>
      <c r="G858" s="29" t="s">
        <v>68</v>
      </c>
      <c r="H858" s="29" t="s">
        <v>1381</v>
      </c>
      <c r="I858" s="29" t="s">
        <v>1847</v>
      </c>
      <c r="J858" s="29" t="n">
        <v>0</v>
      </c>
      <c r="K858" s="29" t="n">
        <v>0</v>
      </c>
      <c r="L858" s="29" t="s">
        <v>1846</v>
      </c>
    </row>
    <row r="859" customFormat="false" ht="15" hidden="false" customHeight="false" outlineLevel="0" collapsed="false">
      <c r="A859" s="29" t="n">
        <v>126783</v>
      </c>
      <c r="B859" s="29" t="s">
        <v>1713</v>
      </c>
      <c r="C859" s="29" t="s">
        <v>1714</v>
      </c>
      <c r="D859" s="29" t="s">
        <v>543</v>
      </c>
      <c r="E859" s="29" t="s">
        <v>544</v>
      </c>
      <c r="F859" s="29" t="s">
        <v>88</v>
      </c>
      <c r="G859" s="29" t="s">
        <v>68</v>
      </c>
      <c r="H859" s="29" t="s">
        <v>1381</v>
      </c>
      <c r="I859" s="29" t="s">
        <v>1847</v>
      </c>
      <c r="J859" s="29" t="n">
        <v>0</v>
      </c>
      <c r="K859" s="29" t="n">
        <v>0</v>
      </c>
      <c r="L859" s="29" t="s">
        <v>1846</v>
      </c>
    </row>
    <row r="860" customFormat="false" ht="15" hidden="false" customHeight="false" outlineLevel="0" collapsed="false">
      <c r="A860" s="29" t="n">
        <v>126783</v>
      </c>
      <c r="B860" s="29" t="s">
        <v>1713</v>
      </c>
      <c r="C860" s="29" t="s">
        <v>1714</v>
      </c>
      <c r="D860" s="29" t="s">
        <v>551</v>
      </c>
      <c r="E860" s="29" t="s">
        <v>552</v>
      </c>
      <c r="F860" s="29" t="s">
        <v>88</v>
      </c>
      <c r="G860" s="29" t="s">
        <v>68</v>
      </c>
      <c r="H860" s="29" t="s">
        <v>1381</v>
      </c>
      <c r="I860" s="29" t="s">
        <v>1857</v>
      </c>
      <c r="J860" s="29" t="n">
        <v>0</v>
      </c>
      <c r="K860" s="29" t="n">
        <v>0</v>
      </c>
      <c r="L860" s="29" t="s">
        <v>1846</v>
      </c>
    </row>
    <row r="861" customFormat="false" ht="15" hidden="false" customHeight="false" outlineLevel="0" collapsed="false">
      <c r="A861" s="29" t="n">
        <v>126783</v>
      </c>
      <c r="B861" s="29" t="s">
        <v>1713</v>
      </c>
      <c r="C861" s="29" t="s">
        <v>1714</v>
      </c>
      <c r="D861" s="29" t="s">
        <v>558</v>
      </c>
      <c r="E861" s="29" t="s">
        <v>559</v>
      </c>
      <c r="F861" s="29" t="s">
        <v>88</v>
      </c>
      <c r="G861" s="29" t="s">
        <v>68</v>
      </c>
      <c r="H861" s="29" t="s">
        <v>1381</v>
      </c>
      <c r="I861" s="29" t="s">
        <v>1856</v>
      </c>
      <c r="J861" s="29" t="n">
        <v>0</v>
      </c>
      <c r="K861" s="29" t="n">
        <v>3</v>
      </c>
      <c r="L861" s="29" t="s">
        <v>1866</v>
      </c>
    </row>
    <row r="862" customFormat="false" ht="15" hidden="false" customHeight="false" outlineLevel="0" collapsed="false">
      <c r="A862" s="29" t="n">
        <v>126783</v>
      </c>
      <c r="B862" s="29" t="s">
        <v>1713</v>
      </c>
      <c r="C862" s="29" t="s">
        <v>1714</v>
      </c>
      <c r="D862" s="29" t="s">
        <v>565</v>
      </c>
      <c r="E862" s="29" t="s">
        <v>566</v>
      </c>
      <c r="F862" s="29" t="s">
        <v>88</v>
      </c>
      <c r="G862" s="29" t="s">
        <v>68</v>
      </c>
      <c r="H862" s="29" t="s">
        <v>1381</v>
      </c>
      <c r="I862" s="29" t="s">
        <v>1856</v>
      </c>
      <c r="J862" s="29" t="n">
        <v>0</v>
      </c>
      <c r="K862" s="29" t="n">
        <v>3</v>
      </c>
      <c r="L862" s="29" t="s">
        <v>1866</v>
      </c>
    </row>
    <row r="863" customFormat="false" ht="15" hidden="false" customHeight="false" outlineLevel="0" collapsed="false">
      <c r="A863" s="29" t="n">
        <v>126783</v>
      </c>
      <c r="B863" s="29" t="s">
        <v>1713</v>
      </c>
      <c r="C863" s="29" t="s">
        <v>1714</v>
      </c>
      <c r="D863" s="29" t="s">
        <v>572</v>
      </c>
      <c r="E863" s="29" t="s">
        <v>573</v>
      </c>
      <c r="F863" s="29" t="s">
        <v>88</v>
      </c>
      <c r="G863" s="29" t="s">
        <v>68</v>
      </c>
      <c r="H863" s="29" t="s">
        <v>1381</v>
      </c>
      <c r="I863" s="29" t="s">
        <v>1847</v>
      </c>
      <c r="J863" s="29" t="n">
        <v>0</v>
      </c>
      <c r="K863" s="29" t="n">
        <v>0</v>
      </c>
      <c r="L863" s="29" t="s">
        <v>1846</v>
      </c>
    </row>
    <row r="864" customFormat="false" ht="15" hidden="false" customHeight="false" outlineLevel="0" collapsed="false">
      <c r="A864" s="29" t="n">
        <v>126783</v>
      </c>
      <c r="B864" s="29" t="s">
        <v>1713</v>
      </c>
      <c r="C864" s="29" t="s">
        <v>1714</v>
      </c>
      <c r="D864" s="29" t="s">
        <v>581</v>
      </c>
      <c r="E864" s="29" t="s">
        <v>582</v>
      </c>
      <c r="F864" s="29" t="s">
        <v>93</v>
      </c>
      <c r="G864" s="29" t="s">
        <v>67</v>
      </c>
      <c r="H864" s="29" t="s">
        <v>1844</v>
      </c>
      <c r="I864" s="29" t="s">
        <v>1858</v>
      </c>
      <c r="J864" s="29" t="n">
        <v>0</v>
      </c>
      <c r="K864" s="29" t="n">
        <v>0</v>
      </c>
      <c r="L864" s="29" t="s">
        <v>1846</v>
      </c>
    </row>
    <row r="865" customFormat="false" ht="15" hidden="false" customHeight="false" outlineLevel="0" collapsed="false">
      <c r="A865" s="29" t="n">
        <v>126783</v>
      </c>
      <c r="B865" s="29" t="s">
        <v>1713</v>
      </c>
      <c r="C865" s="29" t="s">
        <v>1714</v>
      </c>
      <c r="D865" s="29" t="s">
        <v>590</v>
      </c>
      <c r="E865" s="29" t="s">
        <v>591</v>
      </c>
      <c r="F865" s="29" t="s">
        <v>93</v>
      </c>
      <c r="G865" s="29" t="s">
        <v>67</v>
      </c>
      <c r="H865" s="29" t="s">
        <v>1844</v>
      </c>
      <c r="I865" s="29" t="s">
        <v>1859</v>
      </c>
      <c r="J865" s="29" t="n">
        <v>0</v>
      </c>
      <c r="K865" s="29" t="n">
        <v>12</v>
      </c>
      <c r="L865" s="29" t="s">
        <v>1866</v>
      </c>
    </row>
    <row r="866" customFormat="false" ht="15" hidden="false" customHeight="false" outlineLevel="0" collapsed="false">
      <c r="A866" s="29" t="n">
        <v>126783</v>
      </c>
      <c r="B866" s="29" t="s">
        <v>1713</v>
      </c>
      <c r="C866" s="29" t="s">
        <v>1714</v>
      </c>
      <c r="D866" s="29" t="s">
        <v>597</v>
      </c>
      <c r="E866" s="29" t="s">
        <v>598</v>
      </c>
      <c r="F866" s="29" t="s">
        <v>93</v>
      </c>
      <c r="G866" s="29" t="s">
        <v>67</v>
      </c>
      <c r="H866" s="29" t="s">
        <v>1844</v>
      </c>
      <c r="I866" s="29" t="s">
        <v>1859</v>
      </c>
      <c r="J866" s="29" t="n">
        <v>0</v>
      </c>
      <c r="K866" s="29" t="n">
        <v>12</v>
      </c>
      <c r="L866" s="29" t="s">
        <v>1866</v>
      </c>
    </row>
    <row r="867" customFormat="false" ht="15" hidden="false" customHeight="false" outlineLevel="0" collapsed="false">
      <c r="A867" s="29" t="n">
        <v>126783</v>
      </c>
      <c r="B867" s="29" t="s">
        <v>1713</v>
      </c>
      <c r="C867" s="29" t="s">
        <v>1714</v>
      </c>
      <c r="D867" s="29" t="s">
        <v>604</v>
      </c>
      <c r="E867" s="29" t="s">
        <v>605</v>
      </c>
      <c r="F867" s="29" t="s">
        <v>93</v>
      </c>
      <c r="G867" s="29" t="s">
        <v>68</v>
      </c>
      <c r="H867" s="29" t="s">
        <v>1381</v>
      </c>
      <c r="I867" s="29" t="s">
        <v>1859</v>
      </c>
      <c r="J867" s="29" t="n">
        <v>0</v>
      </c>
      <c r="K867" s="29" t="n">
        <v>0</v>
      </c>
      <c r="L867" s="29" t="s">
        <v>1846</v>
      </c>
    </row>
    <row r="868" customFormat="false" ht="15" hidden="false" customHeight="false" outlineLevel="0" collapsed="false">
      <c r="A868" s="29" t="n">
        <v>126783</v>
      </c>
      <c r="B868" s="29" t="s">
        <v>1713</v>
      </c>
      <c r="C868" s="29" t="s">
        <v>1714</v>
      </c>
      <c r="D868" s="29" t="s">
        <v>612</v>
      </c>
      <c r="E868" s="29" t="s">
        <v>613</v>
      </c>
      <c r="F868" s="29" t="s">
        <v>93</v>
      </c>
      <c r="G868" s="29" t="s">
        <v>68</v>
      </c>
      <c r="H868" s="29" t="s">
        <v>1381</v>
      </c>
      <c r="I868" s="29" t="s">
        <v>1859</v>
      </c>
      <c r="J868" s="29" t="n">
        <v>0</v>
      </c>
      <c r="K868" s="29" t="n">
        <v>0</v>
      </c>
      <c r="L868" s="29" t="s">
        <v>1846</v>
      </c>
    </row>
    <row r="869" customFormat="false" ht="15" hidden="false" customHeight="false" outlineLevel="0" collapsed="false">
      <c r="A869" s="29" t="n">
        <v>126783</v>
      </c>
      <c r="B869" s="29" t="s">
        <v>1713</v>
      </c>
      <c r="C869" s="29" t="s">
        <v>1714</v>
      </c>
      <c r="D869" s="29" t="s">
        <v>618</v>
      </c>
      <c r="E869" s="29" t="s">
        <v>619</v>
      </c>
      <c r="F869" s="29" t="s">
        <v>93</v>
      </c>
      <c r="G869" s="29" t="s">
        <v>68</v>
      </c>
      <c r="H869" s="29" t="s">
        <v>1381</v>
      </c>
      <c r="I869" s="29" t="s">
        <v>1859</v>
      </c>
      <c r="J869" s="29" t="n">
        <v>0</v>
      </c>
      <c r="K869" s="29" t="n">
        <v>0</v>
      </c>
      <c r="L869" s="29" t="s">
        <v>1846</v>
      </c>
    </row>
    <row r="870" customFormat="false" ht="15" hidden="false" customHeight="false" outlineLevel="0" collapsed="false">
      <c r="A870" s="29" t="n">
        <v>126783</v>
      </c>
      <c r="B870" s="29" t="s">
        <v>1713</v>
      </c>
      <c r="C870" s="29" t="s">
        <v>1714</v>
      </c>
      <c r="D870" s="29" t="s">
        <v>627</v>
      </c>
      <c r="E870" s="29" t="s">
        <v>628</v>
      </c>
      <c r="F870" s="29" t="s">
        <v>93</v>
      </c>
      <c r="G870" s="29" t="s">
        <v>68</v>
      </c>
      <c r="H870" s="29" t="s">
        <v>1381</v>
      </c>
      <c r="I870" s="29" t="s">
        <v>1858</v>
      </c>
      <c r="J870" s="29" t="n">
        <v>0</v>
      </c>
      <c r="K870" s="29" t="n">
        <v>0</v>
      </c>
      <c r="L870" s="29" t="s">
        <v>1846</v>
      </c>
    </row>
    <row r="871" customFormat="false" ht="15" hidden="false" customHeight="false" outlineLevel="0" collapsed="false">
      <c r="A871" s="29" t="n">
        <v>126783</v>
      </c>
      <c r="B871" s="29" t="s">
        <v>1713</v>
      </c>
      <c r="C871" s="29" t="s">
        <v>1714</v>
      </c>
      <c r="D871" s="29" t="s">
        <v>636</v>
      </c>
      <c r="E871" s="29" t="s">
        <v>637</v>
      </c>
      <c r="F871" s="29" t="s">
        <v>93</v>
      </c>
      <c r="G871" s="29" t="s">
        <v>68</v>
      </c>
      <c r="H871" s="29" t="s">
        <v>1381</v>
      </c>
      <c r="I871" s="29" t="s">
        <v>1858</v>
      </c>
      <c r="J871" s="29" t="n">
        <v>0</v>
      </c>
      <c r="K871" s="29" t="n">
        <v>0</v>
      </c>
      <c r="L871" s="29" t="s">
        <v>1846</v>
      </c>
    </row>
    <row r="872" customFormat="false" ht="15" hidden="false" customHeight="false" outlineLevel="0" collapsed="false">
      <c r="A872" s="29" t="n">
        <v>126783</v>
      </c>
      <c r="B872" s="29" t="s">
        <v>1713</v>
      </c>
      <c r="C872" s="29" t="s">
        <v>1714</v>
      </c>
      <c r="D872" s="29" t="s">
        <v>668</v>
      </c>
      <c r="E872" s="29" t="s">
        <v>669</v>
      </c>
      <c r="F872" s="29" t="s">
        <v>105</v>
      </c>
      <c r="G872" s="29" t="s">
        <v>66</v>
      </c>
      <c r="H872" s="29" t="s">
        <v>1379</v>
      </c>
      <c r="I872" s="29" t="s">
        <v>1854</v>
      </c>
      <c r="J872" s="29" t="n">
        <v>0</v>
      </c>
      <c r="K872" s="29" t="n">
        <v>0</v>
      </c>
      <c r="L872" s="29" t="s">
        <v>1846</v>
      </c>
    </row>
    <row r="873" customFormat="false" ht="15" hidden="false" customHeight="false" outlineLevel="0" collapsed="false">
      <c r="A873" s="29" t="n">
        <v>126783</v>
      </c>
      <c r="B873" s="29" t="s">
        <v>1713</v>
      </c>
      <c r="C873" s="29" t="s">
        <v>1714</v>
      </c>
      <c r="D873" s="29" t="s">
        <v>680</v>
      </c>
      <c r="E873" s="29" t="s">
        <v>681</v>
      </c>
      <c r="F873" s="29" t="s">
        <v>105</v>
      </c>
      <c r="G873" s="29" t="s">
        <v>66</v>
      </c>
      <c r="H873" s="29" t="s">
        <v>1379</v>
      </c>
      <c r="I873" s="29" t="s">
        <v>1854</v>
      </c>
      <c r="J873" s="29" t="n">
        <v>0</v>
      </c>
      <c r="K873" s="29" t="n">
        <v>0</v>
      </c>
      <c r="L873" s="29" t="s">
        <v>1846</v>
      </c>
    </row>
    <row r="874" customFormat="false" ht="15" hidden="false" customHeight="false" outlineLevel="0" collapsed="false">
      <c r="A874" s="29" t="n">
        <v>126783</v>
      </c>
      <c r="B874" s="29" t="s">
        <v>1713</v>
      </c>
      <c r="C874" s="29" t="s">
        <v>1714</v>
      </c>
      <c r="D874" s="29" t="s">
        <v>711</v>
      </c>
      <c r="E874" s="29" t="s">
        <v>712</v>
      </c>
      <c r="F874" s="29" t="s">
        <v>116</v>
      </c>
      <c r="G874" s="29" t="s">
        <v>66</v>
      </c>
      <c r="H874" s="29" t="s">
        <v>1379</v>
      </c>
      <c r="I874" s="29" t="s">
        <v>1854</v>
      </c>
      <c r="J874" s="29" t="n">
        <v>0</v>
      </c>
      <c r="K874" s="29" t="n">
        <v>9</v>
      </c>
      <c r="L874" s="29" t="s">
        <v>1866</v>
      </c>
    </row>
    <row r="875" customFormat="false" ht="15" hidden="false" customHeight="false" outlineLevel="0" collapsed="false">
      <c r="A875" s="29" t="n">
        <v>126783</v>
      </c>
      <c r="B875" s="29" t="s">
        <v>1713</v>
      </c>
      <c r="C875" s="29" t="s">
        <v>1714</v>
      </c>
      <c r="D875" s="29" t="s">
        <v>721</v>
      </c>
      <c r="E875" s="29" t="s">
        <v>722</v>
      </c>
      <c r="F875" s="29" t="s">
        <v>116</v>
      </c>
      <c r="G875" s="29" t="s">
        <v>66</v>
      </c>
      <c r="H875" s="29" t="s">
        <v>1379</v>
      </c>
      <c r="I875" s="29" t="s">
        <v>1854</v>
      </c>
      <c r="J875" s="29" t="n">
        <v>0</v>
      </c>
      <c r="K875" s="29" t="n">
        <v>0</v>
      </c>
      <c r="L875" s="29" t="s">
        <v>1846</v>
      </c>
    </row>
    <row r="876" customFormat="false" ht="15" hidden="false" customHeight="false" outlineLevel="0" collapsed="false">
      <c r="A876" s="29" t="n">
        <v>126783</v>
      </c>
      <c r="B876" s="29" t="s">
        <v>1713</v>
      </c>
      <c r="C876" s="29" t="s">
        <v>1714</v>
      </c>
      <c r="D876" s="29" t="s">
        <v>729</v>
      </c>
      <c r="E876" s="29" t="s">
        <v>730</v>
      </c>
      <c r="F876" s="29" t="s">
        <v>116</v>
      </c>
      <c r="G876" s="29" t="s">
        <v>67</v>
      </c>
      <c r="H876" s="29" t="s">
        <v>1844</v>
      </c>
      <c r="I876" s="29" t="s">
        <v>1879</v>
      </c>
      <c r="J876" s="29" t="n">
        <v>0</v>
      </c>
      <c r="K876" s="29" t="n">
        <v>0</v>
      </c>
      <c r="L876" s="29" t="s">
        <v>1846</v>
      </c>
    </row>
    <row r="877" customFormat="false" ht="15" hidden="false" customHeight="false" outlineLevel="0" collapsed="false">
      <c r="A877" s="29" t="n">
        <v>126783</v>
      </c>
      <c r="B877" s="29" t="s">
        <v>1713</v>
      </c>
      <c r="C877" s="29" t="s">
        <v>1714</v>
      </c>
      <c r="D877" s="29" t="s">
        <v>737</v>
      </c>
      <c r="E877" s="29" t="s">
        <v>738</v>
      </c>
      <c r="F877" s="29" t="s">
        <v>116</v>
      </c>
      <c r="G877" s="29" t="s">
        <v>67</v>
      </c>
      <c r="H877" s="29" t="s">
        <v>1844</v>
      </c>
      <c r="I877" s="29" t="s">
        <v>1879</v>
      </c>
      <c r="J877" s="29" t="n">
        <v>0</v>
      </c>
      <c r="K877" s="29" t="n">
        <v>0</v>
      </c>
      <c r="L877" s="29" t="s">
        <v>1846</v>
      </c>
    </row>
    <row r="878" customFormat="false" ht="15" hidden="false" customHeight="false" outlineLevel="0" collapsed="false">
      <c r="A878" s="29" t="n">
        <v>126783</v>
      </c>
      <c r="B878" s="29" t="s">
        <v>1713</v>
      </c>
      <c r="C878" s="29" t="s">
        <v>1714</v>
      </c>
      <c r="D878" s="29" t="s">
        <v>745</v>
      </c>
      <c r="E878" s="29" t="s">
        <v>746</v>
      </c>
      <c r="F878" s="29" t="s">
        <v>116</v>
      </c>
      <c r="G878" s="29" t="s">
        <v>67</v>
      </c>
      <c r="H878" s="29" t="s">
        <v>1844</v>
      </c>
      <c r="I878" s="29" t="s">
        <v>1860</v>
      </c>
      <c r="J878" s="29" t="n">
        <v>0</v>
      </c>
      <c r="K878" s="29" t="n">
        <v>0</v>
      </c>
      <c r="L878" s="29" t="s">
        <v>1846</v>
      </c>
    </row>
    <row r="879" customFormat="false" ht="15" hidden="false" customHeight="false" outlineLevel="0" collapsed="false">
      <c r="A879" s="29" t="n">
        <v>126783</v>
      </c>
      <c r="B879" s="29" t="s">
        <v>1713</v>
      </c>
      <c r="C879" s="29" t="s">
        <v>1714</v>
      </c>
      <c r="D879" s="29" t="s">
        <v>753</v>
      </c>
      <c r="E879" s="29" t="s">
        <v>754</v>
      </c>
      <c r="F879" s="29" t="s">
        <v>116</v>
      </c>
      <c r="G879" s="29" t="s">
        <v>68</v>
      </c>
      <c r="H879" s="29" t="s">
        <v>1381</v>
      </c>
      <c r="I879" s="29" t="s">
        <v>1860</v>
      </c>
      <c r="J879" s="29" t="n">
        <v>0</v>
      </c>
      <c r="K879" s="29" t="n">
        <v>0</v>
      </c>
      <c r="L879" s="29" t="s">
        <v>1846</v>
      </c>
    </row>
    <row r="880" customFormat="false" ht="15" hidden="false" customHeight="false" outlineLevel="0" collapsed="false">
      <c r="A880" s="29" t="n">
        <v>140679</v>
      </c>
      <c r="B880" s="29" t="s">
        <v>1717</v>
      </c>
      <c r="C880" s="29" t="s">
        <v>1718</v>
      </c>
      <c r="D880" s="29" t="s">
        <v>247</v>
      </c>
      <c r="E880" s="29" t="s">
        <v>248</v>
      </c>
      <c r="F880" s="29" t="s">
        <v>69</v>
      </c>
      <c r="G880" s="29" t="s">
        <v>67</v>
      </c>
      <c r="H880" s="29" t="s">
        <v>1844</v>
      </c>
      <c r="I880" s="29" t="s">
        <v>1848</v>
      </c>
      <c r="J880" s="29" t="n">
        <v>0</v>
      </c>
      <c r="K880" s="29" t="n">
        <v>0</v>
      </c>
      <c r="L880" s="29" t="s">
        <v>1849</v>
      </c>
    </row>
    <row r="881" customFormat="false" ht="15" hidden="false" customHeight="false" outlineLevel="0" collapsed="false">
      <c r="A881" s="29" t="n">
        <v>140679</v>
      </c>
      <c r="B881" s="29" t="s">
        <v>1717</v>
      </c>
      <c r="C881" s="29" t="s">
        <v>1718</v>
      </c>
      <c r="D881" s="29" t="s">
        <v>277</v>
      </c>
      <c r="E881" s="29" t="s">
        <v>278</v>
      </c>
      <c r="F881" s="29" t="s">
        <v>69</v>
      </c>
      <c r="G881" s="29" t="s">
        <v>67</v>
      </c>
      <c r="H881" s="29" t="s">
        <v>1379</v>
      </c>
      <c r="I881" s="29" t="s">
        <v>1850</v>
      </c>
      <c r="J881" s="29" t="n">
        <v>0</v>
      </c>
      <c r="K881" s="29" t="n">
        <v>0</v>
      </c>
      <c r="L881" s="29" t="s">
        <v>1849</v>
      </c>
    </row>
    <row r="882" customFormat="false" ht="15" hidden="false" customHeight="false" outlineLevel="0" collapsed="false">
      <c r="A882" s="29" t="n">
        <v>140679</v>
      </c>
      <c r="B882" s="29" t="s">
        <v>1717</v>
      </c>
      <c r="C882" s="29" t="s">
        <v>1718</v>
      </c>
      <c r="D882" s="29" t="s">
        <v>297</v>
      </c>
      <c r="E882" s="29" t="s">
        <v>298</v>
      </c>
      <c r="F882" s="29" t="s">
        <v>69</v>
      </c>
      <c r="G882" s="29" t="s">
        <v>68</v>
      </c>
      <c r="H882" s="29" t="s">
        <v>1381</v>
      </c>
      <c r="I882" s="29" t="s">
        <v>1848</v>
      </c>
      <c r="J882" s="29" t="n">
        <v>0</v>
      </c>
      <c r="K882" s="29" t="n">
        <v>0</v>
      </c>
      <c r="L882" s="29" t="s">
        <v>1849</v>
      </c>
    </row>
    <row r="883" customFormat="false" ht="15" hidden="false" customHeight="false" outlineLevel="0" collapsed="false">
      <c r="A883" s="29" t="n">
        <v>140679</v>
      </c>
      <c r="B883" s="29" t="s">
        <v>1717</v>
      </c>
      <c r="C883" s="29" t="s">
        <v>1718</v>
      </c>
      <c r="D883" s="29" t="s">
        <v>304</v>
      </c>
      <c r="E883" s="29" t="s">
        <v>305</v>
      </c>
      <c r="F883" s="29" t="s">
        <v>69</v>
      </c>
      <c r="G883" s="29" t="s">
        <v>68</v>
      </c>
      <c r="H883" s="29" t="s">
        <v>1381</v>
      </c>
      <c r="I883" s="29" t="s">
        <v>1851</v>
      </c>
      <c r="J883" s="29" t="n">
        <v>0</v>
      </c>
      <c r="K883" s="29" t="n">
        <v>0</v>
      </c>
      <c r="L883" s="29" t="s">
        <v>1849</v>
      </c>
    </row>
    <row r="884" customFormat="false" ht="15" hidden="false" customHeight="false" outlineLevel="0" collapsed="false">
      <c r="A884" s="29" t="n">
        <v>140679</v>
      </c>
      <c r="B884" s="29" t="s">
        <v>1717</v>
      </c>
      <c r="C884" s="29" t="s">
        <v>1718</v>
      </c>
      <c r="D884" s="29" t="s">
        <v>311</v>
      </c>
      <c r="E884" s="29" t="s">
        <v>312</v>
      </c>
      <c r="F884" s="29" t="s">
        <v>69</v>
      </c>
      <c r="G884" s="29" t="s">
        <v>68</v>
      </c>
      <c r="H884" s="29" t="s">
        <v>1381</v>
      </c>
      <c r="I884" s="29" t="s">
        <v>1851</v>
      </c>
      <c r="J884" s="29" t="n">
        <v>0</v>
      </c>
      <c r="K884" s="29" t="n">
        <v>0</v>
      </c>
      <c r="L884" s="29" t="s">
        <v>1849</v>
      </c>
    </row>
    <row r="885" customFormat="false" ht="15" hidden="false" customHeight="false" outlineLevel="0" collapsed="false">
      <c r="A885" s="29" t="n">
        <v>140679</v>
      </c>
      <c r="B885" s="29" t="s">
        <v>1717</v>
      </c>
      <c r="C885" s="29" t="s">
        <v>1718</v>
      </c>
      <c r="D885" s="29" t="s">
        <v>325</v>
      </c>
      <c r="E885" s="29" t="s">
        <v>326</v>
      </c>
      <c r="F885" s="29" t="s">
        <v>76</v>
      </c>
      <c r="G885" s="29" t="s">
        <v>67</v>
      </c>
      <c r="H885" s="29" t="s">
        <v>1844</v>
      </c>
      <c r="I885" s="29" t="s">
        <v>1852</v>
      </c>
      <c r="J885" s="29" t="n">
        <v>0</v>
      </c>
      <c r="K885" s="29" t="n">
        <v>13</v>
      </c>
      <c r="L885" s="29" t="s">
        <v>1866</v>
      </c>
    </row>
    <row r="886" customFormat="false" ht="15" hidden="false" customHeight="false" outlineLevel="0" collapsed="false">
      <c r="A886" s="29" t="n">
        <v>140679</v>
      </c>
      <c r="B886" s="29" t="s">
        <v>1717</v>
      </c>
      <c r="C886" s="29" t="s">
        <v>1718</v>
      </c>
      <c r="D886" s="29" t="s">
        <v>336</v>
      </c>
      <c r="E886" s="29" t="s">
        <v>337</v>
      </c>
      <c r="F886" s="29" t="s">
        <v>76</v>
      </c>
      <c r="G886" s="29" t="s">
        <v>67</v>
      </c>
      <c r="H886" s="29" t="s">
        <v>1844</v>
      </c>
      <c r="I886" s="29" t="s">
        <v>1852</v>
      </c>
      <c r="J886" s="29" t="n">
        <v>0</v>
      </c>
      <c r="K886" s="29" t="n">
        <v>0</v>
      </c>
      <c r="L886" s="29" t="s">
        <v>1849</v>
      </c>
    </row>
    <row r="887" customFormat="false" ht="15" hidden="false" customHeight="false" outlineLevel="0" collapsed="false">
      <c r="A887" s="29" t="n">
        <v>140679</v>
      </c>
      <c r="B887" s="29" t="s">
        <v>1717</v>
      </c>
      <c r="C887" s="29" t="s">
        <v>1718</v>
      </c>
      <c r="D887" s="29" t="s">
        <v>343</v>
      </c>
      <c r="E887" s="29" t="s">
        <v>344</v>
      </c>
      <c r="F887" s="29" t="s">
        <v>76</v>
      </c>
      <c r="G887" s="29" t="s">
        <v>67</v>
      </c>
      <c r="H887" s="29" t="s">
        <v>1844</v>
      </c>
      <c r="I887" s="29" t="s">
        <v>1873</v>
      </c>
      <c r="J887" s="29" t="n">
        <v>0</v>
      </c>
      <c r="K887" s="29" t="n">
        <v>13</v>
      </c>
      <c r="L887" s="29" t="s">
        <v>1866</v>
      </c>
    </row>
    <row r="888" customFormat="false" ht="15" hidden="false" customHeight="false" outlineLevel="0" collapsed="false">
      <c r="A888" s="29" t="n">
        <v>140679</v>
      </c>
      <c r="B888" s="29" t="s">
        <v>1717</v>
      </c>
      <c r="C888" s="29" t="s">
        <v>1718</v>
      </c>
      <c r="D888" s="29" t="s">
        <v>353</v>
      </c>
      <c r="E888" s="29" t="s">
        <v>354</v>
      </c>
      <c r="F888" s="29" t="s">
        <v>76</v>
      </c>
      <c r="G888" s="29" t="s">
        <v>67</v>
      </c>
      <c r="H888" s="29" t="s">
        <v>1844</v>
      </c>
      <c r="I888" s="29" t="s">
        <v>1853</v>
      </c>
      <c r="J888" s="29" t="n">
        <v>0</v>
      </c>
      <c r="K888" s="29" t="n">
        <v>13</v>
      </c>
      <c r="L888" s="29" t="s">
        <v>1866</v>
      </c>
    </row>
    <row r="889" customFormat="false" ht="15" hidden="false" customHeight="false" outlineLevel="0" collapsed="false">
      <c r="A889" s="29" t="n">
        <v>140679</v>
      </c>
      <c r="B889" s="29" t="s">
        <v>1717</v>
      </c>
      <c r="C889" s="29" t="s">
        <v>1718</v>
      </c>
      <c r="D889" s="29" t="s">
        <v>360</v>
      </c>
      <c r="E889" s="29" t="s">
        <v>361</v>
      </c>
      <c r="F889" s="29" t="s">
        <v>76</v>
      </c>
      <c r="G889" s="29" t="s">
        <v>67</v>
      </c>
      <c r="H889" s="29" t="s">
        <v>1844</v>
      </c>
      <c r="I889" s="29" t="s">
        <v>1873</v>
      </c>
      <c r="J889" s="29" t="n">
        <v>0</v>
      </c>
      <c r="K889" s="29" t="n">
        <v>0</v>
      </c>
      <c r="L889" s="29" t="s">
        <v>1849</v>
      </c>
    </row>
    <row r="890" customFormat="false" ht="15" hidden="false" customHeight="false" outlineLevel="0" collapsed="false">
      <c r="A890" s="29" t="n">
        <v>140679</v>
      </c>
      <c r="B890" s="29" t="s">
        <v>1717</v>
      </c>
      <c r="C890" s="29" t="s">
        <v>1718</v>
      </c>
      <c r="D890" s="29" t="s">
        <v>371</v>
      </c>
      <c r="E890" s="29" t="s">
        <v>372</v>
      </c>
      <c r="F890" s="29" t="s">
        <v>76</v>
      </c>
      <c r="G890" s="29" t="s">
        <v>67</v>
      </c>
      <c r="H890" s="29" t="s">
        <v>1844</v>
      </c>
      <c r="I890" s="29" t="s">
        <v>1873</v>
      </c>
      <c r="J890" s="29" t="n">
        <v>0</v>
      </c>
      <c r="K890" s="29" t="n">
        <v>0</v>
      </c>
      <c r="L890" s="29" t="s">
        <v>1849</v>
      </c>
    </row>
    <row r="891" customFormat="false" ht="15" hidden="false" customHeight="false" outlineLevel="0" collapsed="false">
      <c r="A891" s="29" t="n">
        <v>140679</v>
      </c>
      <c r="B891" s="29" t="s">
        <v>1717</v>
      </c>
      <c r="C891" s="29" t="s">
        <v>1718</v>
      </c>
      <c r="D891" s="29" t="s">
        <v>387</v>
      </c>
      <c r="E891" s="29" t="s">
        <v>388</v>
      </c>
      <c r="F891" s="29" t="s">
        <v>76</v>
      </c>
      <c r="G891" s="29" t="s">
        <v>68</v>
      </c>
      <c r="H891" s="29" t="s">
        <v>1381</v>
      </c>
      <c r="I891" s="29" t="s">
        <v>1853</v>
      </c>
      <c r="J891" s="29" t="n">
        <v>0</v>
      </c>
      <c r="K891" s="29" t="n">
        <v>0</v>
      </c>
      <c r="L891" s="29" t="s">
        <v>1849</v>
      </c>
    </row>
    <row r="892" customFormat="false" ht="15" hidden="false" customHeight="false" outlineLevel="0" collapsed="false">
      <c r="A892" s="29" t="n">
        <v>140679</v>
      </c>
      <c r="B892" s="29" t="s">
        <v>1717</v>
      </c>
      <c r="C892" s="29" t="s">
        <v>1718</v>
      </c>
      <c r="D892" s="29" t="s">
        <v>396</v>
      </c>
      <c r="E892" s="29" t="s">
        <v>397</v>
      </c>
      <c r="F892" s="29" t="s">
        <v>76</v>
      </c>
      <c r="G892" s="29" t="s">
        <v>68</v>
      </c>
      <c r="H892" s="29" t="s">
        <v>1381</v>
      </c>
      <c r="I892" s="29" t="s">
        <v>1853</v>
      </c>
      <c r="J892" s="29" t="n">
        <v>0</v>
      </c>
      <c r="K892" s="29" t="n">
        <v>0</v>
      </c>
      <c r="L892" s="29" t="s">
        <v>1849</v>
      </c>
    </row>
    <row r="893" customFormat="false" ht="15" hidden="false" customHeight="false" outlineLevel="0" collapsed="false">
      <c r="A893" s="29" t="n">
        <v>140679</v>
      </c>
      <c r="B893" s="29" t="s">
        <v>1717</v>
      </c>
      <c r="C893" s="29" t="s">
        <v>1718</v>
      </c>
      <c r="D893" s="29" t="s">
        <v>403</v>
      </c>
      <c r="E893" s="29" t="s">
        <v>404</v>
      </c>
      <c r="F893" s="29" t="s">
        <v>76</v>
      </c>
      <c r="G893" s="29" t="s">
        <v>68</v>
      </c>
      <c r="H893" s="29" t="s">
        <v>1381</v>
      </c>
      <c r="I893" s="29" t="s">
        <v>1852</v>
      </c>
      <c r="J893" s="29" t="n">
        <v>0</v>
      </c>
      <c r="K893" s="29" t="n">
        <v>0</v>
      </c>
      <c r="L893" s="29" t="s">
        <v>1849</v>
      </c>
    </row>
    <row r="894" customFormat="false" ht="15" hidden="false" customHeight="false" outlineLevel="0" collapsed="false">
      <c r="A894" s="29" t="n">
        <v>140679</v>
      </c>
      <c r="B894" s="29" t="s">
        <v>1717</v>
      </c>
      <c r="C894" s="29" t="s">
        <v>1718</v>
      </c>
      <c r="D894" s="29" t="s">
        <v>411</v>
      </c>
      <c r="E894" s="29" t="s">
        <v>412</v>
      </c>
      <c r="F894" s="29" t="s">
        <v>76</v>
      </c>
      <c r="G894" s="29" t="s">
        <v>68</v>
      </c>
      <c r="H894" s="29" t="s">
        <v>1381</v>
      </c>
      <c r="I894" s="29" t="s">
        <v>1873</v>
      </c>
      <c r="J894" s="29" t="n">
        <v>0</v>
      </c>
      <c r="K894" s="29" t="n">
        <v>0</v>
      </c>
      <c r="L894" s="29" t="s">
        <v>1849</v>
      </c>
    </row>
    <row r="895" customFormat="false" ht="15" hidden="false" customHeight="false" outlineLevel="0" collapsed="false">
      <c r="A895" s="29" t="n">
        <v>140679</v>
      </c>
      <c r="B895" s="29" t="s">
        <v>1717</v>
      </c>
      <c r="C895" s="29" t="s">
        <v>1718</v>
      </c>
      <c r="D895" s="29" t="s">
        <v>428</v>
      </c>
      <c r="E895" s="29" t="s">
        <v>429</v>
      </c>
      <c r="F895" s="29" t="s">
        <v>76</v>
      </c>
      <c r="G895" s="29" t="s">
        <v>68</v>
      </c>
      <c r="H895" s="29" t="s">
        <v>1381</v>
      </c>
      <c r="I895" s="29" t="s">
        <v>1853</v>
      </c>
      <c r="J895" s="29" t="n">
        <v>0</v>
      </c>
      <c r="K895" s="29" t="n">
        <v>0</v>
      </c>
      <c r="L895" s="29" t="s">
        <v>1849</v>
      </c>
    </row>
    <row r="896" customFormat="false" ht="15" hidden="false" customHeight="false" outlineLevel="0" collapsed="false">
      <c r="A896" s="29" t="n">
        <v>140679</v>
      </c>
      <c r="B896" s="29" t="s">
        <v>1717</v>
      </c>
      <c r="C896" s="29" t="s">
        <v>1718</v>
      </c>
      <c r="D896" s="29" t="s">
        <v>433</v>
      </c>
      <c r="E896" s="29" t="s">
        <v>434</v>
      </c>
      <c r="F896" s="29" t="s">
        <v>82</v>
      </c>
      <c r="G896" s="29" t="s">
        <v>66</v>
      </c>
      <c r="H896" s="29" t="s">
        <v>1379</v>
      </c>
      <c r="I896" s="29" t="s">
        <v>1854</v>
      </c>
      <c r="J896" s="29" t="n">
        <v>0</v>
      </c>
      <c r="K896" s="29" t="n">
        <v>0</v>
      </c>
      <c r="L896" s="29" t="s">
        <v>1849</v>
      </c>
    </row>
    <row r="897" customFormat="false" ht="15" hidden="false" customHeight="false" outlineLevel="0" collapsed="false">
      <c r="A897" s="29" t="n">
        <v>140679</v>
      </c>
      <c r="B897" s="29" t="s">
        <v>1717</v>
      </c>
      <c r="C897" s="29" t="s">
        <v>1718</v>
      </c>
      <c r="D897" s="29" t="s">
        <v>451</v>
      </c>
      <c r="E897" s="29" t="s">
        <v>452</v>
      </c>
      <c r="F897" s="29" t="s">
        <v>82</v>
      </c>
      <c r="G897" s="29" t="s">
        <v>67</v>
      </c>
      <c r="H897" s="29" t="s">
        <v>1379</v>
      </c>
      <c r="I897" s="29" t="s">
        <v>1855</v>
      </c>
      <c r="J897" s="29" t="n">
        <v>0</v>
      </c>
      <c r="K897" s="29" t="n">
        <v>0</v>
      </c>
      <c r="L897" s="29" t="s">
        <v>1849</v>
      </c>
    </row>
    <row r="898" customFormat="false" ht="15" hidden="false" customHeight="false" outlineLevel="0" collapsed="false">
      <c r="A898" s="29" t="n">
        <v>140679</v>
      </c>
      <c r="B898" s="29" t="s">
        <v>1717</v>
      </c>
      <c r="C898" s="29" t="s">
        <v>1718</v>
      </c>
      <c r="D898" s="29" t="s">
        <v>459</v>
      </c>
      <c r="E898" s="29" t="s">
        <v>460</v>
      </c>
      <c r="F898" s="29" t="s">
        <v>82</v>
      </c>
      <c r="G898" s="29" t="s">
        <v>67</v>
      </c>
      <c r="H898" s="29" t="s">
        <v>1379</v>
      </c>
      <c r="I898" s="29" t="s">
        <v>1855</v>
      </c>
      <c r="J898" s="29" t="n">
        <v>0</v>
      </c>
      <c r="K898" s="29" t="n">
        <v>0</v>
      </c>
      <c r="L898" s="29" t="s">
        <v>1849</v>
      </c>
    </row>
    <row r="899" customFormat="false" ht="15" hidden="false" customHeight="false" outlineLevel="0" collapsed="false">
      <c r="A899" s="29" t="n">
        <v>140679</v>
      </c>
      <c r="B899" s="29" t="s">
        <v>1717</v>
      </c>
      <c r="C899" s="29" t="s">
        <v>1718</v>
      </c>
      <c r="D899" s="29" t="s">
        <v>466</v>
      </c>
      <c r="E899" s="29" t="s">
        <v>467</v>
      </c>
      <c r="F899" s="29" t="s">
        <v>82</v>
      </c>
      <c r="G899" s="29" t="s">
        <v>67</v>
      </c>
      <c r="H899" s="29" t="s">
        <v>1379</v>
      </c>
      <c r="I899" s="29" t="s">
        <v>1855</v>
      </c>
      <c r="J899" s="29" t="n">
        <v>0</v>
      </c>
      <c r="K899" s="29" t="n">
        <v>0</v>
      </c>
      <c r="L899" s="29" t="s">
        <v>1849</v>
      </c>
    </row>
    <row r="900" customFormat="false" ht="15" hidden="false" customHeight="false" outlineLevel="0" collapsed="false">
      <c r="A900" s="29" t="n">
        <v>140679</v>
      </c>
      <c r="B900" s="29" t="s">
        <v>1717</v>
      </c>
      <c r="C900" s="29" t="s">
        <v>1718</v>
      </c>
      <c r="D900" s="29" t="s">
        <v>508</v>
      </c>
      <c r="E900" s="29" t="s">
        <v>509</v>
      </c>
      <c r="F900" s="29" t="s">
        <v>88</v>
      </c>
      <c r="G900" s="29" t="s">
        <v>67</v>
      </c>
      <c r="H900" s="29" t="s">
        <v>1379</v>
      </c>
      <c r="I900" s="29" t="s">
        <v>1850</v>
      </c>
      <c r="J900" s="29" t="n">
        <v>3</v>
      </c>
      <c r="K900" s="29" t="n">
        <v>0</v>
      </c>
      <c r="L900" s="29" t="s">
        <v>1867</v>
      </c>
    </row>
    <row r="901" customFormat="false" ht="15" hidden="false" customHeight="false" outlineLevel="0" collapsed="false">
      <c r="A901" s="29" t="n">
        <v>140679</v>
      </c>
      <c r="B901" s="29" t="s">
        <v>1717</v>
      </c>
      <c r="C901" s="29" t="s">
        <v>1718</v>
      </c>
      <c r="D901" s="29" t="s">
        <v>515</v>
      </c>
      <c r="E901" s="29" t="s">
        <v>516</v>
      </c>
      <c r="F901" s="29" t="s">
        <v>88</v>
      </c>
      <c r="G901" s="29" t="s">
        <v>67</v>
      </c>
      <c r="H901" s="29" t="s">
        <v>1379</v>
      </c>
      <c r="I901" s="29" t="s">
        <v>1850</v>
      </c>
      <c r="J901" s="29" t="n">
        <v>0</v>
      </c>
      <c r="K901" s="29" t="n">
        <v>0</v>
      </c>
      <c r="L901" s="29" t="s">
        <v>1849</v>
      </c>
    </row>
    <row r="902" customFormat="false" ht="15" hidden="false" customHeight="false" outlineLevel="0" collapsed="false">
      <c r="A902" s="29" t="n">
        <v>140679</v>
      </c>
      <c r="B902" s="29" t="s">
        <v>1717</v>
      </c>
      <c r="C902" s="29" t="s">
        <v>1718</v>
      </c>
      <c r="D902" s="29" t="s">
        <v>523</v>
      </c>
      <c r="E902" s="29" t="s">
        <v>524</v>
      </c>
      <c r="F902" s="29" t="s">
        <v>88</v>
      </c>
      <c r="G902" s="29" t="s">
        <v>67</v>
      </c>
      <c r="H902" s="29" t="s">
        <v>1844</v>
      </c>
      <c r="I902" s="29" t="s">
        <v>1856</v>
      </c>
      <c r="J902" s="29" t="n">
        <v>0</v>
      </c>
      <c r="K902" s="29" t="n">
        <v>7</v>
      </c>
      <c r="L902" s="29" t="s">
        <v>1866</v>
      </c>
    </row>
    <row r="903" customFormat="false" ht="15" hidden="false" customHeight="false" outlineLevel="0" collapsed="false">
      <c r="A903" s="29" t="n">
        <v>140679</v>
      </c>
      <c r="B903" s="29" t="s">
        <v>1717</v>
      </c>
      <c r="C903" s="29" t="s">
        <v>1718</v>
      </c>
      <c r="D903" s="29" t="s">
        <v>530</v>
      </c>
      <c r="E903" s="29" t="s">
        <v>531</v>
      </c>
      <c r="F903" s="29" t="s">
        <v>88</v>
      </c>
      <c r="G903" s="29" t="s">
        <v>68</v>
      </c>
      <c r="H903" s="29" t="s">
        <v>1381</v>
      </c>
      <c r="I903" s="29" t="s">
        <v>1847</v>
      </c>
      <c r="J903" s="29" t="n">
        <v>0</v>
      </c>
      <c r="K903" s="29" t="n">
        <v>0</v>
      </c>
      <c r="L903" s="29" t="s">
        <v>1849</v>
      </c>
    </row>
    <row r="904" customFormat="false" ht="15" hidden="false" customHeight="false" outlineLevel="0" collapsed="false">
      <c r="A904" s="29" t="n">
        <v>140679</v>
      </c>
      <c r="B904" s="29" t="s">
        <v>1717</v>
      </c>
      <c r="C904" s="29" t="s">
        <v>1718</v>
      </c>
      <c r="D904" s="29" t="s">
        <v>536</v>
      </c>
      <c r="E904" s="29" t="s">
        <v>537</v>
      </c>
      <c r="F904" s="29" t="s">
        <v>88</v>
      </c>
      <c r="G904" s="29" t="s">
        <v>68</v>
      </c>
      <c r="H904" s="29" t="s">
        <v>1381</v>
      </c>
      <c r="I904" s="29" t="s">
        <v>1847</v>
      </c>
      <c r="J904" s="29" t="n">
        <v>0</v>
      </c>
      <c r="K904" s="29" t="n">
        <v>0</v>
      </c>
      <c r="L904" s="29" t="s">
        <v>1849</v>
      </c>
    </row>
    <row r="905" customFormat="false" ht="15" hidden="false" customHeight="false" outlineLevel="0" collapsed="false">
      <c r="A905" s="29" t="n">
        <v>140679</v>
      </c>
      <c r="B905" s="29" t="s">
        <v>1717</v>
      </c>
      <c r="C905" s="29" t="s">
        <v>1718</v>
      </c>
      <c r="D905" s="29" t="s">
        <v>543</v>
      </c>
      <c r="E905" s="29" t="s">
        <v>544</v>
      </c>
      <c r="F905" s="29" t="s">
        <v>88</v>
      </c>
      <c r="G905" s="29" t="s">
        <v>68</v>
      </c>
      <c r="H905" s="29" t="s">
        <v>1381</v>
      </c>
      <c r="I905" s="29" t="s">
        <v>1847</v>
      </c>
      <c r="J905" s="29" t="n">
        <v>0</v>
      </c>
      <c r="K905" s="29" t="n">
        <v>0</v>
      </c>
      <c r="L905" s="29" t="s">
        <v>1849</v>
      </c>
    </row>
    <row r="906" customFormat="false" ht="15" hidden="false" customHeight="false" outlineLevel="0" collapsed="false">
      <c r="A906" s="29" t="n">
        <v>140679</v>
      </c>
      <c r="B906" s="29" t="s">
        <v>1717</v>
      </c>
      <c r="C906" s="29" t="s">
        <v>1718</v>
      </c>
      <c r="D906" s="29" t="s">
        <v>551</v>
      </c>
      <c r="E906" s="29" t="s">
        <v>552</v>
      </c>
      <c r="F906" s="29" t="s">
        <v>88</v>
      </c>
      <c r="G906" s="29" t="s">
        <v>68</v>
      </c>
      <c r="H906" s="29" t="s">
        <v>1381</v>
      </c>
      <c r="I906" s="29" t="s">
        <v>1857</v>
      </c>
      <c r="J906" s="29" t="n">
        <v>0</v>
      </c>
      <c r="K906" s="29" t="n">
        <v>0</v>
      </c>
      <c r="L906" s="29" t="s">
        <v>1849</v>
      </c>
    </row>
    <row r="907" customFormat="false" ht="15" hidden="false" customHeight="false" outlineLevel="0" collapsed="false">
      <c r="A907" s="29" t="n">
        <v>140679</v>
      </c>
      <c r="B907" s="29" t="s">
        <v>1717</v>
      </c>
      <c r="C907" s="29" t="s">
        <v>1718</v>
      </c>
      <c r="D907" s="29" t="s">
        <v>558</v>
      </c>
      <c r="E907" s="29" t="s">
        <v>559</v>
      </c>
      <c r="F907" s="29" t="s">
        <v>88</v>
      </c>
      <c r="G907" s="29" t="s">
        <v>68</v>
      </c>
      <c r="H907" s="29" t="s">
        <v>1381</v>
      </c>
      <c r="I907" s="29" t="s">
        <v>1856</v>
      </c>
      <c r="J907" s="29" t="n">
        <v>0</v>
      </c>
      <c r="K907" s="29" t="n">
        <v>9</v>
      </c>
      <c r="L907" s="29" t="s">
        <v>1866</v>
      </c>
    </row>
    <row r="908" customFormat="false" ht="15" hidden="false" customHeight="false" outlineLevel="0" collapsed="false">
      <c r="A908" s="29" t="n">
        <v>140679</v>
      </c>
      <c r="B908" s="29" t="s">
        <v>1717</v>
      </c>
      <c r="C908" s="29" t="s">
        <v>1718</v>
      </c>
      <c r="D908" s="29" t="s">
        <v>565</v>
      </c>
      <c r="E908" s="29" t="s">
        <v>566</v>
      </c>
      <c r="F908" s="29" t="s">
        <v>88</v>
      </c>
      <c r="G908" s="29" t="s">
        <v>68</v>
      </c>
      <c r="H908" s="29" t="s">
        <v>1381</v>
      </c>
      <c r="I908" s="29" t="s">
        <v>1856</v>
      </c>
      <c r="J908" s="29" t="n">
        <v>0</v>
      </c>
      <c r="K908" s="29" t="n">
        <v>9</v>
      </c>
      <c r="L908" s="29" t="s">
        <v>1866</v>
      </c>
    </row>
    <row r="909" customFormat="false" ht="15" hidden="false" customHeight="false" outlineLevel="0" collapsed="false">
      <c r="A909" s="29" t="n">
        <v>140679</v>
      </c>
      <c r="B909" s="29" t="s">
        <v>1717</v>
      </c>
      <c r="C909" s="29" t="s">
        <v>1718</v>
      </c>
      <c r="D909" s="29" t="s">
        <v>572</v>
      </c>
      <c r="E909" s="29" t="s">
        <v>573</v>
      </c>
      <c r="F909" s="29" t="s">
        <v>88</v>
      </c>
      <c r="G909" s="29" t="s">
        <v>68</v>
      </c>
      <c r="H909" s="29" t="s">
        <v>1381</v>
      </c>
      <c r="I909" s="29" t="s">
        <v>1847</v>
      </c>
      <c r="J909" s="29" t="n">
        <v>0</v>
      </c>
      <c r="K909" s="29" t="n">
        <v>0</v>
      </c>
      <c r="L909" s="29" t="s">
        <v>1849</v>
      </c>
    </row>
    <row r="910" customFormat="false" ht="15" hidden="false" customHeight="false" outlineLevel="0" collapsed="false">
      <c r="A910" s="29" t="n">
        <v>140679</v>
      </c>
      <c r="B910" s="29" t="s">
        <v>1717</v>
      </c>
      <c r="C910" s="29" t="s">
        <v>1718</v>
      </c>
      <c r="D910" s="29" t="s">
        <v>581</v>
      </c>
      <c r="E910" s="29" t="s">
        <v>582</v>
      </c>
      <c r="F910" s="29" t="s">
        <v>93</v>
      </c>
      <c r="G910" s="29" t="s">
        <v>67</v>
      </c>
      <c r="H910" s="29" t="s">
        <v>1844</v>
      </c>
      <c r="I910" s="29" t="s">
        <v>1858</v>
      </c>
      <c r="J910" s="29" t="n">
        <v>0</v>
      </c>
      <c r="K910" s="29" t="n">
        <v>0</v>
      </c>
      <c r="L910" s="29" t="s">
        <v>1849</v>
      </c>
    </row>
    <row r="911" customFormat="false" ht="15" hidden="false" customHeight="false" outlineLevel="0" collapsed="false">
      <c r="A911" s="29" t="n">
        <v>140679</v>
      </c>
      <c r="B911" s="29" t="s">
        <v>1717</v>
      </c>
      <c r="C911" s="29" t="s">
        <v>1718</v>
      </c>
      <c r="D911" s="29" t="s">
        <v>590</v>
      </c>
      <c r="E911" s="29" t="s">
        <v>591</v>
      </c>
      <c r="F911" s="29" t="s">
        <v>93</v>
      </c>
      <c r="G911" s="29" t="s">
        <v>67</v>
      </c>
      <c r="H911" s="29" t="s">
        <v>1844</v>
      </c>
      <c r="I911" s="29" t="s">
        <v>1859</v>
      </c>
      <c r="J911" s="29" t="n">
        <v>0</v>
      </c>
      <c r="K911" s="29" t="n">
        <v>7</v>
      </c>
      <c r="L911" s="29" t="s">
        <v>1866</v>
      </c>
    </row>
    <row r="912" customFormat="false" ht="15" hidden="false" customHeight="false" outlineLevel="0" collapsed="false">
      <c r="A912" s="29" t="n">
        <v>140679</v>
      </c>
      <c r="B912" s="29" t="s">
        <v>1717</v>
      </c>
      <c r="C912" s="29" t="s">
        <v>1718</v>
      </c>
      <c r="D912" s="29" t="s">
        <v>597</v>
      </c>
      <c r="E912" s="29" t="s">
        <v>598</v>
      </c>
      <c r="F912" s="29" t="s">
        <v>93</v>
      </c>
      <c r="G912" s="29" t="s">
        <v>67</v>
      </c>
      <c r="H912" s="29" t="s">
        <v>1844</v>
      </c>
      <c r="I912" s="29" t="s">
        <v>1859</v>
      </c>
      <c r="J912" s="29" t="n">
        <v>0</v>
      </c>
      <c r="K912" s="29" t="n">
        <v>7</v>
      </c>
      <c r="L912" s="29" t="s">
        <v>1866</v>
      </c>
    </row>
    <row r="913" customFormat="false" ht="15" hidden="false" customHeight="false" outlineLevel="0" collapsed="false">
      <c r="A913" s="29" t="n">
        <v>140679</v>
      </c>
      <c r="B913" s="29" t="s">
        <v>1717</v>
      </c>
      <c r="C913" s="29" t="s">
        <v>1718</v>
      </c>
      <c r="D913" s="29" t="s">
        <v>604</v>
      </c>
      <c r="E913" s="29" t="s">
        <v>605</v>
      </c>
      <c r="F913" s="29" t="s">
        <v>93</v>
      </c>
      <c r="G913" s="29" t="s">
        <v>68</v>
      </c>
      <c r="H913" s="29" t="s">
        <v>1381</v>
      </c>
      <c r="I913" s="29" t="s">
        <v>1859</v>
      </c>
      <c r="J913" s="29" t="n">
        <v>0</v>
      </c>
      <c r="K913" s="29" t="n">
        <v>0</v>
      </c>
      <c r="L913" s="29" t="s">
        <v>1849</v>
      </c>
    </row>
    <row r="914" customFormat="false" ht="15" hidden="false" customHeight="false" outlineLevel="0" collapsed="false">
      <c r="A914" s="29" t="n">
        <v>140679</v>
      </c>
      <c r="B914" s="29" t="s">
        <v>1717</v>
      </c>
      <c r="C914" s="29" t="s">
        <v>1718</v>
      </c>
      <c r="D914" s="29" t="s">
        <v>612</v>
      </c>
      <c r="E914" s="29" t="s">
        <v>613</v>
      </c>
      <c r="F914" s="29" t="s">
        <v>93</v>
      </c>
      <c r="G914" s="29" t="s">
        <v>68</v>
      </c>
      <c r="H914" s="29" t="s">
        <v>1381</v>
      </c>
      <c r="I914" s="29" t="s">
        <v>1859</v>
      </c>
      <c r="J914" s="29" t="n">
        <v>0</v>
      </c>
      <c r="K914" s="29" t="n">
        <v>0</v>
      </c>
      <c r="L914" s="29" t="s">
        <v>1849</v>
      </c>
    </row>
    <row r="915" customFormat="false" ht="15" hidden="false" customHeight="false" outlineLevel="0" collapsed="false">
      <c r="A915" s="29" t="n">
        <v>140679</v>
      </c>
      <c r="B915" s="29" t="s">
        <v>1717</v>
      </c>
      <c r="C915" s="29" t="s">
        <v>1718</v>
      </c>
      <c r="D915" s="29" t="s">
        <v>618</v>
      </c>
      <c r="E915" s="29" t="s">
        <v>619</v>
      </c>
      <c r="F915" s="29" t="s">
        <v>93</v>
      </c>
      <c r="G915" s="29" t="s">
        <v>68</v>
      </c>
      <c r="H915" s="29" t="s">
        <v>1381</v>
      </c>
      <c r="I915" s="29" t="s">
        <v>1859</v>
      </c>
      <c r="J915" s="29" t="n">
        <v>0</v>
      </c>
      <c r="K915" s="29" t="n">
        <v>0</v>
      </c>
      <c r="L915" s="29" t="s">
        <v>1849</v>
      </c>
    </row>
    <row r="916" customFormat="false" ht="15" hidden="false" customHeight="false" outlineLevel="0" collapsed="false">
      <c r="A916" s="29" t="n">
        <v>140679</v>
      </c>
      <c r="B916" s="29" t="s">
        <v>1717</v>
      </c>
      <c r="C916" s="29" t="s">
        <v>1718</v>
      </c>
      <c r="D916" s="29" t="s">
        <v>627</v>
      </c>
      <c r="E916" s="29" t="s">
        <v>628</v>
      </c>
      <c r="F916" s="29" t="s">
        <v>93</v>
      </c>
      <c r="G916" s="29" t="s">
        <v>68</v>
      </c>
      <c r="H916" s="29" t="s">
        <v>1381</v>
      </c>
      <c r="I916" s="29" t="s">
        <v>1858</v>
      </c>
      <c r="J916" s="29" t="n">
        <v>0</v>
      </c>
      <c r="K916" s="29" t="n">
        <v>0</v>
      </c>
      <c r="L916" s="29" t="s">
        <v>1849</v>
      </c>
    </row>
    <row r="917" customFormat="false" ht="15" hidden="false" customHeight="false" outlineLevel="0" collapsed="false">
      <c r="A917" s="29" t="n">
        <v>140679</v>
      </c>
      <c r="B917" s="29" t="s">
        <v>1717</v>
      </c>
      <c r="C917" s="29" t="s">
        <v>1718</v>
      </c>
      <c r="D917" s="29" t="s">
        <v>636</v>
      </c>
      <c r="E917" s="29" t="s">
        <v>637</v>
      </c>
      <c r="F917" s="29" t="s">
        <v>93</v>
      </c>
      <c r="G917" s="29" t="s">
        <v>68</v>
      </c>
      <c r="H917" s="29" t="s">
        <v>1381</v>
      </c>
      <c r="I917" s="29" t="s">
        <v>1858</v>
      </c>
      <c r="J917" s="29" t="n">
        <v>0</v>
      </c>
      <c r="K917" s="29" t="n">
        <v>0</v>
      </c>
      <c r="L917" s="29" t="s">
        <v>1849</v>
      </c>
    </row>
    <row r="918" customFormat="false" ht="15" hidden="false" customHeight="false" outlineLevel="0" collapsed="false">
      <c r="A918" s="29" t="n">
        <v>140679</v>
      </c>
      <c r="B918" s="29" t="s">
        <v>1717</v>
      </c>
      <c r="C918" s="29" t="s">
        <v>1718</v>
      </c>
      <c r="D918" s="29" t="s">
        <v>668</v>
      </c>
      <c r="E918" s="29" t="s">
        <v>669</v>
      </c>
      <c r="F918" s="29" t="s">
        <v>105</v>
      </c>
      <c r="G918" s="29" t="s">
        <v>66</v>
      </c>
      <c r="H918" s="29" t="s">
        <v>1379</v>
      </c>
      <c r="I918" s="29" t="s">
        <v>1854</v>
      </c>
      <c r="J918" s="29" t="n">
        <v>0</v>
      </c>
      <c r="K918" s="29" t="n">
        <v>0</v>
      </c>
      <c r="L918" s="29" t="s">
        <v>1849</v>
      </c>
    </row>
    <row r="919" customFormat="false" ht="15" hidden="false" customHeight="false" outlineLevel="0" collapsed="false">
      <c r="A919" s="29" t="n">
        <v>140679</v>
      </c>
      <c r="B919" s="29" t="s">
        <v>1717</v>
      </c>
      <c r="C919" s="29" t="s">
        <v>1718</v>
      </c>
      <c r="D919" s="29" t="s">
        <v>680</v>
      </c>
      <c r="E919" s="29" t="s">
        <v>681</v>
      </c>
      <c r="F919" s="29" t="s">
        <v>105</v>
      </c>
      <c r="G919" s="29" t="s">
        <v>66</v>
      </c>
      <c r="H919" s="29" t="s">
        <v>1379</v>
      </c>
      <c r="I919" s="29" t="s">
        <v>1854</v>
      </c>
      <c r="J919" s="29" t="n">
        <v>0</v>
      </c>
      <c r="K919" s="29" t="n">
        <v>0</v>
      </c>
      <c r="L919" s="29" t="s">
        <v>1849</v>
      </c>
    </row>
    <row r="920" customFormat="false" ht="15" hidden="false" customHeight="false" outlineLevel="0" collapsed="false">
      <c r="A920" s="29" t="n">
        <v>140679</v>
      </c>
      <c r="B920" s="29" t="s">
        <v>1717</v>
      </c>
      <c r="C920" s="29" t="s">
        <v>1718</v>
      </c>
      <c r="D920" s="29" t="s">
        <v>711</v>
      </c>
      <c r="E920" s="29" t="s">
        <v>712</v>
      </c>
      <c r="F920" s="29" t="s">
        <v>116</v>
      </c>
      <c r="G920" s="29" t="s">
        <v>66</v>
      </c>
      <c r="H920" s="29" t="s">
        <v>1379</v>
      </c>
      <c r="I920" s="29" t="s">
        <v>1854</v>
      </c>
      <c r="J920" s="29" t="n">
        <v>0</v>
      </c>
      <c r="K920" s="29" t="n">
        <v>3</v>
      </c>
      <c r="L920" s="29" t="s">
        <v>1866</v>
      </c>
    </row>
    <row r="921" customFormat="false" ht="15" hidden="false" customHeight="false" outlineLevel="0" collapsed="false">
      <c r="A921" s="29" t="n">
        <v>140679</v>
      </c>
      <c r="B921" s="29" t="s">
        <v>1717</v>
      </c>
      <c r="C921" s="29" t="s">
        <v>1718</v>
      </c>
      <c r="D921" s="29" t="s">
        <v>721</v>
      </c>
      <c r="E921" s="29" t="s">
        <v>722</v>
      </c>
      <c r="F921" s="29" t="s">
        <v>116</v>
      </c>
      <c r="G921" s="29" t="s">
        <v>66</v>
      </c>
      <c r="H921" s="29" t="s">
        <v>1379</v>
      </c>
      <c r="I921" s="29" t="s">
        <v>1854</v>
      </c>
      <c r="J921" s="29" t="n">
        <v>0</v>
      </c>
      <c r="K921" s="29" t="n">
        <v>0</v>
      </c>
      <c r="L921" s="29" t="s">
        <v>1849</v>
      </c>
    </row>
    <row r="922" customFormat="false" ht="15" hidden="false" customHeight="false" outlineLevel="0" collapsed="false">
      <c r="A922" s="29" t="n">
        <v>140679</v>
      </c>
      <c r="B922" s="29" t="s">
        <v>1717</v>
      </c>
      <c r="C922" s="29" t="s">
        <v>1718</v>
      </c>
      <c r="D922" s="29" t="s">
        <v>729</v>
      </c>
      <c r="E922" s="29" t="s">
        <v>730</v>
      </c>
      <c r="F922" s="29" t="s">
        <v>116</v>
      </c>
      <c r="G922" s="29" t="s">
        <v>67</v>
      </c>
      <c r="H922" s="29" t="s">
        <v>1844</v>
      </c>
      <c r="I922" s="29" t="s">
        <v>1879</v>
      </c>
      <c r="J922" s="29" t="n">
        <v>0</v>
      </c>
      <c r="K922" s="29" t="n">
        <v>0</v>
      </c>
      <c r="L922" s="29" t="s">
        <v>1849</v>
      </c>
    </row>
    <row r="923" customFormat="false" ht="15" hidden="false" customHeight="false" outlineLevel="0" collapsed="false">
      <c r="A923" s="29" t="n">
        <v>140679</v>
      </c>
      <c r="B923" s="29" t="s">
        <v>1717</v>
      </c>
      <c r="C923" s="29" t="s">
        <v>1718</v>
      </c>
      <c r="D923" s="29" t="s">
        <v>737</v>
      </c>
      <c r="E923" s="29" t="s">
        <v>738</v>
      </c>
      <c r="F923" s="29" t="s">
        <v>116</v>
      </c>
      <c r="G923" s="29" t="s">
        <v>67</v>
      </c>
      <c r="H923" s="29" t="s">
        <v>1844</v>
      </c>
      <c r="I923" s="29" t="s">
        <v>1879</v>
      </c>
      <c r="J923" s="29" t="n">
        <v>0</v>
      </c>
      <c r="K923" s="29" t="n">
        <v>0</v>
      </c>
      <c r="L923" s="29" t="s">
        <v>1849</v>
      </c>
    </row>
    <row r="924" customFormat="false" ht="15" hidden="false" customHeight="false" outlineLevel="0" collapsed="false">
      <c r="A924" s="29" t="n">
        <v>140679</v>
      </c>
      <c r="B924" s="29" t="s">
        <v>1717</v>
      </c>
      <c r="C924" s="29" t="s">
        <v>1718</v>
      </c>
      <c r="D924" s="29" t="s">
        <v>745</v>
      </c>
      <c r="E924" s="29" t="s">
        <v>746</v>
      </c>
      <c r="F924" s="29" t="s">
        <v>116</v>
      </c>
      <c r="G924" s="29" t="s">
        <v>67</v>
      </c>
      <c r="H924" s="29" t="s">
        <v>1844</v>
      </c>
      <c r="I924" s="29" t="s">
        <v>1860</v>
      </c>
      <c r="J924" s="29" t="n">
        <v>0</v>
      </c>
      <c r="K924" s="29" t="n">
        <v>0</v>
      </c>
      <c r="L924" s="29" t="s">
        <v>1849</v>
      </c>
    </row>
    <row r="925" customFormat="false" ht="15" hidden="false" customHeight="false" outlineLevel="0" collapsed="false">
      <c r="A925" s="29" t="n">
        <v>140679</v>
      </c>
      <c r="B925" s="29" t="s">
        <v>1717</v>
      </c>
      <c r="C925" s="29" t="s">
        <v>1718</v>
      </c>
      <c r="D925" s="29" t="s">
        <v>753</v>
      </c>
      <c r="E925" s="29" t="s">
        <v>754</v>
      </c>
      <c r="F925" s="29" t="s">
        <v>116</v>
      </c>
      <c r="G925" s="29" t="s">
        <v>68</v>
      </c>
      <c r="H925" s="29" t="s">
        <v>1381</v>
      </c>
      <c r="I925" s="29" t="s">
        <v>1860</v>
      </c>
      <c r="J925" s="29" t="n">
        <v>0</v>
      </c>
      <c r="K925" s="29" t="n">
        <v>0</v>
      </c>
      <c r="L925" s="29" t="s">
        <v>1849</v>
      </c>
    </row>
    <row r="926" customFormat="false" ht="15" hidden="false" customHeight="false" outlineLevel="0" collapsed="false">
      <c r="A926" s="29" t="n">
        <v>140884</v>
      </c>
      <c r="B926" s="29" t="s">
        <v>1721</v>
      </c>
      <c r="C926" s="29" t="s">
        <v>1722</v>
      </c>
      <c r="D926" s="29" t="s">
        <v>247</v>
      </c>
      <c r="E926" s="29" t="s">
        <v>248</v>
      </c>
      <c r="F926" s="29" t="s">
        <v>69</v>
      </c>
      <c r="G926" s="29" t="s">
        <v>67</v>
      </c>
      <c r="H926" s="29" t="s">
        <v>1844</v>
      </c>
      <c r="I926" s="29" t="s">
        <v>1848</v>
      </c>
      <c r="J926" s="29" t="n">
        <v>0</v>
      </c>
      <c r="K926" s="29" t="n">
        <v>0</v>
      </c>
      <c r="L926" s="29" t="s">
        <v>1849</v>
      </c>
    </row>
    <row r="927" customFormat="false" ht="15" hidden="false" customHeight="false" outlineLevel="0" collapsed="false">
      <c r="A927" s="29" t="n">
        <v>140884</v>
      </c>
      <c r="B927" s="29" t="s">
        <v>1721</v>
      </c>
      <c r="C927" s="29" t="s">
        <v>1722</v>
      </c>
      <c r="D927" s="29" t="s">
        <v>277</v>
      </c>
      <c r="E927" s="29" t="s">
        <v>278</v>
      </c>
      <c r="F927" s="29" t="s">
        <v>69</v>
      </c>
      <c r="G927" s="29" t="s">
        <v>67</v>
      </c>
      <c r="H927" s="29" t="s">
        <v>1379</v>
      </c>
      <c r="I927" s="29" t="s">
        <v>1850</v>
      </c>
      <c r="J927" s="29" t="n">
        <v>0</v>
      </c>
      <c r="K927" s="29" t="n">
        <v>0</v>
      </c>
      <c r="L927" s="29" t="s">
        <v>1849</v>
      </c>
    </row>
    <row r="928" customFormat="false" ht="15" hidden="false" customHeight="false" outlineLevel="0" collapsed="false">
      <c r="A928" s="29" t="n">
        <v>140884</v>
      </c>
      <c r="B928" s="29" t="s">
        <v>1721</v>
      </c>
      <c r="C928" s="29" t="s">
        <v>1722</v>
      </c>
      <c r="D928" s="29" t="s">
        <v>297</v>
      </c>
      <c r="E928" s="29" t="s">
        <v>298</v>
      </c>
      <c r="F928" s="29" t="s">
        <v>69</v>
      </c>
      <c r="G928" s="29" t="s">
        <v>68</v>
      </c>
      <c r="H928" s="29" t="s">
        <v>1381</v>
      </c>
      <c r="I928" s="29" t="s">
        <v>1848</v>
      </c>
      <c r="J928" s="29" t="n">
        <v>0</v>
      </c>
      <c r="K928" s="29" t="n">
        <v>0</v>
      </c>
      <c r="L928" s="29" t="s">
        <v>1849</v>
      </c>
    </row>
    <row r="929" customFormat="false" ht="15" hidden="false" customHeight="false" outlineLevel="0" collapsed="false">
      <c r="A929" s="29" t="n">
        <v>140884</v>
      </c>
      <c r="B929" s="29" t="s">
        <v>1721</v>
      </c>
      <c r="C929" s="29" t="s">
        <v>1722</v>
      </c>
      <c r="D929" s="29" t="s">
        <v>304</v>
      </c>
      <c r="E929" s="29" t="s">
        <v>305</v>
      </c>
      <c r="F929" s="29" t="s">
        <v>69</v>
      </c>
      <c r="G929" s="29" t="s">
        <v>68</v>
      </c>
      <c r="H929" s="29" t="s">
        <v>1381</v>
      </c>
      <c r="I929" s="29" t="s">
        <v>1851</v>
      </c>
      <c r="J929" s="29" t="n">
        <v>0</v>
      </c>
      <c r="K929" s="29" t="n">
        <v>0</v>
      </c>
      <c r="L929" s="29" t="s">
        <v>1849</v>
      </c>
    </row>
    <row r="930" customFormat="false" ht="15" hidden="false" customHeight="false" outlineLevel="0" collapsed="false">
      <c r="A930" s="29" t="n">
        <v>140884</v>
      </c>
      <c r="B930" s="29" t="s">
        <v>1721</v>
      </c>
      <c r="C930" s="29" t="s">
        <v>1722</v>
      </c>
      <c r="D930" s="29" t="s">
        <v>311</v>
      </c>
      <c r="E930" s="29" t="s">
        <v>312</v>
      </c>
      <c r="F930" s="29" t="s">
        <v>69</v>
      </c>
      <c r="G930" s="29" t="s">
        <v>68</v>
      </c>
      <c r="H930" s="29" t="s">
        <v>1381</v>
      </c>
      <c r="I930" s="29" t="s">
        <v>1851</v>
      </c>
      <c r="J930" s="29" t="n">
        <v>0</v>
      </c>
      <c r="K930" s="29" t="n">
        <v>0</v>
      </c>
      <c r="L930" s="29" t="s">
        <v>1849</v>
      </c>
    </row>
    <row r="931" customFormat="false" ht="15" hidden="false" customHeight="false" outlineLevel="0" collapsed="false">
      <c r="A931" s="29" t="n">
        <v>140884</v>
      </c>
      <c r="B931" s="29" t="s">
        <v>1721</v>
      </c>
      <c r="C931" s="29" t="s">
        <v>1722</v>
      </c>
      <c r="D931" s="29" t="s">
        <v>325</v>
      </c>
      <c r="E931" s="29" t="s">
        <v>326</v>
      </c>
      <c r="F931" s="29" t="s">
        <v>76</v>
      </c>
      <c r="G931" s="29" t="s">
        <v>67</v>
      </c>
      <c r="H931" s="29" t="s">
        <v>1844</v>
      </c>
      <c r="I931" s="29" t="s">
        <v>1852</v>
      </c>
      <c r="J931" s="29" t="n">
        <v>0</v>
      </c>
      <c r="K931" s="29" t="n">
        <v>18</v>
      </c>
      <c r="L931" s="29" t="s">
        <v>1866</v>
      </c>
    </row>
    <row r="932" customFormat="false" ht="15" hidden="false" customHeight="false" outlineLevel="0" collapsed="false">
      <c r="A932" s="29" t="n">
        <v>140884</v>
      </c>
      <c r="B932" s="29" t="s">
        <v>1721</v>
      </c>
      <c r="C932" s="29" t="s">
        <v>1722</v>
      </c>
      <c r="D932" s="29" t="s">
        <v>336</v>
      </c>
      <c r="E932" s="29" t="s">
        <v>337</v>
      </c>
      <c r="F932" s="29" t="s">
        <v>76</v>
      </c>
      <c r="G932" s="29" t="s">
        <v>67</v>
      </c>
      <c r="H932" s="29" t="s">
        <v>1844</v>
      </c>
      <c r="I932" s="29" t="s">
        <v>1852</v>
      </c>
      <c r="J932" s="29" t="n">
        <v>0</v>
      </c>
      <c r="K932" s="29" t="n">
        <v>0</v>
      </c>
      <c r="L932" s="29" t="s">
        <v>1849</v>
      </c>
    </row>
    <row r="933" customFormat="false" ht="15" hidden="false" customHeight="false" outlineLevel="0" collapsed="false">
      <c r="A933" s="29" t="n">
        <v>140884</v>
      </c>
      <c r="B933" s="29" t="s">
        <v>1721</v>
      </c>
      <c r="C933" s="29" t="s">
        <v>1722</v>
      </c>
      <c r="D933" s="29" t="s">
        <v>343</v>
      </c>
      <c r="E933" s="29" t="s">
        <v>344</v>
      </c>
      <c r="F933" s="29" t="s">
        <v>76</v>
      </c>
      <c r="G933" s="29" t="s">
        <v>67</v>
      </c>
      <c r="H933" s="29" t="s">
        <v>1844</v>
      </c>
      <c r="I933" s="29" t="s">
        <v>1873</v>
      </c>
      <c r="J933" s="29" t="n">
        <v>0</v>
      </c>
      <c r="K933" s="29" t="n">
        <v>18</v>
      </c>
      <c r="L933" s="29" t="s">
        <v>1866</v>
      </c>
    </row>
    <row r="934" customFormat="false" ht="15" hidden="false" customHeight="false" outlineLevel="0" collapsed="false">
      <c r="A934" s="29" t="n">
        <v>140884</v>
      </c>
      <c r="B934" s="29" t="s">
        <v>1721</v>
      </c>
      <c r="C934" s="29" t="s">
        <v>1722</v>
      </c>
      <c r="D934" s="29" t="s">
        <v>353</v>
      </c>
      <c r="E934" s="29" t="s">
        <v>354</v>
      </c>
      <c r="F934" s="29" t="s">
        <v>76</v>
      </c>
      <c r="G934" s="29" t="s">
        <v>67</v>
      </c>
      <c r="H934" s="29" t="s">
        <v>1844</v>
      </c>
      <c r="I934" s="29" t="s">
        <v>1853</v>
      </c>
      <c r="J934" s="29" t="n">
        <v>0</v>
      </c>
      <c r="K934" s="29" t="n">
        <v>18</v>
      </c>
      <c r="L934" s="29" t="s">
        <v>1866</v>
      </c>
    </row>
    <row r="935" customFormat="false" ht="15" hidden="false" customHeight="false" outlineLevel="0" collapsed="false">
      <c r="A935" s="29" t="n">
        <v>140884</v>
      </c>
      <c r="B935" s="29" t="s">
        <v>1721</v>
      </c>
      <c r="C935" s="29" t="s">
        <v>1722</v>
      </c>
      <c r="D935" s="29" t="s">
        <v>360</v>
      </c>
      <c r="E935" s="29" t="s">
        <v>361</v>
      </c>
      <c r="F935" s="29" t="s">
        <v>76</v>
      </c>
      <c r="G935" s="29" t="s">
        <v>67</v>
      </c>
      <c r="H935" s="29" t="s">
        <v>1844</v>
      </c>
      <c r="I935" s="29" t="s">
        <v>1873</v>
      </c>
      <c r="J935" s="29" t="n">
        <v>0</v>
      </c>
      <c r="K935" s="29" t="n">
        <v>0</v>
      </c>
      <c r="L935" s="29" t="s">
        <v>1849</v>
      </c>
    </row>
    <row r="936" customFormat="false" ht="15" hidden="false" customHeight="false" outlineLevel="0" collapsed="false">
      <c r="A936" s="29" t="n">
        <v>140884</v>
      </c>
      <c r="B936" s="29" t="s">
        <v>1721</v>
      </c>
      <c r="C936" s="29" t="s">
        <v>1722</v>
      </c>
      <c r="D936" s="29" t="s">
        <v>371</v>
      </c>
      <c r="E936" s="29" t="s">
        <v>372</v>
      </c>
      <c r="F936" s="29" t="s">
        <v>76</v>
      </c>
      <c r="G936" s="29" t="s">
        <v>67</v>
      </c>
      <c r="H936" s="29" t="s">
        <v>1844</v>
      </c>
      <c r="I936" s="29" t="s">
        <v>1873</v>
      </c>
      <c r="J936" s="29" t="n">
        <v>0</v>
      </c>
      <c r="K936" s="29" t="n">
        <v>0</v>
      </c>
      <c r="L936" s="29" t="s">
        <v>1849</v>
      </c>
    </row>
    <row r="937" customFormat="false" ht="15" hidden="false" customHeight="false" outlineLevel="0" collapsed="false">
      <c r="A937" s="29" t="n">
        <v>140884</v>
      </c>
      <c r="B937" s="29" t="s">
        <v>1721</v>
      </c>
      <c r="C937" s="29" t="s">
        <v>1722</v>
      </c>
      <c r="D937" s="29" t="s">
        <v>387</v>
      </c>
      <c r="E937" s="29" t="s">
        <v>388</v>
      </c>
      <c r="F937" s="29" t="s">
        <v>76</v>
      </c>
      <c r="G937" s="29" t="s">
        <v>68</v>
      </c>
      <c r="H937" s="29" t="s">
        <v>1381</v>
      </c>
      <c r="I937" s="29" t="s">
        <v>1853</v>
      </c>
      <c r="J937" s="29" t="n">
        <v>0</v>
      </c>
      <c r="K937" s="29" t="n">
        <v>0</v>
      </c>
      <c r="L937" s="29" t="s">
        <v>1849</v>
      </c>
    </row>
    <row r="938" customFormat="false" ht="15" hidden="false" customHeight="false" outlineLevel="0" collapsed="false">
      <c r="A938" s="29" t="n">
        <v>140884</v>
      </c>
      <c r="B938" s="29" t="s">
        <v>1721</v>
      </c>
      <c r="C938" s="29" t="s">
        <v>1722</v>
      </c>
      <c r="D938" s="29" t="s">
        <v>396</v>
      </c>
      <c r="E938" s="29" t="s">
        <v>397</v>
      </c>
      <c r="F938" s="29" t="s">
        <v>76</v>
      </c>
      <c r="G938" s="29" t="s">
        <v>68</v>
      </c>
      <c r="H938" s="29" t="s">
        <v>1381</v>
      </c>
      <c r="I938" s="29" t="s">
        <v>1853</v>
      </c>
      <c r="J938" s="29" t="n">
        <v>0</v>
      </c>
      <c r="K938" s="29" t="n">
        <v>0</v>
      </c>
      <c r="L938" s="29" t="s">
        <v>1849</v>
      </c>
    </row>
    <row r="939" customFormat="false" ht="15" hidden="false" customHeight="false" outlineLevel="0" collapsed="false">
      <c r="A939" s="29" t="n">
        <v>140884</v>
      </c>
      <c r="B939" s="29" t="s">
        <v>1721</v>
      </c>
      <c r="C939" s="29" t="s">
        <v>1722</v>
      </c>
      <c r="D939" s="29" t="s">
        <v>403</v>
      </c>
      <c r="E939" s="29" t="s">
        <v>404</v>
      </c>
      <c r="F939" s="29" t="s">
        <v>76</v>
      </c>
      <c r="G939" s="29" t="s">
        <v>68</v>
      </c>
      <c r="H939" s="29" t="s">
        <v>1381</v>
      </c>
      <c r="I939" s="29" t="s">
        <v>1852</v>
      </c>
      <c r="J939" s="29" t="n">
        <v>0</v>
      </c>
      <c r="K939" s="29" t="n">
        <v>0</v>
      </c>
      <c r="L939" s="29" t="s">
        <v>1849</v>
      </c>
    </row>
    <row r="940" customFormat="false" ht="15" hidden="false" customHeight="false" outlineLevel="0" collapsed="false">
      <c r="A940" s="29" t="n">
        <v>140884</v>
      </c>
      <c r="B940" s="29" t="s">
        <v>1721</v>
      </c>
      <c r="C940" s="29" t="s">
        <v>1722</v>
      </c>
      <c r="D940" s="29" t="s">
        <v>411</v>
      </c>
      <c r="E940" s="29" t="s">
        <v>412</v>
      </c>
      <c r="F940" s="29" t="s">
        <v>76</v>
      </c>
      <c r="G940" s="29" t="s">
        <v>68</v>
      </c>
      <c r="H940" s="29" t="s">
        <v>1381</v>
      </c>
      <c r="I940" s="29" t="s">
        <v>1873</v>
      </c>
      <c r="J940" s="29" t="n">
        <v>0</v>
      </c>
      <c r="K940" s="29" t="n">
        <v>0</v>
      </c>
      <c r="L940" s="29" t="s">
        <v>1849</v>
      </c>
    </row>
    <row r="941" customFormat="false" ht="15" hidden="false" customHeight="false" outlineLevel="0" collapsed="false">
      <c r="A941" s="29" t="n">
        <v>140884</v>
      </c>
      <c r="B941" s="29" t="s">
        <v>1721</v>
      </c>
      <c r="C941" s="29" t="s">
        <v>1722</v>
      </c>
      <c r="D941" s="29" t="s">
        <v>428</v>
      </c>
      <c r="E941" s="29" t="s">
        <v>429</v>
      </c>
      <c r="F941" s="29" t="s">
        <v>76</v>
      </c>
      <c r="G941" s="29" t="s">
        <v>68</v>
      </c>
      <c r="H941" s="29" t="s">
        <v>1381</v>
      </c>
      <c r="I941" s="29" t="s">
        <v>1853</v>
      </c>
      <c r="J941" s="29" t="n">
        <v>0</v>
      </c>
      <c r="K941" s="29" t="n">
        <v>0</v>
      </c>
      <c r="L941" s="29" t="s">
        <v>1849</v>
      </c>
    </row>
    <row r="942" customFormat="false" ht="15" hidden="false" customHeight="false" outlineLevel="0" collapsed="false">
      <c r="A942" s="29" t="n">
        <v>140884</v>
      </c>
      <c r="B942" s="29" t="s">
        <v>1721</v>
      </c>
      <c r="C942" s="29" t="s">
        <v>1722</v>
      </c>
      <c r="D942" s="29" t="s">
        <v>433</v>
      </c>
      <c r="E942" s="29" t="s">
        <v>434</v>
      </c>
      <c r="F942" s="29" t="s">
        <v>82</v>
      </c>
      <c r="G942" s="29" t="s">
        <v>66</v>
      </c>
      <c r="H942" s="29" t="s">
        <v>1379</v>
      </c>
      <c r="I942" s="29" t="s">
        <v>1854</v>
      </c>
      <c r="J942" s="29" t="n">
        <v>0</v>
      </c>
      <c r="K942" s="29" t="n">
        <v>0</v>
      </c>
      <c r="L942" s="29" t="s">
        <v>1849</v>
      </c>
    </row>
    <row r="943" customFormat="false" ht="15" hidden="false" customHeight="false" outlineLevel="0" collapsed="false">
      <c r="A943" s="29" t="n">
        <v>140884</v>
      </c>
      <c r="B943" s="29" t="s">
        <v>1721</v>
      </c>
      <c r="C943" s="29" t="s">
        <v>1722</v>
      </c>
      <c r="D943" s="29" t="s">
        <v>451</v>
      </c>
      <c r="E943" s="29" t="s">
        <v>452</v>
      </c>
      <c r="F943" s="29" t="s">
        <v>82</v>
      </c>
      <c r="G943" s="29" t="s">
        <v>67</v>
      </c>
      <c r="H943" s="29" t="s">
        <v>1379</v>
      </c>
      <c r="I943" s="29" t="s">
        <v>1855</v>
      </c>
      <c r="J943" s="29" t="n">
        <v>0</v>
      </c>
      <c r="K943" s="29" t="n">
        <v>0</v>
      </c>
      <c r="L943" s="29" t="s">
        <v>1849</v>
      </c>
    </row>
    <row r="944" customFormat="false" ht="15" hidden="false" customHeight="false" outlineLevel="0" collapsed="false">
      <c r="A944" s="29" t="n">
        <v>140884</v>
      </c>
      <c r="B944" s="29" t="s">
        <v>1721</v>
      </c>
      <c r="C944" s="29" t="s">
        <v>1722</v>
      </c>
      <c r="D944" s="29" t="s">
        <v>459</v>
      </c>
      <c r="E944" s="29" t="s">
        <v>460</v>
      </c>
      <c r="F944" s="29" t="s">
        <v>82</v>
      </c>
      <c r="G944" s="29" t="s">
        <v>67</v>
      </c>
      <c r="H944" s="29" t="s">
        <v>1379</v>
      </c>
      <c r="I944" s="29" t="s">
        <v>1855</v>
      </c>
      <c r="J944" s="29" t="n">
        <v>0</v>
      </c>
      <c r="K944" s="29" t="n">
        <v>0</v>
      </c>
      <c r="L944" s="29" t="s">
        <v>1849</v>
      </c>
    </row>
    <row r="945" customFormat="false" ht="15" hidden="false" customHeight="false" outlineLevel="0" collapsed="false">
      <c r="A945" s="29" t="n">
        <v>140884</v>
      </c>
      <c r="B945" s="29" t="s">
        <v>1721</v>
      </c>
      <c r="C945" s="29" t="s">
        <v>1722</v>
      </c>
      <c r="D945" s="29" t="s">
        <v>466</v>
      </c>
      <c r="E945" s="29" t="s">
        <v>467</v>
      </c>
      <c r="F945" s="29" t="s">
        <v>82</v>
      </c>
      <c r="G945" s="29" t="s">
        <v>67</v>
      </c>
      <c r="H945" s="29" t="s">
        <v>1379</v>
      </c>
      <c r="I945" s="29" t="s">
        <v>1855</v>
      </c>
      <c r="J945" s="29" t="n">
        <v>0</v>
      </c>
      <c r="K945" s="29" t="n">
        <v>0</v>
      </c>
      <c r="L945" s="29" t="s">
        <v>1849</v>
      </c>
    </row>
    <row r="946" customFormat="false" ht="15" hidden="false" customHeight="false" outlineLevel="0" collapsed="false">
      <c r="A946" s="29" t="n">
        <v>140884</v>
      </c>
      <c r="B946" s="29" t="s">
        <v>1721</v>
      </c>
      <c r="C946" s="29" t="s">
        <v>1722</v>
      </c>
      <c r="D946" s="29" t="s">
        <v>508</v>
      </c>
      <c r="E946" s="29" t="s">
        <v>509</v>
      </c>
      <c r="F946" s="29" t="s">
        <v>88</v>
      </c>
      <c r="G946" s="29" t="s">
        <v>67</v>
      </c>
      <c r="H946" s="29" t="s">
        <v>1379</v>
      </c>
      <c r="I946" s="29" t="s">
        <v>1850</v>
      </c>
      <c r="J946" s="29" t="n">
        <v>9</v>
      </c>
      <c r="K946" s="29" t="n">
        <v>0</v>
      </c>
      <c r="L946" s="29" t="s">
        <v>1867</v>
      </c>
    </row>
    <row r="947" customFormat="false" ht="15" hidden="false" customHeight="false" outlineLevel="0" collapsed="false">
      <c r="A947" s="29" t="n">
        <v>140884</v>
      </c>
      <c r="B947" s="29" t="s">
        <v>1721</v>
      </c>
      <c r="C947" s="29" t="s">
        <v>1722</v>
      </c>
      <c r="D947" s="29" t="s">
        <v>515</v>
      </c>
      <c r="E947" s="29" t="s">
        <v>516</v>
      </c>
      <c r="F947" s="29" t="s">
        <v>88</v>
      </c>
      <c r="G947" s="29" t="s">
        <v>67</v>
      </c>
      <c r="H947" s="29" t="s">
        <v>1379</v>
      </c>
      <c r="I947" s="29" t="s">
        <v>1850</v>
      </c>
      <c r="J947" s="29" t="n">
        <v>0</v>
      </c>
      <c r="K947" s="29" t="n">
        <v>0</v>
      </c>
      <c r="L947" s="29" t="s">
        <v>1849</v>
      </c>
    </row>
    <row r="948" customFormat="false" ht="15" hidden="false" customHeight="false" outlineLevel="0" collapsed="false">
      <c r="A948" s="29" t="n">
        <v>140884</v>
      </c>
      <c r="B948" s="29" t="s">
        <v>1721</v>
      </c>
      <c r="C948" s="29" t="s">
        <v>1722</v>
      </c>
      <c r="D948" s="29" t="s">
        <v>523</v>
      </c>
      <c r="E948" s="29" t="s">
        <v>524</v>
      </c>
      <c r="F948" s="29" t="s">
        <v>88</v>
      </c>
      <c r="G948" s="29" t="s">
        <v>67</v>
      </c>
      <c r="H948" s="29" t="s">
        <v>1844</v>
      </c>
      <c r="I948" s="29" t="s">
        <v>1856</v>
      </c>
      <c r="J948" s="29" t="n">
        <v>0</v>
      </c>
      <c r="K948" s="29" t="n">
        <v>2</v>
      </c>
      <c r="L948" s="29" t="s">
        <v>1866</v>
      </c>
    </row>
    <row r="949" customFormat="false" ht="15" hidden="false" customHeight="false" outlineLevel="0" collapsed="false">
      <c r="A949" s="29" t="n">
        <v>140884</v>
      </c>
      <c r="B949" s="29" t="s">
        <v>1721</v>
      </c>
      <c r="C949" s="29" t="s">
        <v>1722</v>
      </c>
      <c r="D949" s="29" t="s">
        <v>530</v>
      </c>
      <c r="E949" s="29" t="s">
        <v>531</v>
      </c>
      <c r="F949" s="29" t="s">
        <v>88</v>
      </c>
      <c r="G949" s="29" t="s">
        <v>68</v>
      </c>
      <c r="H949" s="29" t="s">
        <v>1381</v>
      </c>
      <c r="I949" s="29" t="s">
        <v>1847</v>
      </c>
      <c r="J949" s="29" t="n">
        <v>0</v>
      </c>
      <c r="K949" s="29" t="n">
        <v>0</v>
      </c>
      <c r="L949" s="29" t="s">
        <v>1849</v>
      </c>
    </row>
    <row r="950" customFormat="false" ht="15" hidden="false" customHeight="false" outlineLevel="0" collapsed="false">
      <c r="A950" s="29" t="n">
        <v>140884</v>
      </c>
      <c r="B950" s="29" t="s">
        <v>1721</v>
      </c>
      <c r="C950" s="29" t="s">
        <v>1722</v>
      </c>
      <c r="D950" s="29" t="s">
        <v>536</v>
      </c>
      <c r="E950" s="29" t="s">
        <v>537</v>
      </c>
      <c r="F950" s="29" t="s">
        <v>88</v>
      </c>
      <c r="G950" s="29" t="s">
        <v>68</v>
      </c>
      <c r="H950" s="29" t="s">
        <v>1381</v>
      </c>
      <c r="I950" s="29" t="s">
        <v>1847</v>
      </c>
      <c r="J950" s="29" t="n">
        <v>0</v>
      </c>
      <c r="K950" s="29" t="n">
        <v>0</v>
      </c>
      <c r="L950" s="29" t="s">
        <v>1849</v>
      </c>
    </row>
    <row r="951" customFormat="false" ht="15" hidden="false" customHeight="false" outlineLevel="0" collapsed="false">
      <c r="A951" s="29" t="n">
        <v>140884</v>
      </c>
      <c r="B951" s="29" t="s">
        <v>1721</v>
      </c>
      <c r="C951" s="29" t="s">
        <v>1722</v>
      </c>
      <c r="D951" s="29" t="s">
        <v>543</v>
      </c>
      <c r="E951" s="29" t="s">
        <v>544</v>
      </c>
      <c r="F951" s="29" t="s">
        <v>88</v>
      </c>
      <c r="G951" s="29" t="s">
        <v>68</v>
      </c>
      <c r="H951" s="29" t="s">
        <v>1381</v>
      </c>
      <c r="I951" s="29" t="s">
        <v>1847</v>
      </c>
      <c r="J951" s="29" t="n">
        <v>0</v>
      </c>
      <c r="K951" s="29" t="n">
        <v>0</v>
      </c>
      <c r="L951" s="29" t="s">
        <v>1849</v>
      </c>
    </row>
    <row r="952" customFormat="false" ht="15" hidden="false" customHeight="false" outlineLevel="0" collapsed="false">
      <c r="A952" s="29" t="n">
        <v>140884</v>
      </c>
      <c r="B952" s="29" t="s">
        <v>1721</v>
      </c>
      <c r="C952" s="29" t="s">
        <v>1722</v>
      </c>
      <c r="D952" s="29" t="s">
        <v>551</v>
      </c>
      <c r="E952" s="29" t="s">
        <v>552</v>
      </c>
      <c r="F952" s="29" t="s">
        <v>88</v>
      </c>
      <c r="G952" s="29" t="s">
        <v>68</v>
      </c>
      <c r="H952" s="29" t="s">
        <v>1381</v>
      </c>
      <c r="I952" s="29" t="s">
        <v>1857</v>
      </c>
      <c r="J952" s="29" t="n">
        <v>0</v>
      </c>
      <c r="K952" s="29" t="n">
        <v>0</v>
      </c>
      <c r="L952" s="29" t="s">
        <v>1849</v>
      </c>
    </row>
    <row r="953" customFormat="false" ht="15" hidden="false" customHeight="false" outlineLevel="0" collapsed="false">
      <c r="A953" s="29" t="n">
        <v>140884</v>
      </c>
      <c r="B953" s="29" t="s">
        <v>1721</v>
      </c>
      <c r="C953" s="29" t="s">
        <v>1722</v>
      </c>
      <c r="D953" s="29" t="s">
        <v>558</v>
      </c>
      <c r="E953" s="29" t="s">
        <v>559</v>
      </c>
      <c r="F953" s="29" t="s">
        <v>88</v>
      </c>
      <c r="G953" s="29" t="s">
        <v>68</v>
      </c>
      <c r="H953" s="29" t="s">
        <v>1381</v>
      </c>
      <c r="I953" s="29" t="s">
        <v>1856</v>
      </c>
      <c r="J953" s="29" t="n">
        <v>0</v>
      </c>
      <c r="K953" s="29" t="n">
        <v>1</v>
      </c>
      <c r="L953" s="29" t="s">
        <v>1866</v>
      </c>
    </row>
    <row r="954" customFormat="false" ht="15" hidden="false" customHeight="false" outlineLevel="0" collapsed="false">
      <c r="A954" s="29" t="n">
        <v>140884</v>
      </c>
      <c r="B954" s="29" t="s">
        <v>1721</v>
      </c>
      <c r="C954" s="29" t="s">
        <v>1722</v>
      </c>
      <c r="D954" s="29" t="s">
        <v>565</v>
      </c>
      <c r="E954" s="29" t="s">
        <v>566</v>
      </c>
      <c r="F954" s="29" t="s">
        <v>88</v>
      </c>
      <c r="G954" s="29" t="s">
        <v>68</v>
      </c>
      <c r="H954" s="29" t="s">
        <v>1381</v>
      </c>
      <c r="I954" s="29" t="s">
        <v>1856</v>
      </c>
      <c r="J954" s="29" t="n">
        <v>0</v>
      </c>
      <c r="K954" s="29" t="n">
        <v>1</v>
      </c>
      <c r="L954" s="29" t="s">
        <v>1866</v>
      </c>
    </row>
    <row r="955" customFormat="false" ht="15" hidden="false" customHeight="false" outlineLevel="0" collapsed="false">
      <c r="A955" s="29" t="n">
        <v>140884</v>
      </c>
      <c r="B955" s="29" t="s">
        <v>1721</v>
      </c>
      <c r="C955" s="29" t="s">
        <v>1722</v>
      </c>
      <c r="D955" s="29" t="s">
        <v>572</v>
      </c>
      <c r="E955" s="29" t="s">
        <v>573</v>
      </c>
      <c r="F955" s="29" t="s">
        <v>88</v>
      </c>
      <c r="G955" s="29" t="s">
        <v>68</v>
      </c>
      <c r="H955" s="29" t="s">
        <v>1381</v>
      </c>
      <c r="I955" s="29" t="s">
        <v>1847</v>
      </c>
      <c r="J955" s="29" t="n">
        <v>0</v>
      </c>
      <c r="K955" s="29" t="n">
        <v>0</v>
      </c>
      <c r="L955" s="29" t="s">
        <v>1849</v>
      </c>
    </row>
    <row r="956" customFormat="false" ht="15" hidden="false" customHeight="false" outlineLevel="0" collapsed="false">
      <c r="A956" s="29" t="n">
        <v>140884</v>
      </c>
      <c r="B956" s="29" t="s">
        <v>1721</v>
      </c>
      <c r="C956" s="29" t="s">
        <v>1722</v>
      </c>
      <c r="D956" s="29" t="s">
        <v>581</v>
      </c>
      <c r="E956" s="29" t="s">
        <v>582</v>
      </c>
      <c r="F956" s="29" t="s">
        <v>93</v>
      </c>
      <c r="G956" s="29" t="s">
        <v>67</v>
      </c>
      <c r="H956" s="29" t="s">
        <v>1844</v>
      </c>
      <c r="I956" s="29" t="s">
        <v>1858</v>
      </c>
      <c r="J956" s="29" t="n">
        <v>0</v>
      </c>
      <c r="K956" s="29" t="n">
        <v>0</v>
      </c>
      <c r="L956" s="29" t="s">
        <v>1849</v>
      </c>
    </row>
    <row r="957" customFormat="false" ht="15" hidden="false" customHeight="false" outlineLevel="0" collapsed="false">
      <c r="A957" s="29" t="n">
        <v>140884</v>
      </c>
      <c r="B957" s="29" t="s">
        <v>1721</v>
      </c>
      <c r="C957" s="29" t="s">
        <v>1722</v>
      </c>
      <c r="D957" s="29" t="s">
        <v>590</v>
      </c>
      <c r="E957" s="29" t="s">
        <v>591</v>
      </c>
      <c r="F957" s="29" t="s">
        <v>93</v>
      </c>
      <c r="G957" s="29" t="s">
        <v>67</v>
      </c>
      <c r="H957" s="29" t="s">
        <v>1844</v>
      </c>
      <c r="I957" s="29" t="s">
        <v>1859</v>
      </c>
      <c r="J957" s="29" t="n">
        <v>0</v>
      </c>
      <c r="K957" s="29" t="n">
        <v>6</v>
      </c>
      <c r="L957" s="29" t="s">
        <v>1866</v>
      </c>
    </row>
    <row r="958" customFormat="false" ht="15" hidden="false" customHeight="false" outlineLevel="0" collapsed="false">
      <c r="A958" s="29" t="n">
        <v>140884</v>
      </c>
      <c r="B958" s="29" t="s">
        <v>1721</v>
      </c>
      <c r="C958" s="29" t="s">
        <v>1722</v>
      </c>
      <c r="D958" s="29" t="s">
        <v>597</v>
      </c>
      <c r="E958" s="29" t="s">
        <v>598</v>
      </c>
      <c r="F958" s="29" t="s">
        <v>93</v>
      </c>
      <c r="G958" s="29" t="s">
        <v>67</v>
      </c>
      <c r="H958" s="29" t="s">
        <v>1844</v>
      </c>
      <c r="I958" s="29" t="s">
        <v>1859</v>
      </c>
      <c r="J958" s="29" t="n">
        <v>0</v>
      </c>
      <c r="K958" s="29" t="n">
        <v>6</v>
      </c>
      <c r="L958" s="29" t="s">
        <v>1866</v>
      </c>
    </row>
    <row r="959" customFormat="false" ht="15" hidden="false" customHeight="false" outlineLevel="0" collapsed="false">
      <c r="A959" s="29" t="n">
        <v>140884</v>
      </c>
      <c r="B959" s="29" t="s">
        <v>1721</v>
      </c>
      <c r="C959" s="29" t="s">
        <v>1722</v>
      </c>
      <c r="D959" s="29" t="s">
        <v>604</v>
      </c>
      <c r="E959" s="29" t="s">
        <v>605</v>
      </c>
      <c r="F959" s="29" t="s">
        <v>93</v>
      </c>
      <c r="G959" s="29" t="s">
        <v>68</v>
      </c>
      <c r="H959" s="29" t="s">
        <v>1381</v>
      </c>
      <c r="I959" s="29" t="s">
        <v>1859</v>
      </c>
      <c r="J959" s="29" t="n">
        <v>0</v>
      </c>
      <c r="K959" s="29" t="n">
        <v>0</v>
      </c>
      <c r="L959" s="29" t="s">
        <v>1849</v>
      </c>
    </row>
    <row r="960" customFormat="false" ht="15" hidden="false" customHeight="false" outlineLevel="0" collapsed="false">
      <c r="A960" s="29" t="n">
        <v>140884</v>
      </c>
      <c r="B960" s="29" t="s">
        <v>1721</v>
      </c>
      <c r="C960" s="29" t="s">
        <v>1722</v>
      </c>
      <c r="D960" s="29" t="s">
        <v>612</v>
      </c>
      <c r="E960" s="29" t="s">
        <v>613</v>
      </c>
      <c r="F960" s="29" t="s">
        <v>93</v>
      </c>
      <c r="G960" s="29" t="s">
        <v>68</v>
      </c>
      <c r="H960" s="29" t="s">
        <v>1381</v>
      </c>
      <c r="I960" s="29" t="s">
        <v>1859</v>
      </c>
      <c r="J960" s="29" t="n">
        <v>0</v>
      </c>
      <c r="K960" s="29" t="n">
        <v>0</v>
      </c>
      <c r="L960" s="29" t="s">
        <v>1849</v>
      </c>
    </row>
    <row r="961" customFormat="false" ht="15" hidden="false" customHeight="false" outlineLevel="0" collapsed="false">
      <c r="A961" s="29" t="n">
        <v>140884</v>
      </c>
      <c r="B961" s="29" t="s">
        <v>1721</v>
      </c>
      <c r="C961" s="29" t="s">
        <v>1722</v>
      </c>
      <c r="D961" s="29" t="s">
        <v>618</v>
      </c>
      <c r="E961" s="29" t="s">
        <v>619</v>
      </c>
      <c r="F961" s="29" t="s">
        <v>93</v>
      </c>
      <c r="G961" s="29" t="s">
        <v>68</v>
      </c>
      <c r="H961" s="29" t="s">
        <v>1381</v>
      </c>
      <c r="I961" s="29" t="s">
        <v>1859</v>
      </c>
      <c r="J961" s="29" t="n">
        <v>0</v>
      </c>
      <c r="K961" s="29" t="n">
        <v>0</v>
      </c>
      <c r="L961" s="29" t="s">
        <v>1849</v>
      </c>
    </row>
    <row r="962" customFormat="false" ht="15" hidden="false" customHeight="false" outlineLevel="0" collapsed="false">
      <c r="A962" s="29" t="n">
        <v>140884</v>
      </c>
      <c r="B962" s="29" t="s">
        <v>1721</v>
      </c>
      <c r="C962" s="29" t="s">
        <v>1722</v>
      </c>
      <c r="D962" s="29" t="s">
        <v>627</v>
      </c>
      <c r="E962" s="29" t="s">
        <v>628</v>
      </c>
      <c r="F962" s="29" t="s">
        <v>93</v>
      </c>
      <c r="G962" s="29" t="s">
        <v>68</v>
      </c>
      <c r="H962" s="29" t="s">
        <v>1381</v>
      </c>
      <c r="I962" s="29" t="s">
        <v>1858</v>
      </c>
      <c r="J962" s="29" t="n">
        <v>0</v>
      </c>
      <c r="K962" s="29" t="n">
        <v>0</v>
      </c>
      <c r="L962" s="29" t="s">
        <v>1849</v>
      </c>
    </row>
    <row r="963" customFormat="false" ht="15" hidden="false" customHeight="false" outlineLevel="0" collapsed="false">
      <c r="A963" s="29" t="n">
        <v>140884</v>
      </c>
      <c r="B963" s="29" t="s">
        <v>1721</v>
      </c>
      <c r="C963" s="29" t="s">
        <v>1722</v>
      </c>
      <c r="D963" s="29" t="s">
        <v>636</v>
      </c>
      <c r="E963" s="29" t="s">
        <v>637</v>
      </c>
      <c r="F963" s="29" t="s">
        <v>93</v>
      </c>
      <c r="G963" s="29" t="s">
        <v>68</v>
      </c>
      <c r="H963" s="29" t="s">
        <v>1381</v>
      </c>
      <c r="I963" s="29" t="s">
        <v>1858</v>
      </c>
      <c r="J963" s="29" t="n">
        <v>0</v>
      </c>
      <c r="K963" s="29" t="n">
        <v>0</v>
      </c>
      <c r="L963" s="29" t="s">
        <v>1849</v>
      </c>
    </row>
    <row r="964" customFormat="false" ht="15" hidden="false" customHeight="false" outlineLevel="0" collapsed="false">
      <c r="A964" s="29" t="n">
        <v>140884</v>
      </c>
      <c r="B964" s="29" t="s">
        <v>1721</v>
      </c>
      <c r="C964" s="29" t="s">
        <v>1722</v>
      </c>
      <c r="D964" s="29" t="s">
        <v>668</v>
      </c>
      <c r="E964" s="29" t="s">
        <v>669</v>
      </c>
      <c r="F964" s="29" t="s">
        <v>105</v>
      </c>
      <c r="G964" s="29" t="s">
        <v>66</v>
      </c>
      <c r="H964" s="29" t="s">
        <v>1379</v>
      </c>
      <c r="I964" s="29" t="s">
        <v>1854</v>
      </c>
      <c r="J964" s="29" t="n">
        <v>0</v>
      </c>
      <c r="K964" s="29" t="n">
        <v>0</v>
      </c>
      <c r="L964" s="29" t="s">
        <v>1849</v>
      </c>
    </row>
    <row r="965" customFormat="false" ht="15" hidden="false" customHeight="false" outlineLevel="0" collapsed="false">
      <c r="A965" s="29" t="n">
        <v>140884</v>
      </c>
      <c r="B965" s="29" t="s">
        <v>1721</v>
      </c>
      <c r="C965" s="29" t="s">
        <v>1722</v>
      </c>
      <c r="D965" s="29" t="s">
        <v>680</v>
      </c>
      <c r="E965" s="29" t="s">
        <v>681</v>
      </c>
      <c r="F965" s="29" t="s">
        <v>105</v>
      </c>
      <c r="G965" s="29" t="s">
        <v>66</v>
      </c>
      <c r="H965" s="29" t="s">
        <v>1379</v>
      </c>
      <c r="I965" s="29" t="s">
        <v>1854</v>
      </c>
      <c r="J965" s="29" t="n">
        <v>0</v>
      </c>
      <c r="K965" s="29" t="n">
        <v>0</v>
      </c>
      <c r="L965" s="29" t="s">
        <v>1849</v>
      </c>
    </row>
    <row r="966" customFormat="false" ht="15" hidden="false" customHeight="false" outlineLevel="0" collapsed="false">
      <c r="A966" s="29" t="n">
        <v>140884</v>
      </c>
      <c r="B966" s="29" t="s">
        <v>1721</v>
      </c>
      <c r="C966" s="29" t="s">
        <v>1722</v>
      </c>
      <c r="D966" s="29" t="s">
        <v>711</v>
      </c>
      <c r="E966" s="29" t="s">
        <v>712</v>
      </c>
      <c r="F966" s="29" t="s">
        <v>116</v>
      </c>
      <c r="G966" s="29" t="s">
        <v>66</v>
      </c>
      <c r="H966" s="29" t="s">
        <v>1379</v>
      </c>
      <c r="I966" s="29" t="s">
        <v>1854</v>
      </c>
      <c r="J966" s="29" t="n">
        <v>0</v>
      </c>
      <c r="K966" s="29" t="n">
        <v>5</v>
      </c>
      <c r="L966" s="29" t="s">
        <v>1866</v>
      </c>
    </row>
    <row r="967" customFormat="false" ht="15" hidden="false" customHeight="false" outlineLevel="0" collapsed="false">
      <c r="A967" s="29" t="n">
        <v>140884</v>
      </c>
      <c r="B967" s="29" t="s">
        <v>1721</v>
      </c>
      <c r="C967" s="29" t="s">
        <v>1722</v>
      </c>
      <c r="D967" s="29" t="s">
        <v>721</v>
      </c>
      <c r="E967" s="29" t="s">
        <v>722</v>
      </c>
      <c r="F967" s="29" t="s">
        <v>116</v>
      </c>
      <c r="G967" s="29" t="s">
        <v>66</v>
      </c>
      <c r="H967" s="29" t="s">
        <v>1379</v>
      </c>
      <c r="I967" s="29" t="s">
        <v>1854</v>
      </c>
      <c r="J967" s="29" t="n">
        <v>0</v>
      </c>
      <c r="K967" s="29" t="n">
        <v>0</v>
      </c>
      <c r="L967" s="29" t="s">
        <v>1849</v>
      </c>
    </row>
    <row r="968" customFormat="false" ht="15" hidden="false" customHeight="false" outlineLevel="0" collapsed="false">
      <c r="A968" s="29" t="n">
        <v>140884</v>
      </c>
      <c r="B968" s="29" t="s">
        <v>1721</v>
      </c>
      <c r="C968" s="29" t="s">
        <v>1722</v>
      </c>
      <c r="D968" s="29" t="s">
        <v>729</v>
      </c>
      <c r="E968" s="29" t="s">
        <v>730</v>
      </c>
      <c r="F968" s="29" t="s">
        <v>116</v>
      </c>
      <c r="G968" s="29" t="s">
        <v>67</v>
      </c>
      <c r="H968" s="29" t="s">
        <v>1844</v>
      </c>
      <c r="I968" s="29" t="s">
        <v>1879</v>
      </c>
      <c r="J968" s="29" t="n">
        <v>0</v>
      </c>
      <c r="K968" s="29" t="n">
        <v>0</v>
      </c>
      <c r="L968" s="29" t="s">
        <v>1849</v>
      </c>
    </row>
    <row r="969" customFormat="false" ht="15" hidden="false" customHeight="false" outlineLevel="0" collapsed="false">
      <c r="A969" s="29" t="n">
        <v>140884</v>
      </c>
      <c r="B969" s="29" t="s">
        <v>1721</v>
      </c>
      <c r="C969" s="29" t="s">
        <v>1722</v>
      </c>
      <c r="D969" s="29" t="s">
        <v>737</v>
      </c>
      <c r="E969" s="29" t="s">
        <v>738</v>
      </c>
      <c r="F969" s="29" t="s">
        <v>116</v>
      </c>
      <c r="G969" s="29" t="s">
        <v>67</v>
      </c>
      <c r="H969" s="29" t="s">
        <v>1844</v>
      </c>
      <c r="I969" s="29" t="s">
        <v>1879</v>
      </c>
      <c r="J969" s="29" t="n">
        <v>0</v>
      </c>
      <c r="K969" s="29" t="n">
        <v>0</v>
      </c>
      <c r="L969" s="29" t="s">
        <v>1849</v>
      </c>
    </row>
    <row r="970" customFormat="false" ht="15" hidden="false" customHeight="false" outlineLevel="0" collapsed="false">
      <c r="A970" s="29" t="n">
        <v>140884</v>
      </c>
      <c r="B970" s="29" t="s">
        <v>1721</v>
      </c>
      <c r="C970" s="29" t="s">
        <v>1722</v>
      </c>
      <c r="D970" s="29" t="s">
        <v>745</v>
      </c>
      <c r="E970" s="29" t="s">
        <v>746</v>
      </c>
      <c r="F970" s="29" t="s">
        <v>116</v>
      </c>
      <c r="G970" s="29" t="s">
        <v>67</v>
      </c>
      <c r="H970" s="29" t="s">
        <v>1844</v>
      </c>
      <c r="I970" s="29" t="s">
        <v>1860</v>
      </c>
      <c r="J970" s="29" t="n">
        <v>0</v>
      </c>
      <c r="K970" s="29" t="n">
        <v>0</v>
      </c>
      <c r="L970" s="29" t="s">
        <v>1849</v>
      </c>
    </row>
    <row r="971" customFormat="false" ht="15" hidden="false" customHeight="false" outlineLevel="0" collapsed="false">
      <c r="A971" s="29" t="n">
        <v>140884</v>
      </c>
      <c r="B971" s="29" t="s">
        <v>1721</v>
      </c>
      <c r="C971" s="29" t="s">
        <v>1722</v>
      </c>
      <c r="D971" s="29" t="s">
        <v>753</v>
      </c>
      <c r="E971" s="29" t="s">
        <v>754</v>
      </c>
      <c r="F971" s="29" t="s">
        <v>116</v>
      </c>
      <c r="G971" s="29" t="s">
        <v>68</v>
      </c>
      <c r="H971" s="29" t="s">
        <v>1381</v>
      </c>
      <c r="I971" s="29" t="s">
        <v>1860</v>
      </c>
      <c r="J971" s="29" t="n">
        <v>0</v>
      </c>
      <c r="K971" s="29" t="n">
        <v>0</v>
      </c>
      <c r="L971" s="29" t="s">
        <v>1849</v>
      </c>
    </row>
    <row r="972" customFormat="false" ht="15" hidden="false" customHeight="false" outlineLevel="0" collapsed="false">
      <c r="A972" s="29" t="n">
        <v>141419</v>
      </c>
      <c r="B972" s="29" t="s">
        <v>1724</v>
      </c>
      <c r="C972" s="29" t="s">
        <v>1725</v>
      </c>
      <c r="D972" s="29" t="s">
        <v>247</v>
      </c>
      <c r="E972" s="29" t="s">
        <v>248</v>
      </c>
      <c r="F972" s="29" t="s">
        <v>69</v>
      </c>
      <c r="G972" s="29" t="s">
        <v>67</v>
      </c>
      <c r="H972" s="29" t="s">
        <v>1844</v>
      </c>
      <c r="I972" s="29" t="s">
        <v>1848</v>
      </c>
      <c r="J972" s="29" t="n">
        <v>0</v>
      </c>
      <c r="K972" s="29" t="n">
        <v>0</v>
      </c>
      <c r="L972" s="29" t="s">
        <v>1849</v>
      </c>
    </row>
    <row r="973" customFormat="false" ht="15" hidden="false" customHeight="false" outlineLevel="0" collapsed="false">
      <c r="A973" s="29" t="n">
        <v>141419</v>
      </c>
      <c r="B973" s="29" t="s">
        <v>1724</v>
      </c>
      <c r="C973" s="29" t="s">
        <v>1725</v>
      </c>
      <c r="D973" s="29" t="s">
        <v>277</v>
      </c>
      <c r="E973" s="29" t="s">
        <v>278</v>
      </c>
      <c r="F973" s="29" t="s">
        <v>69</v>
      </c>
      <c r="G973" s="29" t="s">
        <v>67</v>
      </c>
      <c r="H973" s="29" t="s">
        <v>1379</v>
      </c>
      <c r="I973" s="29" t="s">
        <v>1850</v>
      </c>
      <c r="J973" s="29" t="n">
        <v>0</v>
      </c>
      <c r="K973" s="29" t="n">
        <v>0</v>
      </c>
      <c r="L973" s="29" t="s">
        <v>1849</v>
      </c>
    </row>
    <row r="974" customFormat="false" ht="15" hidden="false" customHeight="false" outlineLevel="0" collapsed="false">
      <c r="A974" s="29" t="n">
        <v>141419</v>
      </c>
      <c r="B974" s="29" t="s">
        <v>1724</v>
      </c>
      <c r="C974" s="29" t="s">
        <v>1725</v>
      </c>
      <c r="D974" s="29" t="s">
        <v>297</v>
      </c>
      <c r="E974" s="29" t="s">
        <v>298</v>
      </c>
      <c r="F974" s="29" t="s">
        <v>69</v>
      </c>
      <c r="G974" s="29" t="s">
        <v>68</v>
      </c>
      <c r="H974" s="29" t="s">
        <v>1381</v>
      </c>
      <c r="I974" s="29" t="s">
        <v>1848</v>
      </c>
      <c r="J974" s="29" t="n">
        <v>0</v>
      </c>
      <c r="K974" s="29" t="n">
        <v>0</v>
      </c>
      <c r="L974" s="29" t="s">
        <v>1849</v>
      </c>
    </row>
    <row r="975" customFormat="false" ht="15" hidden="false" customHeight="false" outlineLevel="0" collapsed="false">
      <c r="A975" s="29" t="n">
        <v>141419</v>
      </c>
      <c r="B975" s="29" t="s">
        <v>1724</v>
      </c>
      <c r="C975" s="29" t="s">
        <v>1725</v>
      </c>
      <c r="D975" s="29" t="s">
        <v>304</v>
      </c>
      <c r="E975" s="29" t="s">
        <v>305</v>
      </c>
      <c r="F975" s="29" t="s">
        <v>69</v>
      </c>
      <c r="G975" s="29" t="s">
        <v>68</v>
      </c>
      <c r="H975" s="29" t="s">
        <v>1381</v>
      </c>
      <c r="I975" s="29" t="s">
        <v>1851</v>
      </c>
      <c r="J975" s="29" t="n">
        <v>0</v>
      </c>
      <c r="K975" s="29" t="n">
        <v>0</v>
      </c>
      <c r="L975" s="29" t="s">
        <v>1849</v>
      </c>
    </row>
    <row r="976" customFormat="false" ht="15" hidden="false" customHeight="false" outlineLevel="0" collapsed="false">
      <c r="A976" s="29" t="n">
        <v>141419</v>
      </c>
      <c r="B976" s="29" t="s">
        <v>1724</v>
      </c>
      <c r="C976" s="29" t="s">
        <v>1725</v>
      </c>
      <c r="D976" s="29" t="s">
        <v>311</v>
      </c>
      <c r="E976" s="29" t="s">
        <v>312</v>
      </c>
      <c r="F976" s="29" t="s">
        <v>69</v>
      </c>
      <c r="G976" s="29" t="s">
        <v>68</v>
      </c>
      <c r="H976" s="29" t="s">
        <v>1381</v>
      </c>
      <c r="I976" s="29" t="s">
        <v>1851</v>
      </c>
      <c r="J976" s="29" t="n">
        <v>0</v>
      </c>
      <c r="K976" s="29" t="n">
        <v>0</v>
      </c>
      <c r="L976" s="29" t="s">
        <v>1849</v>
      </c>
    </row>
    <row r="977" customFormat="false" ht="15" hidden="false" customHeight="false" outlineLevel="0" collapsed="false">
      <c r="A977" s="29" t="n">
        <v>141419</v>
      </c>
      <c r="B977" s="29" t="s">
        <v>1724</v>
      </c>
      <c r="C977" s="29" t="s">
        <v>1725</v>
      </c>
      <c r="D977" s="29" t="s">
        <v>325</v>
      </c>
      <c r="E977" s="29" t="s">
        <v>326</v>
      </c>
      <c r="F977" s="29" t="s">
        <v>76</v>
      </c>
      <c r="G977" s="29" t="s">
        <v>67</v>
      </c>
      <c r="H977" s="29" t="s">
        <v>1844</v>
      </c>
      <c r="I977" s="29" t="s">
        <v>1852</v>
      </c>
      <c r="J977" s="29" t="n">
        <v>0</v>
      </c>
      <c r="K977" s="29" t="n">
        <v>0</v>
      </c>
      <c r="L977" s="29" t="s">
        <v>1849</v>
      </c>
    </row>
    <row r="978" customFormat="false" ht="15" hidden="false" customHeight="false" outlineLevel="0" collapsed="false">
      <c r="A978" s="29" t="n">
        <v>141419</v>
      </c>
      <c r="B978" s="29" t="s">
        <v>1724</v>
      </c>
      <c r="C978" s="29" t="s">
        <v>1725</v>
      </c>
      <c r="D978" s="29" t="s">
        <v>336</v>
      </c>
      <c r="E978" s="29" t="s">
        <v>337</v>
      </c>
      <c r="F978" s="29" t="s">
        <v>76</v>
      </c>
      <c r="G978" s="29" t="s">
        <v>67</v>
      </c>
      <c r="H978" s="29" t="s">
        <v>1844</v>
      </c>
      <c r="I978" s="29" t="s">
        <v>1852</v>
      </c>
      <c r="J978" s="29" t="n">
        <v>0</v>
      </c>
      <c r="K978" s="29" t="n">
        <v>0</v>
      </c>
      <c r="L978" s="29" t="s">
        <v>1849</v>
      </c>
    </row>
    <row r="979" customFormat="false" ht="15" hidden="false" customHeight="false" outlineLevel="0" collapsed="false">
      <c r="A979" s="29" t="n">
        <v>141419</v>
      </c>
      <c r="B979" s="29" t="s">
        <v>1724</v>
      </c>
      <c r="C979" s="29" t="s">
        <v>1725</v>
      </c>
      <c r="D979" s="29" t="s">
        <v>343</v>
      </c>
      <c r="E979" s="29" t="s">
        <v>344</v>
      </c>
      <c r="F979" s="29" t="s">
        <v>76</v>
      </c>
      <c r="G979" s="29" t="s">
        <v>67</v>
      </c>
      <c r="H979" s="29" t="s">
        <v>1844</v>
      </c>
      <c r="I979" s="29" t="s">
        <v>1873</v>
      </c>
      <c r="J979" s="29" t="n">
        <v>0</v>
      </c>
      <c r="K979" s="29" t="n">
        <v>0</v>
      </c>
      <c r="L979" s="29" t="s">
        <v>1849</v>
      </c>
    </row>
    <row r="980" customFormat="false" ht="15" hidden="false" customHeight="false" outlineLevel="0" collapsed="false">
      <c r="A980" s="29" t="n">
        <v>141419</v>
      </c>
      <c r="B980" s="29" t="s">
        <v>1724</v>
      </c>
      <c r="C980" s="29" t="s">
        <v>1725</v>
      </c>
      <c r="D980" s="29" t="s">
        <v>353</v>
      </c>
      <c r="E980" s="29" t="s">
        <v>354</v>
      </c>
      <c r="F980" s="29" t="s">
        <v>76</v>
      </c>
      <c r="G980" s="29" t="s">
        <v>67</v>
      </c>
      <c r="H980" s="29" t="s">
        <v>1844</v>
      </c>
      <c r="I980" s="29" t="s">
        <v>1853</v>
      </c>
      <c r="J980" s="29" t="n">
        <v>0</v>
      </c>
      <c r="K980" s="29" t="n">
        <v>0</v>
      </c>
      <c r="L980" s="29" t="s">
        <v>1849</v>
      </c>
    </row>
    <row r="981" customFormat="false" ht="15" hidden="false" customHeight="false" outlineLevel="0" collapsed="false">
      <c r="A981" s="29" t="n">
        <v>141419</v>
      </c>
      <c r="B981" s="29" t="s">
        <v>1724</v>
      </c>
      <c r="C981" s="29" t="s">
        <v>1725</v>
      </c>
      <c r="D981" s="29" t="s">
        <v>360</v>
      </c>
      <c r="E981" s="29" t="s">
        <v>361</v>
      </c>
      <c r="F981" s="29" t="s">
        <v>76</v>
      </c>
      <c r="G981" s="29" t="s">
        <v>67</v>
      </c>
      <c r="H981" s="29" t="s">
        <v>1844</v>
      </c>
      <c r="I981" s="29" t="s">
        <v>1873</v>
      </c>
      <c r="J981" s="29" t="n">
        <v>0</v>
      </c>
      <c r="K981" s="29" t="n">
        <v>0</v>
      </c>
      <c r="L981" s="29" t="s">
        <v>1849</v>
      </c>
    </row>
    <row r="982" customFormat="false" ht="15" hidden="false" customHeight="false" outlineLevel="0" collapsed="false">
      <c r="A982" s="29" t="n">
        <v>141419</v>
      </c>
      <c r="B982" s="29" t="s">
        <v>1724</v>
      </c>
      <c r="C982" s="29" t="s">
        <v>1725</v>
      </c>
      <c r="D982" s="29" t="s">
        <v>371</v>
      </c>
      <c r="E982" s="29" t="s">
        <v>372</v>
      </c>
      <c r="F982" s="29" t="s">
        <v>76</v>
      </c>
      <c r="G982" s="29" t="s">
        <v>67</v>
      </c>
      <c r="H982" s="29" t="s">
        <v>1844</v>
      </c>
      <c r="I982" s="29" t="s">
        <v>1873</v>
      </c>
      <c r="J982" s="29" t="n">
        <v>0</v>
      </c>
      <c r="K982" s="29" t="n">
        <v>0</v>
      </c>
      <c r="L982" s="29" t="s">
        <v>1849</v>
      </c>
    </row>
    <row r="983" customFormat="false" ht="15" hidden="false" customHeight="false" outlineLevel="0" collapsed="false">
      <c r="A983" s="29" t="n">
        <v>141419</v>
      </c>
      <c r="B983" s="29" t="s">
        <v>1724</v>
      </c>
      <c r="C983" s="29" t="s">
        <v>1725</v>
      </c>
      <c r="D983" s="29" t="s">
        <v>387</v>
      </c>
      <c r="E983" s="29" t="s">
        <v>388</v>
      </c>
      <c r="F983" s="29" t="s">
        <v>76</v>
      </c>
      <c r="G983" s="29" t="s">
        <v>68</v>
      </c>
      <c r="H983" s="29" t="s">
        <v>1381</v>
      </c>
      <c r="I983" s="29" t="s">
        <v>1853</v>
      </c>
      <c r="J983" s="29" t="n">
        <v>0</v>
      </c>
      <c r="K983" s="29" t="n">
        <v>0</v>
      </c>
      <c r="L983" s="29" t="s">
        <v>1849</v>
      </c>
    </row>
    <row r="984" customFormat="false" ht="15" hidden="false" customHeight="false" outlineLevel="0" collapsed="false">
      <c r="A984" s="29" t="n">
        <v>141419</v>
      </c>
      <c r="B984" s="29" t="s">
        <v>1724</v>
      </c>
      <c r="C984" s="29" t="s">
        <v>1725</v>
      </c>
      <c r="D984" s="29" t="s">
        <v>396</v>
      </c>
      <c r="E984" s="29" t="s">
        <v>397</v>
      </c>
      <c r="F984" s="29" t="s">
        <v>76</v>
      </c>
      <c r="G984" s="29" t="s">
        <v>68</v>
      </c>
      <c r="H984" s="29" t="s">
        <v>1381</v>
      </c>
      <c r="I984" s="29" t="s">
        <v>1853</v>
      </c>
      <c r="J984" s="29" t="n">
        <v>0</v>
      </c>
      <c r="K984" s="29" t="n">
        <v>0</v>
      </c>
      <c r="L984" s="29" t="s">
        <v>1849</v>
      </c>
    </row>
    <row r="985" customFormat="false" ht="15" hidden="false" customHeight="false" outlineLevel="0" collapsed="false">
      <c r="A985" s="29" t="n">
        <v>141419</v>
      </c>
      <c r="B985" s="29" t="s">
        <v>1724</v>
      </c>
      <c r="C985" s="29" t="s">
        <v>1725</v>
      </c>
      <c r="D985" s="29" t="s">
        <v>403</v>
      </c>
      <c r="E985" s="29" t="s">
        <v>404</v>
      </c>
      <c r="F985" s="29" t="s">
        <v>76</v>
      </c>
      <c r="G985" s="29" t="s">
        <v>68</v>
      </c>
      <c r="H985" s="29" t="s">
        <v>1381</v>
      </c>
      <c r="I985" s="29" t="s">
        <v>1852</v>
      </c>
      <c r="J985" s="29" t="n">
        <v>0</v>
      </c>
      <c r="K985" s="29" t="n">
        <v>0</v>
      </c>
      <c r="L985" s="29" t="s">
        <v>1849</v>
      </c>
    </row>
    <row r="986" customFormat="false" ht="15" hidden="false" customHeight="false" outlineLevel="0" collapsed="false">
      <c r="A986" s="29" t="n">
        <v>141419</v>
      </c>
      <c r="B986" s="29" t="s">
        <v>1724</v>
      </c>
      <c r="C986" s="29" t="s">
        <v>1725</v>
      </c>
      <c r="D986" s="29" t="s">
        <v>411</v>
      </c>
      <c r="E986" s="29" t="s">
        <v>412</v>
      </c>
      <c r="F986" s="29" t="s">
        <v>76</v>
      </c>
      <c r="G986" s="29" t="s">
        <v>68</v>
      </c>
      <c r="H986" s="29" t="s">
        <v>1381</v>
      </c>
      <c r="I986" s="29" t="s">
        <v>1873</v>
      </c>
      <c r="J986" s="29" t="n">
        <v>0</v>
      </c>
      <c r="K986" s="29" t="n">
        <v>0</v>
      </c>
      <c r="L986" s="29" t="s">
        <v>1849</v>
      </c>
    </row>
    <row r="987" customFormat="false" ht="15" hidden="false" customHeight="false" outlineLevel="0" collapsed="false">
      <c r="A987" s="29" t="n">
        <v>141419</v>
      </c>
      <c r="B987" s="29" t="s">
        <v>1724</v>
      </c>
      <c r="C987" s="29" t="s">
        <v>1725</v>
      </c>
      <c r="D987" s="29" t="s">
        <v>428</v>
      </c>
      <c r="E987" s="29" t="s">
        <v>429</v>
      </c>
      <c r="F987" s="29" t="s">
        <v>76</v>
      </c>
      <c r="G987" s="29" t="s">
        <v>68</v>
      </c>
      <c r="H987" s="29" t="s">
        <v>1381</v>
      </c>
      <c r="I987" s="29" t="s">
        <v>1853</v>
      </c>
      <c r="J987" s="29" t="n">
        <v>0</v>
      </c>
      <c r="K987" s="29" t="n">
        <v>0</v>
      </c>
      <c r="L987" s="29" t="s">
        <v>1849</v>
      </c>
    </row>
    <row r="988" customFormat="false" ht="15" hidden="false" customHeight="false" outlineLevel="0" collapsed="false">
      <c r="A988" s="29" t="n">
        <v>141419</v>
      </c>
      <c r="B988" s="29" t="s">
        <v>1724</v>
      </c>
      <c r="C988" s="29" t="s">
        <v>1725</v>
      </c>
      <c r="D988" s="29" t="s">
        <v>433</v>
      </c>
      <c r="E988" s="29" t="s">
        <v>434</v>
      </c>
      <c r="F988" s="29" t="s">
        <v>82</v>
      </c>
      <c r="G988" s="29" t="s">
        <v>66</v>
      </c>
      <c r="H988" s="29" t="s">
        <v>1379</v>
      </c>
      <c r="I988" s="29" t="s">
        <v>1854</v>
      </c>
      <c r="J988" s="29" t="n">
        <v>0</v>
      </c>
      <c r="K988" s="29" t="n">
        <v>0</v>
      </c>
      <c r="L988" s="29" t="s">
        <v>1849</v>
      </c>
    </row>
    <row r="989" customFormat="false" ht="15" hidden="false" customHeight="false" outlineLevel="0" collapsed="false">
      <c r="A989" s="29" t="n">
        <v>141419</v>
      </c>
      <c r="B989" s="29" t="s">
        <v>1724</v>
      </c>
      <c r="C989" s="29" t="s">
        <v>1725</v>
      </c>
      <c r="D989" s="29" t="s">
        <v>451</v>
      </c>
      <c r="E989" s="29" t="s">
        <v>452</v>
      </c>
      <c r="F989" s="29" t="s">
        <v>82</v>
      </c>
      <c r="G989" s="29" t="s">
        <v>67</v>
      </c>
      <c r="H989" s="29" t="s">
        <v>1379</v>
      </c>
      <c r="I989" s="29" t="s">
        <v>1855</v>
      </c>
      <c r="J989" s="29" t="n">
        <v>0</v>
      </c>
      <c r="K989" s="29" t="n">
        <v>0</v>
      </c>
      <c r="L989" s="29" t="s">
        <v>1849</v>
      </c>
    </row>
    <row r="990" customFormat="false" ht="15" hidden="false" customHeight="false" outlineLevel="0" collapsed="false">
      <c r="A990" s="29" t="n">
        <v>141419</v>
      </c>
      <c r="B990" s="29" t="s">
        <v>1724</v>
      </c>
      <c r="C990" s="29" t="s">
        <v>1725</v>
      </c>
      <c r="D990" s="29" t="s">
        <v>459</v>
      </c>
      <c r="E990" s="29" t="s">
        <v>460</v>
      </c>
      <c r="F990" s="29" t="s">
        <v>82</v>
      </c>
      <c r="G990" s="29" t="s">
        <v>67</v>
      </c>
      <c r="H990" s="29" t="s">
        <v>1379</v>
      </c>
      <c r="I990" s="29" t="s">
        <v>1855</v>
      </c>
      <c r="J990" s="29" t="n">
        <v>0</v>
      </c>
      <c r="K990" s="29" t="n">
        <v>0</v>
      </c>
      <c r="L990" s="29" t="s">
        <v>1849</v>
      </c>
    </row>
    <row r="991" customFormat="false" ht="15" hidden="false" customHeight="false" outlineLevel="0" collapsed="false">
      <c r="A991" s="29" t="n">
        <v>141419</v>
      </c>
      <c r="B991" s="29" t="s">
        <v>1724</v>
      </c>
      <c r="C991" s="29" t="s">
        <v>1725</v>
      </c>
      <c r="D991" s="29" t="s">
        <v>466</v>
      </c>
      <c r="E991" s="29" t="s">
        <v>467</v>
      </c>
      <c r="F991" s="29" t="s">
        <v>82</v>
      </c>
      <c r="G991" s="29" t="s">
        <v>67</v>
      </c>
      <c r="H991" s="29" t="s">
        <v>1379</v>
      </c>
      <c r="I991" s="29" t="s">
        <v>1855</v>
      </c>
      <c r="J991" s="29" t="n">
        <v>0</v>
      </c>
      <c r="K991" s="29" t="n">
        <v>0</v>
      </c>
      <c r="L991" s="29" t="s">
        <v>1849</v>
      </c>
    </row>
    <row r="992" customFormat="false" ht="15" hidden="false" customHeight="false" outlineLevel="0" collapsed="false">
      <c r="A992" s="29" t="n">
        <v>141419</v>
      </c>
      <c r="B992" s="29" t="s">
        <v>1724</v>
      </c>
      <c r="C992" s="29" t="s">
        <v>1725</v>
      </c>
      <c r="D992" s="29" t="s">
        <v>508</v>
      </c>
      <c r="E992" s="29" t="s">
        <v>509</v>
      </c>
      <c r="F992" s="29" t="s">
        <v>88</v>
      </c>
      <c r="G992" s="29" t="s">
        <v>67</v>
      </c>
      <c r="H992" s="29" t="s">
        <v>1379</v>
      </c>
      <c r="I992" s="29" t="s">
        <v>1850</v>
      </c>
      <c r="J992" s="29" t="n">
        <v>0</v>
      </c>
      <c r="K992" s="29" t="n">
        <v>0</v>
      </c>
      <c r="L992" s="29" t="s">
        <v>1849</v>
      </c>
    </row>
    <row r="993" customFormat="false" ht="15" hidden="false" customHeight="false" outlineLevel="0" collapsed="false">
      <c r="A993" s="29" t="n">
        <v>141419</v>
      </c>
      <c r="B993" s="29" t="s">
        <v>1724</v>
      </c>
      <c r="C993" s="29" t="s">
        <v>1725</v>
      </c>
      <c r="D993" s="29" t="s">
        <v>515</v>
      </c>
      <c r="E993" s="29" t="s">
        <v>516</v>
      </c>
      <c r="F993" s="29" t="s">
        <v>88</v>
      </c>
      <c r="G993" s="29" t="s">
        <v>67</v>
      </c>
      <c r="H993" s="29" t="s">
        <v>1379</v>
      </c>
      <c r="I993" s="29" t="s">
        <v>1850</v>
      </c>
      <c r="J993" s="29" t="n">
        <v>0</v>
      </c>
      <c r="K993" s="29" t="n">
        <v>0</v>
      </c>
      <c r="L993" s="29" t="s">
        <v>1849</v>
      </c>
    </row>
    <row r="994" customFormat="false" ht="15" hidden="false" customHeight="false" outlineLevel="0" collapsed="false">
      <c r="A994" s="29" t="n">
        <v>141419</v>
      </c>
      <c r="B994" s="29" t="s">
        <v>1724</v>
      </c>
      <c r="C994" s="29" t="s">
        <v>1725</v>
      </c>
      <c r="D994" s="29" t="s">
        <v>523</v>
      </c>
      <c r="E994" s="29" t="s">
        <v>524</v>
      </c>
      <c r="F994" s="29" t="s">
        <v>88</v>
      </c>
      <c r="G994" s="29" t="s">
        <v>67</v>
      </c>
      <c r="H994" s="29" t="s">
        <v>1844</v>
      </c>
      <c r="I994" s="29" t="s">
        <v>1856</v>
      </c>
      <c r="J994" s="29" t="n">
        <v>0</v>
      </c>
      <c r="K994" s="29" t="n">
        <v>0</v>
      </c>
      <c r="L994" s="29" t="s">
        <v>1849</v>
      </c>
    </row>
    <row r="995" customFormat="false" ht="15" hidden="false" customHeight="false" outlineLevel="0" collapsed="false">
      <c r="A995" s="29" t="n">
        <v>141419</v>
      </c>
      <c r="B995" s="29" t="s">
        <v>1724</v>
      </c>
      <c r="C995" s="29" t="s">
        <v>1725</v>
      </c>
      <c r="D995" s="29" t="s">
        <v>530</v>
      </c>
      <c r="E995" s="29" t="s">
        <v>531</v>
      </c>
      <c r="F995" s="29" t="s">
        <v>88</v>
      </c>
      <c r="G995" s="29" t="s">
        <v>68</v>
      </c>
      <c r="H995" s="29" t="s">
        <v>1381</v>
      </c>
      <c r="I995" s="29" t="s">
        <v>1847</v>
      </c>
      <c r="J995" s="29" t="n">
        <v>0</v>
      </c>
      <c r="K995" s="29" t="n">
        <v>0</v>
      </c>
      <c r="L995" s="29" t="s">
        <v>1849</v>
      </c>
    </row>
    <row r="996" customFormat="false" ht="15" hidden="false" customHeight="false" outlineLevel="0" collapsed="false">
      <c r="A996" s="29" t="n">
        <v>141419</v>
      </c>
      <c r="B996" s="29" t="s">
        <v>1724</v>
      </c>
      <c r="C996" s="29" t="s">
        <v>1725</v>
      </c>
      <c r="D996" s="29" t="s">
        <v>536</v>
      </c>
      <c r="E996" s="29" t="s">
        <v>537</v>
      </c>
      <c r="F996" s="29" t="s">
        <v>88</v>
      </c>
      <c r="G996" s="29" t="s">
        <v>68</v>
      </c>
      <c r="H996" s="29" t="s">
        <v>1381</v>
      </c>
      <c r="I996" s="29" t="s">
        <v>1847</v>
      </c>
      <c r="J996" s="29" t="n">
        <v>0</v>
      </c>
      <c r="K996" s="29" t="n">
        <v>0</v>
      </c>
      <c r="L996" s="29" t="s">
        <v>1849</v>
      </c>
    </row>
    <row r="997" customFormat="false" ht="15" hidden="false" customHeight="false" outlineLevel="0" collapsed="false">
      <c r="A997" s="29" t="n">
        <v>141419</v>
      </c>
      <c r="B997" s="29" t="s">
        <v>1724</v>
      </c>
      <c r="C997" s="29" t="s">
        <v>1725</v>
      </c>
      <c r="D997" s="29" t="s">
        <v>543</v>
      </c>
      <c r="E997" s="29" t="s">
        <v>544</v>
      </c>
      <c r="F997" s="29" t="s">
        <v>88</v>
      </c>
      <c r="G997" s="29" t="s">
        <v>68</v>
      </c>
      <c r="H997" s="29" t="s">
        <v>1381</v>
      </c>
      <c r="I997" s="29" t="s">
        <v>1847</v>
      </c>
      <c r="J997" s="29" t="n">
        <v>0</v>
      </c>
      <c r="K997" s="29" t="n">
        <v>0</v>
      </c>
      <c r="L997" s="29" t="s">
        <v>1849</v>
      </c>
    </row>
    <row r="998" customFormat="false" ht="15" hidden="false" customHeight="false" outlineLevel="0" collapsed="false">
      <c r="A998" s="29" t="n">
        <v>141419</v>
      </c>
      <c r="B998" s="29" t="s">
        <v>1724</v>
      </c>
      <c r="C998" s="29" t="s">
        <v>1725</v>
      </c>
      <c r="D998" s="29" t="s">
        <v>551</v>
      </c>
      <c r="E998" s="29" t="s">
        <v>552</v>
      </c>
      <c r="F998" s="29" t="s">
        <v>88</v>
      </c>
      <c r="G998" s="29" t="s">
        <v>68</v>
      </c>
      <c r="H998" s="29" t="s">
        <v>1381</v>
      </c>
      <c r="I998" s="29" t="s">
        <v>1857</v>
      </c>
      <c r="J998" s="29" t="n">
        <v>0</v>
      </c>
      <c r="K998" s="29" t="n">
        <v>0</v>
      </c>
      <c r="L998" s="29" t="s">
        <v>1849</v>
      </c>
    </row>
    <row r="999" customFormat="false" ht="15" hidden="false" customHeight="false" outlineLevel="0" collapsed="false">
      <c r="A999" s="29" t="n">
        <v>141419</v>
      </c>
      <c r="B999" s="29" t="s">
        <v>1724</v>
      </c>
      <c r="C999" s="29" t="s">
        <v>1725</v>
      </c>
      <c r="D999" s="29" t="s">
        <v>558</v>
      </c>
      <c r="E999" s="29" t="s">
        <v>559</v>
      </c>
      <c r="F999" s="29" t="s">
        <v>88</v>
      </c>
      <c r="G999" s="29" t="s">
        <v>68</v>
      </c>
      <c r="H999" s="29" t="s">
        <v>1381</v>
      </c>
      <c r="I999" s="29" t="s">
        <v>1856</v>
      </c>
      <c r="J999" s="29" t="n">
        <v>0</v>
      </c>
      <c r="K999" s="29" t="n">
        <v>0</v>
      </c>
      <c r="L999" s="29" t="s">
        <v>1849</v>
      </c>
    </row>
    <row r="1000" customFormat="false" ht="15" hidden="false" customHeight="false" outlineLevel="0" collapsed="false">
      <c r="A1000" s="29" t="n">
        <v>141419</v>
      </c>
      <c r="B1000" s="29" t="s">
        <v>1724</v>
      </c>
      <c r="C1000" s="29" t="s">
        <v>1725</v>
      </c>
      <c r="D1000" s="29" t="s">
        <v>565</v>
      </c>
      <c r="E1000" s="29" t="s">
        <v>566</v>
      </c>
      <c r="F1000" s="29" t="s">
        <v>88</v>
      </c>
      <c r="G1000" s="29" t="s">
        <v>68</v>
      </c>
      <c r="H1000" s="29" t="s">
        <v>1381</v>
      </c>
      <c r="I1000" s="29" t="s">
        <v>1856</v>
      </c>
      <c r="J1000" s="29" t="n">
        <v>0</v>
      </c>
      <c r="K1000" s="29" t="n">
        <v>0</v>
      </c>
      <c r="L1000" s="29" t="s">
        <v>1849</v>
      </c>
    </row>
    <row r="1001" customFormat="false" ht="15" hidden="false" customHeight="false" outlineLevel="0" collapsed="false">
      <c r="A1001" s="29" t="n">
        <v>141419</v>
      </c>
      <c r="B1001" s="29" t="s">
        <v>1724</v>
      </c>
      <c r="C1001" s="29" t="s">
        <v>1725</v>
      </c>
      <c r="D1001" s="29" t="s">
        <v>572</v>
      </c>
      <c r="E1001" s="29" t="s">
        <v>573</v>
      </c>
      <c r="F1001" s="29" t="s">
        <v>88</v>
      </c>
      <c r="G1001" s="29" t="s">
        <v>68</v>
      </c>
      <c r="H1001" s="29" t="s">
        <v>1381</v>
      </c>
      <c r="I1001" s="29" t="s">
        <v>1847</v>
      </c>
      <c r="J1001" s="29" t="n">
        <v>0</v>
      </c>
      <c r="K1001" s="29" t="n">
        <v>0</v>
      </c>
      <c r="L1001" s="29" t="s">
        <v>1849</v>
      </c>
    </row>
    <row r="1002" customFormat="false" ht="15" hidden="false" customHeight="false" outlineLevel="0" collapsed="false">
      <c r="A1002" s="29" t="n">
        <v>141419</v>
      </c>
      <c r="B1002" s="29" t="s">
        <v>1724</v>
      </c>
      <c r="C1002" s="29" t="s">
        <v>1725</v>
      </c>
      <c r="D1002" s="29" t="s">
        <v>581</v>
      </c>
      <c r="E1002" s="29" t="s">
        <v>582</v>
      </c>
      <c r="F1002" s="29" t="s">
        <v>93</v>
      </c>
      <c r="G1002" s="29" t="s">
        <v>67</v>
      </c>
      <c r="H1002" s="29" t="s">
        <v>1844</v>
      </c>
      <c r="I1002" s="29" t="s">
        <v>1858</v>
      </c>
      <c r="J1002" s="29" t="n">
        <v>0</v>
      </c>
      <c r="K1002" s="29" t="n">
        <v>0</v>
      </c>
      <c r="L1002" s="29" t="s">
        <v>1849</v>
      </c>
    </row>
    <row r="1003" customFormat="false" ht="15" hidden="false" customHeight="false" outlineLevel="0" collapsed="false">
      <c r="A1003" s="29" t="n">
        <v>141419</v>
      </c>
      <c r="B1003" s="29" t="s">
        <v>1724</v>
      </c>
      <c r="C1003" s="29" t="s">
        <v>1725</v>
      </c>
      <c r="D1003" s="29" t="s">
        <v>590</v>
      </c>
      <c r="E1003" s="29" t="s">
        <v>591</v>
      </c>
      <c r="F1003" s="29" t="s">
        <v>93</v>
      </c>
      <c r="G1003" s="29" t="s">
        <v>67</v>
      </c>
      <c r="H1003" s="29" t="s">
        <v>1844</v>
      </c>
      <c r="I1003" s="29" t="s">
        <v>1859</v>
      </c>
      <c r="J1003" s="29" t="n">
        <v>0</v>
      </c>
      <c r="K1003" s="29" t="n">
        <v>0</v>
      </c>
      <c r="L1003" s="29" t="s">
        <v>1849</v>
      </c>
    </row>
    <row r="1004" customFormat="false" ht="15" hidden="false" customHeight="false" outlineLevel="0" collapsed="false">
      <c r="A1004" s="29" t="n">
        <v>141419</v>
      </c>
      <c r="B1004" s="29" t="s">
        <v>1724</v>
      </c>
      <c r="C1004" s="29" t="s">
        <v>1725</v>
      </c>
      <c r="D1004" s="29" t="s">
        <v>597</v>
      </c>
      <c r="E1004" s="29" t="s">
        <v>598</v>
      </c>
      <c r="F1004" s="29" t="s">
        <v>93</v>
      </c>
      <c r="G1004" s="29" t="s">
        <v>67</v>
      </c>
      <c r="H1004" s="29" t="s">
        <v>1844</v>
      </c>
      <c r="I1004" s="29" t="s">
        <v>1859</v>
      </c>
      <c r="J1004" s="29" t="n">
        <v>0</v>
      </c>
      <c r="K1004" s="29" t="n">
        <v>0</v>
      </c>
      <c r="L1004" s="29" t="s">
        <v>1849</v>
      </c>
    </row>
    <row r="1005" customFormat="false" ht="15" hidden="false" customHeight="false" outlineLevel="0" collapsed="false">
      <c r="A1005" s="29" t="n">
        <v>141419</v>
      </c>
      <c r="B1005" s="29" t="s">
        <v>1724</v>
      </c>
      <c r="C1005" s="29" t="s">
        <v>1725</v>
      </c>
      <c r="D1005" s="29" t="s">
        <v>604</v>
      </c>
      <c r="E1005" s="29" t="s">
        <v>605</v>
      </c>
      <c r="F1005" s="29" t="s">
        <v>93</v>
      </c>
      <c r="G1005" s="29" t="s">
        <v>68</v>
      </c>
      <c r="H1005" s="29" t="s">
        <v>1381</v>
      </c>
      <c r="I1005" s="29" t="s">
        <v>1859</v>
      </c>
      <c r="J1005" s="29" t="n">
        <v>0</v>
      </c>
      <c r="K1005" s="29" t="n">
        <v>0</v>
      </c>
      <c r="L1005" s="29" t="s">
        <v>1849</v>
      </c>
    </row>
    <row r="1006" customFormat="false" ht="15" hidden="false" customHeight="false" outlineLevel="0" collapsed="false">
      <c r="A1006" s="29" t="n">
        <v>141419</v>
      </c>
      <c r="B1006" s="29" t="s">
        <v>1724</v>
      </c>
      <c r="C1006" s="29" t="s">
        <v>1725</v>
      </c>
      <c r="D1006" s="29" t="s">
        <v>612</v>
      </c>
      <c r="E1006" s="29" t="s">
        <v>613</v>
      </c>
      <c r="F1006" s="29" t="s">
        <v>93</v>
      </c>
      <c r="G1006" s="29" t="s">
        <v>68</v>
      </c>
      <c r="H1006" s="29" t="s">
        <v>1381</v>
      </c>
      <c r="I1006" s="29" t="s">
        <v>1859</v>
      </c>
      <c r="J1006" s="29" t="n">
        <v>0</v>
      </c>
      <c r="K1006" s="29" t="n">
        <v>0</v>
      </c>
      <c r="L1006" s="29" t="s">
        <v>1849</v>
      </c>
    </row>
    <row r="1007" customFormat="false" ht="15" hidden="false" customHeight="false" outlineLevel="0" collapsed="false">
      <c r="A1007" s="29" t="n">
        <v>141419</v>
      </c>
      <c r="B1007" s="29" t="s">
        <v>1724</v>
      </c>
      <c r="C1007" s="29" t="s">
        <v>1725</v>
      </c>
      <c r="D1007" s="29" t="s">
        <v>618</v>
      </c>
      <c r="E1007" s="29" t="s">
        <v>619</v>
      </c>
      <c r="F1007" s="29" t="s">
        <v>93</v>
      </c>
      <c r="G1007" s="29" t="s">
        <v>68</v>
      </c>
      <c r="H1007" s="29" t="s">
        <v>1381</v>
      </c>
      <c r="I1007" s="29" t="s">
        <v>1859</v>
      </c>
      <c r="J1007" s="29" t="n">
        <v>0</v>
      </c>
      <c r="K1007" s="29" t="n">
        <v>0</v>
      </c>
      <c r="L1007" s="29" t="s">
        <v>1849</v>
      </c>
    </row>
    <row r="1008" customFormat="false" ht="15" hidden="false" customHeight="false" outlineLevel="0" collapsed="false">
      <c r="A1008" s="29" t="n">
        <v>141419</v>
      </c>
      <c r="B1008" s="29" t="s">
        <v>1724</v>
      </c>
      <c r="C1008" s="29" t="s">
        <v>1725</v>
      </c>
      <c r="D1008" s="29" t="s">
        <v>627</v>
      </c>
      <c r="E1008" s="29" t="s">
        <v>628</v>
      </c>
      <c r="F1008" s="29" t="s">
        <v>93</v>
      </c>
      <c r="G1008" s="29" t="s">
        <v>68</v>
      </c>
      <c r="H1008" s="29" t="s">
        <v>1381</v>
      </c>
      <c r="I1008" s="29" t="s">
        <v>1858</v>
      </c>
      <c r="J1008" s="29" t="n">
        <v>0</v>
      </c>
      <c r="K1008" s="29" t="n">
        <v>0</v>
      </c>
      <c r="L1008" s="29" t="s">
        <v>1849</v>
      </c>
    </row>
    <row r="1009" customFormat="false" ht="15" hidden="false" customHeight="false" outlineLevel="0" collapsed="false">
      <c r="A1009" s="29" t="n">
        <v>141419</v>
      </c>
      <c r="B1009" s="29" t="s">
        <v>1724</v>
      </c>
      <c r="C1009" s="29" t="s">
        <v>1725</v>
      </c>
      <c r="D1009" s="29" t="s">
        <v>636</v>
      </c>
      <c r="E1009" s="29" t="s">
        <v>637</v>
      </c>
      <c r="F1009" s="29" t="s">
        <v>93</v>
      </c>
      <c r="G1009" s="29" t="s">
        <v>68</v>
      </c>
      <c r="H1009" s="29" t="s">
        <v>1381</v>
      </c>
      <c r="I1009" s="29" t="s">
        <v>1858</v>
      </c>
      <c r="J1009" s="29" t="n">
        <v>0</v>
      </c>
      <c r="K1009" s="29" t="n">
        <v>0</v>
      </c>
      <c r="L1009" s="29" t="s">
        <v>1849</v>
      </c>
    </row>
    <row r="1010" customFormat="false" ht="15" hidden="false" customHeight="false" outlineLevel="0" collapsed="false">
      <c r="A1010" s="29" t="n">
        <v>141419</v>
      </c>
      <c r="B1010" s="29" t="s">
        <v>1724</v>
      </c>
      <c r="C1010" s="29" t="s">
        <v>1725</v>
      </c>
      <c r="D1010" s="29" t="s">
        <v>668</v>
      </c>
      <c r="E1010" s="29" t="s">
        <v>669</v>
      </c>
      <c r="F1010" s="29" t="s">
        <v>105</v>
      </c>
      <c r="G1010" s="29" t="s">
        <v>66</v>
      </c>
      <c r="H1010" s="29" t="s">
        <v>1379</v>
      </c>
      <c r="I1010" s="29" t="s">
        <v>1854</v>
      </c>
      <c r="J1010" s="29" t="n">
        <v>0</v>
      </c>
      <c r="K1010" s="29" t="n">
        <v>0</v>
      </c>
      <c r="L1010" s="29" t="s">
        <v>1849</v>
      </c>
    </row>
    <row r="1011" customFormat="false" ht="15" hidden="false" customHeight="false" outlineLevel="0" collapsed="false">
      <c r="A1011" s="29" t="n">
        <v>141419</v>
      </c>
      <c r="B1011" s="29" t="s">
        <v>1724</v>
      </c>
      <c r="C1011" s="29" t="s">
        <v>1725</v>
      </c>
      <c r="D1011" s="29" t="s">
        <v>680</v>
      </c>
      <c r="E1011" s="29" t="s">
        <v>681</v>
      </c>
      <c r="F1011" s="29" t="s">
        <v>105</v>
      </c>
      <c r="G1011" s="29" t="s">
        <v>66</v>
      </c>
      <c r="H1011" s="29" t="s">
        <v>1379</v>
      </c>
      <c r="I1011" s="29" t="s">
        <v>1854</v>
      </c>
      <c r="J1011" s="29" t="n">
        <v>0</v>
      </c>
      <c r="K1011" s="29" t="n">
        <v>0</v>
      </c>
      <c r="L1011" s="29" t="s">
        <v>1849</v>
      </c>
    </row>
    <row r="1012" customFormat="false" ht="15" hidden="false" customHeight="false" outlineLevel="0" collapsed="false">
      <c r="A1012" s="29" t="n">
        <v>141419</v>
      </c>
      <c r="B1012" s="29" t="s">
        <v>1724</v>
      </c>
      <c r="C1012" s="29" t="s">
        <v>1725</v>
      </c>
      <c r="D1012" s="29" t="s">
        <v>711</v>
      </c>
      <c r="E1012" s="29" t="s">
        <v>712</v>
      </c>
      <c r="F1012" s="29" t="s">
        <v>116</v>
      </c>
      <c r="G1012" s="29" t="s">
        <v>66</v>
      </c>
      <c r="H1012" s="29" t="s">
        <v>1379</v>
      </c>
      <c r="I1012" s="29" t="s">
        <v>1854</v>
      </c>
      <c r="J1012" s="29" t="n">
        <v>0</v>
      </c>
      <c r="K1012" s="29" t="n">
        <v>0</v>
      </c>
      <c r="L1012" s="29" t="s">
        <v>1849</v>
      </c>
    </row>
    <row r="1013" customFormat="false" ht="15" hidden="false" customHeight="false" outlineLevel="0" collapsed="false">
      <c r="A1013" s="29" t="n">
        <v>141419</v>
      </c>
      <c r="B1013" s="29" t="s">
        <v>1724</v>
      </c>
      <c r="C1013" s="29" t="s">
        <v>1725</v>
      </c>
      <c r="D1013" s="29" t="s">
        <v>721</v>
      </c>
      <c r="E1013" s="29" t="s">
        <v>722</v>
      </c>
      <c r="F1013" s="29" t="s">
        <v>116</v>
      </c>
      <c r="G1013" s="29" t="s">
        <v>66</v>
      </c>
      <c r="H1013" s="29" t="s">
        <v>1379</v>
      </c>
      <c r="I1013" s="29" t="s">
        <v>1854</v>
      </c>
      <c r="J1013" s="29" t="n">
        <v>0</v>
      </c>
      <c r="K1013" s="29" t="n">
        <v>0</v>
      </c>
      <c r="L1013" s="29" t="s">
        <v>1849</v>
      </c>
    </row>
    <row r="1014" customFormat="false" ht="15" hidden="false" customHeight="false" outlineLevel="0" collapsed="false">
      <c r="A1014" s="29" t="n">
        <v>141419</v>
      </c>
      <c r="B1014" s="29" t="s">
        <v>1724</v>
      </c>
      <c r="C1014" s="29" t="s">
        <v>1725</v>
      </c>
      <c r="D1014" s="29" t="s">
        <v>729</v>
      </c>
      <c r="E1014" s="29" t="s">
        <v>730</v>
      </c>
      <c r="F1014" s="29" t="s">
        <v>116</v>
      </c>
      <c r="G1014" s="29" t="s">
        <v>67</v>
      </c>
      <c r="H1014" s="29" t="s">
        <v>1844</v>
      </c>
      <c r="I1014" s="29" t="s">
        <v>1879</v>
      </c>
      <c r="J1014" s="29" t="n">
        <v>0</v>
      </c>
      <c r="K1014" s="29" t="n">
        <v>0</v>
      </c>
      <c r="L1014" s="29" t="s">
        <v>1849</v>
      </c>
    </row>
    <row r="1015" customFormat="false" ht="15" hidden="false" customHeight="false" outlineLevel="0" collapsed="false">
      <c r="A1015" s="29" t="n">
        <v>141419</v>
      </c>
      <c r="B1015" s="29" t="s">
        <v>1724</v>
      </c>
      <c r="C1015" s="29" t="s">
        <v>1725</v>
      </c>
      <c r="D1015" s="29" t="s">
        <v>737</v>
      </c>
      <c r="E1015" s="29" t="s">
        <v>738</v>
      </c>
      <c r="F1015" s="29" t="s">
        <v>116</v>
      </c>
      <c r="G1015" s="29" t="s">
        <v>67</v>
      </c>
      <c r="H1015" s="29" t="s">
        <v>1844</v>
      </c>
      <c r="I1015" s="29" t="s">
        <v>1879</v>
      </c>
      <c r="J1015" s="29" t="n">
        <v>0</v>
      </c>
      <c r="K1015" s="29" t="n">
        <v>0</v>
      </c>
      <c r="L1015" s="29" t="s">
        <v>1849</v>
      </c>
    </row>
    <row r="1016" customFormat="false" ht="15" hidden="false" customHeight="false" outlineLevel="0" collapsed="false">
      <c r="A1016" s="29" t="n">
        <v>141419</v>
      </c>
      <c r="B1016" s="29" t="s">
        <v>1724</v>
      </c>
      <c r="C1016" s="29" t="s">
        <v>1725</v>
      </c>
      <c r="D1016" s="29" t="s">
        <v>745</v>
      </c>
      <c r="E1016" s="29" t="s">
        <v>746</v>
      </c>
      <c r="F1016" s="29" t="s">
        <v>116</v>
      </c>
      <c r="G1016" s="29" t="s">
        <v>67</v>
      </c>
      <c r="H1016" s="29" t="s">
        <v>1844</v>
      </c>
      <c r="I1016" s="29" t="s">
        <v>1860</v>
      </c>
      <c r="J1016" s="29" t="n">
        <v>0</v>
      </c>
      <c r="K1016" s="29" t="n">
        <v>0</v>
      </c>
      <c r="L1016" s="29" t="s">
        <v>1849</v>
      </c>
    </row>
    <row r="1017" customFormat="false" ht="15" hidden="false" customHeight="false" outlineLevel="0" collapsed="false">
      <c r="A1017" s="29" t="n">
        <v>141419</v>
      </c>
      <c r="B1017" s="29" t="s">
        <v>1724</v>
      </c>
      <c r="C1017" s="29" t="s">
        <v>1725</v>
      </c>
      <c r="D1017" s="29" t="s">
        <v>753</v>
      </c>
      <c r="E1017" s="29" t="s">
        <v>754</v>
      </c>
      <c r="F1017" s="29" t="s">
        <v>116</v>
      </c>
      <c r="G1017" s="29" t="s">
        <v>68</v>
      </c>
      <c r="H1017" s="29" t="s">
        <v>1381</v>
      </c>
      <c r="I1017" s="29" t="s">
        <v>1860</v>
      </c>
      <c r="J1017" s="29" t="n">
        <v>0</v>
      </c>
      <c r="K1017" s="29" t="n">
        <v>0</v>
      </c>
      <c r="L1017" s="29" t="s">
        <v>1849</v>
      </c>
    </row>
    <row r="1018" customFormat="false" ht="15" hidden="false" customHeight="false" outlineLevel="0" collapsed="false">
      <c r="A1018" s="29" t="n">
        <v>123066</v>
      </c>
      <c r="B1018" s="29" t="s">
        <v>1728</v>
      </c>
      <c r="C1018" s="29" t="s">
        <v>1729</v>
      </c>
      <c r="D1018" s="29" t="s">
        <v>247</v>
      </c>
      <c r="E1018" s="29" t="s">
        <v>248</v>
      </c>
      <c r="F1018" s="29" t="s">
        <v>69</v>
      </c>
      <c r="G1018" s="29" t="s">
        <v>67</v>
      </c>
      <c r="H1018" s="29" t="s">
        <v>1844</v>
      </c>
      <c r="I1018" s="29" t="s">
        <v>1848</v>
      </c>
      <c r="J1018" s="29" t="n">
        <v>0</v>
      </c>
      <c r="K1018" s="29" t="n">
        <v>0</v>
      </c>
      <c r="L1018" s="29" t="s">
        <v>1849</v>
      </c>
    </row>
    <row r="1019" customFormat="false" ht="15" hidden="false" customHeight="false" outlineLevel="0" collapsed="false">
      <c r="A1019" s="29" t="n">
        <v>123066</v>
      </c>
      <c r="B1019" s="29" t="s">
        <v>1728</v>
      </c>
      <c r="C1019" s="29" t="s">
        <v>1729</v>
      </c>
      <c r="D1019" s="29" t="s">
        <v>265</v>
      </c>
      <c r="E1019" s="29" t="s">
        <v>266</v>
      </c>
      <c r="F1019" s="29" t="s">
        <v>69</v>
      </c>
      <c r="G1019" s="29" t="s">
        <v>67</v>
      </c>
      <c r="H1019" s="29" t="s">
        <v>1844</v>
      </c>
      <c r="I1019" s="29" t="s">
        <v>1845</v>
      </c>
      <c r="J1019" s="29" t="n">
        <v>0</v>
      </c>
      <c r="K1019" s="29" t="n">
        <v>1</v>
      </c>
      <c r="L1019" s="29" t="s">
        <v>1866</v>
      </c>
    </row>
    <row r="1020" customFormat="false" ht="15" hidden="false" customHeight="false" outlineLevel="0" collapsed="false">
      <c r="A1020" s="29" t="n">
        <v>123066</v>
      </c>
      <c r="B1020" s="29" t="s">
        <v>1728</v>
      </c>
      <c r="C1020" s="29" t="s">
        <v>1729</v>
      </c>
      <c r="D1020" s="29" t="s">
        <v>277</v>
      </c>
      <c r="E1020" s="29" t="s">
        <v>278</v>
      </c>
      <c r="F1020" s="29" t="s">
        <v>69</v>
      </c>
      <c r="G1020" s="29" t="s">
        <v>67</v>
      </c>
      <c r="H1020" s="29" t="s">
        <v>1379</v>
      </c>
      <c r="I1020" s="29" t="s">
        <v>1850</v>
      </c>
      <c r="J1020" s="29" t="n">
        <v>0</v>
      </c>
      <c r="K1020" s="29" t="n">
        <v>0</v>
      </c>
      <c r="L1020" s="29" t="s">
        <v>1849</v>
      </c>
    </row>
    <row r="1021" customFormat="false" ht="15" hidden="false" customHeight="false" outlineLevel="0" collapsed="false">
      <c r="A1021" s="29" t="n">
        <v>123066</v>
      </c>
      <c r="B1021" s="29" t="s">
        <v>1728</v>
      </c>
      <c r="C1021" s="29" t="s">
        <v>1729</v>
      </c>
      <c r="D1021" s="29" t="s">
        <v>291</v>
      </c>
      <c r="E1021" s="29" t="s">
        <v>292</v>
      </c>
      <c r="F1021" s="29" t="s">
        <v>69</v>
      </c>
      <c r="G1021" s="29" t="s">
        <v>68</v>
      </c>
      <c r="H1021" s="29" t="s">
        <v>1381</v>
      </c>
      <c r="I1021" s="29" t="s">
        <v>1845</v>
      </c>
      <c r="J1021" s="29" t="n">
        <v>0</v>
      </c>
      <c r="K1021" s="29" t="n">
        <v>3</v>
      </c>
      <c r="L1021" s="29" t="s">
        <v>1866</v>
      </c>
    </row>
    <row r="1022" customFormat="false" ht="15" hidden="false" customHeight="false" outlineLevel="0" collapsed="false">
      <c r="A1022" s="29" t="n">
        <v>123066</v>
      </c>
      <c r="B1022" s="29" t="s">
        <v>1728</v>
      </c>
      <c r="C1022" s="29" t="s">
        <v>1729</v>
      </c>
      <c r="D1022" s="29" t="s">
        <v>297</v>
      </c>
      <c r="E1022" s="29" t="s">
        <v>298</v>
      </c>
      <c r="F1022" s="29" t="s">
        <v>69</v>
      </c>
      <c r="G1022" s="29" t="s">
        <v>68</v>
      </c>
      <c r="H1022" s="29" t="s">
        <v>1381</v>
      </c>
      <c r="I1022" s="29" t="s">
        <v>1848</v>
      </c>
      <c r="J1022" s="29" t="n">
        <v>0</v>
      </c>
      <c r="K1022" s="29" t="n">
        <v>0</v>
      </c>
      <c r="L1022" s="29" t="s">
        <v>1849</v>
      </c>
    </row>
    <row r="1023" customFormat="false" ht="15" hidden="false" customHeight="false" outlineLevel="0" collapsed="false">
      <c r="A1023" s="29" t="n">
        <v>123066</v>
      </c>
      <c r="B1023" s="29" t="s">
        <v>1728</v>
      </c>
      <c r="C1023" s="29" t="s">
        <v>1729</v>
      </c>
      <c r="D1023" s="29" t="s">
        <v>304</v>
      </c>
      <c r="E1023" s="29" t="s">
        <v>305</v>
      </c>
      <c r="F1023" s="29" t="s">
        <v>69</v>
      </c>
      <c r="G1023" s="29" t="s">
        <v>68</v>
      </c>
      <c r="H1023" s="29" t="s">
        <v>1381</v>
      </c>
      <c r="I1023" s="29" t="s">
        <v>1851</v>
      </c>
      <c r="J1023" s="29" t="n">
        <v>0</v>
      </c>
      <c r="K1023" s="29" t="n">
        <v>0</v>
      </c>
      <c r="L1023" s="29" t="s">
        <v>1849</v>
      </c>
    </row>
    <row r="1024" customFormat="false" ht="15" hidden="false" customHeight="false" outlineLevel="0" collapsed="false">
      <c r="A1024" s="29" t="n">
        <v>123066</v>
      </c>
      <c r="B1024" s="29" t="s">
        <v>1728</v>
      </c>
      <c r="C1024" s="29" t="s">
        <v>1729</v>
      </c>
      <c r="D1024" s="29" t="s">
        <v>311</v>
      </c>
      <c r="E1024" s="29" t="s">
        <v>312</v>
      </c>
      <c r="F1024" s="29" t="s">
        <v>69</v>
      </c>
      <c r="G1024" s="29" t="s">
        <v>68</v>
      </c>
      <c r="H1024" s="29" t="s">
        <v>1381</v>
      </c>
      <c r="I1024" s="29" t="s">
        <v>1851</v>
      </c>
      <c r="J1024" s="29" t="n">
        <v>0</v>
      </c>
      <c r="K1024" s="29" t="n">
        <v>0</v>
      </c>
      <c r="L1024" s="29" t="s">
        <v>1849</v>
      </c>
    </row>
    <row r="1025" customFormat="false" ht="15" hidden="false" customHeight="false" outlineLevel="0" collapsed="false">
      <c r="A1025" s="29" t="n">
        <v>123066</v>
      </c>
      <c r="B1025" s="29" t="s">
        <v>1728</v>
      </c>
      <c r="C1025" s="29" t="s">
        <v>1729</v>
      </c>
      <c r="D1025" s="29" t="s">
        <v>343</v>
      </c>
      <c r="E1025" s="29" t="s">
        <v>344</v>
      </c>
      <c r="F1025" s="29" t="s">
        <v>76</v>
      </c>
      <c r="G1025" s="29" t="s">
        <v>67</v>
      </c>
      <c r="H1025" s="29" t="s">
        <v>1844</v>
      </c>
      <c r="I1025" s="29" t="s">
        <v>1873</v>
      </c>
      <c r="J1025" s="29" t="n">
        <v>0</v>
      </c>
      <c r="K1025" s="29" t="n">
        <v>11</v>
      </c>
      <c r="L1025" s="29" t="s">
        <v>1866</v>
      </c>
    </row>
    <row r="1026" customFormat="false" ht="15" hidden="false" customHeight="false" outlineLevel="0" collapsed="false">
      <c r="A1026" s="29" t="n">
        <v>123066</v>
      </c>
      <c r="B1026" s="29" t="s">
        <v>1728</v>
      </c>
      <c r="C1026" s="29" t="s">
        <v>1729</v>
      </c>
      <c r="D1026" s="29" t="s">
        <v>360</v>
      </c>
      <c r="E1026" s="29" t="s">
        <v>361</v>
      </c>
      <c r="F1026" s="29" t="s">
        <v>76</v>
      </c>
      <c r="G1026" s="29" t="s">
        <v>67</v>
      </c>
      <c r="H1026" s="29" t="s">
        <v>1844</v>
      </c>
      <c r="I1026" s="29" t="s">
        <v>1873</v>
      </c>
      <c r="J1026" s="29" t="n">
        <v>0</v>
      </c>
      <c r="K1026" s="29" t="n">
        <v>0</v>
      </c>
      <c r="L1026" s="29" t="s">
        <v>1849</v>
      </c>
    </row>
    <row r="1027" customFormat="false" ht="15" hidden="false" customHeight="false" outlineLevel="0" collapsed="false">
      <c r="A1027" s="29" t="n">
        <v>123066</v>
      </c>
      <c r="B1027" s="29" t="s">
        <v>1728</v>
      </c>
      <c r="C1027" s="29" t="s">
        <v>1729</v>
      </c>
      <c r="D1027" s="29" t="s">
        <v>371</v>
      </c>
      <c r="E1027" s="29" t="s">
        <v>372</v>
      </c>
      <c r="F1027" s="29" t="s">
        <v>76</v>
      </c>
      <c r="G1027" s="29" t="s">
        <v>67</v>
      </c>
      <c r="H1027" s="29" t="s">
        <v>1844</v>
      </c>
      <c r="I1027" s="29" t="s">
        <v>1873</v>
      </c>
      <c r="J1027" s="29" t="n">
        <v>0</v>
      </c>
      <c r="K1027" s="29" t="n">
        <v>0</v>
      </c>
      <c r="L1027" s="29" t="s">
        <v>1849</v>
      </c>
    </row>
    <row r="1028" customFormat="false" ht="15" hidden="false" customHeight="false" outlineLevel="0" collapsed="false">
      <c r="A1028" s="29" t="n">
        <v>123066</v>
      </c>
      <c r="B1028" s="29" t="s">
        <v>1728</v>
      </c>
      <c r="C1028" s="29" t="s">
        <v>1729</v>
      </c>
      <c r="D1028" s="29" t="s">
        <v>379</v>
      </c>
      <c r="E1028" s="29" t="s">
        <v>380</v>
      </c>
      <c r="F1028" s="29" t="s">
        <v>76</v>
      </c>
      <c r="G1028" s="29" t="s">
        <v>68</v>
      </c>
      <c r="H1028" s="29" t="s">
        <v>1381</v>
      </c>
      <c r="I1028" s="29" t="s">
        <v>1874</v>
      </c>
      <c r="J1028" s="29" t="n">
        <v>0</v>
      </c>
      <c r="K1028" s="29" t="n">
        <v>0</v>
      </c>
      <c r="L1028" s="29" t="s">
        <v>1849</v>
      </c>
    </row>
    <row r="1029" customFormat="false" ht="15" hidden="false" customHeight="false" outlineLevel="0" collapsed="false">
      <c r="A1029" s="29" t="n">
        <v>123066</v>
      </c>
      <c r="B1029" s="29" t="s">
        <v>1728</v>
      </c>
      <c r="C1029" s="29" t="s">
        <v>1729</v>
      </c>
      <c r="D1029" s="29" t="s">
        <v>411</v>
      </c>
      <c r="E1029" s="29" t="s">
        <v>412</v>
      </c>
      <c r="F1029" s="29" t="s">
        <v>76</v>
      </c>
      <c r="G1029" s="29" t="s">
        <v>68</v>
      </c>
      <c r="H1029" s="29" t="s">
        <v>1381</v>
      </c>
      <c r="I1029" s="29" t="s">
        <v>1873</v>
      </c>
      <c r="J1029" s="29" t="n">
        <v>0</v>
      </c>
      <c r="K1029" s="29" t="n">
        <v>0</v>
      </c>
      <c r="L1029" s="29" t="s">
        <v>1849</v>
      </c>
    </row>
    <row r="1030" customFormat="false" ht="15" hidden="false" customHeight="false" outlineLevel="0" collapsed="false">
      <c r="A1030" s="29" t="n">
        <v>123066</v>
      </c>
      <c r="B1030" s="29" t="s">
        <v>1728</v>
      </c>
      <c r="C1030" s="29" t="s">
        <v>1729</v>
      </c>
      <c r="D1030" s="29" t="s">
        <v>433</v>
      </c>
      <c r="E1030" s="29" t="s">
        <v>434</v>
      </c>
      <c r="F1030" s="29" t="s">
        <v>82</v>
      </c>
      <c r="G1030" s="29" t="s">
        <v>66</v>
      </c>
      <c r="H1030" s="29" t="s">
        <v>1379</v>
      </c>
      <c r="I1030" s="29" t="s">
        <v>1850</v>
      </c>
      <c r="J1030" s="29" t="n">
        <v>0</v>
      </c>
      <c r="K1030" s="29" t="n">
        <v>0</v>
      </c>
      <c r="L1030" s="29" t="s">
        <v>1849</v>
      </c>
    </row>
    <row r="1031" customFormat="false" ht="15" hidden="false" customHeight="false" outlineLevel="0" collapsed="false">
      <c r="A1031" s="29" t="n">
        <v>123066</v>
      </c>
      <c r="B1031" s="29" t="s">
        <v>1728</v>
      </c>
      <c r="C1031" s="29" t="s">
        <v>1729</v>
      </c>
      <c r="D1031" s="29" t="s">
        <v>508</v>
      </c>
      <c r="E1031" s="29" t="s">
        <v>509</v>
      </c>
      <c r="F1031" s="29" t="s">
        <v>88</v>
      </c>
      <c r="G1031" s="29" t="s">
        <v>67</v>
      </c>
      <c r="H1031" s="29" t="s">
        <v>1379</v>
      </c>
      <c r="I1031" s="29" t="s">
        <v>1850</v>
      </c>
      <c r="J1031" s="29" t="n">
        <v>3</v>
      </c>
      <c r="K1031" s="29" t="n">
        <v>0</v>
      </c>
      <c r="L1031" s="29" t="s">
        <v>1867</v>
      </c>
    </row>
    <row r="1032" customFormat="false" ht="15" hidden="false" customHeight="false" outlineLevel="0" collapsed="false">
      <c r="A1032" s="29" t="n">
        <v>123066</v>
      </c>
      <c r="B1032" s="29" t="s">
        <v>1728</v>
      </c>
      <c r="C1032" s="29" t="s">
        <v>1729</v>
      </c>
      <c r="D1032" s="29" t="s">
        <v>515</v>
      </c>
      <c r="E1032" s="29" t="s">
        <v>516</v>
      </c>
      <c r="F1032" s="29" t="s">
        <v>88</v>
      </c>
      <c r="G1032" s="29" t="s">
        <v>67</v>
      </c>
      <c r="H1032" s="29" t="s">
        <v>1379</v>
      </c>
      <c r="I1032" s="29" t="s">
        <v>1850</v>
      </c>
      <c r="J1032" s="29" t="n">
        <v>0</v>
      </c>
      <c r="K1032" s="29" t="n">
        <v>0</v>
      </c>
      <c r="L1032" s="29" t="s">
        <v>1849</v>
      </c>
    </row>
    <row r="1033" customFormat="false" ht="15" hidden="false" customHeight="false" outlineLevel="0" collapsed="false">
      <c r="A1033" s="29" t="n">
        <v>123066</v>
      </c>
      <c r="B1033" s="29" t="s">
        <v>1728</v>
      </c>
      <c r="C1033" s="29" t="s">
        <v>1729</v>
      </c>
      <c r="D1033" s="29" t="s">
        <v>668</v>
      </c>
      <c r="E1033" s="29" t="s">
        <v>669</v>
      </c>
      <c r="F1033" s="29" t="s">
        <v>105</v>
      </c>
      <c r="G1033" s="29" t="s">
        <v>66</v>
      </c>
      <c r="H1033" s="29" t="s">
        <v>1379</v>
      </c>
      <c r="I1033" s="29" t="s">
        <v>1850</v>
      </c>
      <c r="J1033" s="29" t="n">
        <v>0</v>
      </c>
      <c r="K1033" s="29" t="n">
        <v>0</v>
      </c>
      <c r="L1033" s="29" t="s">
        <v>1849</v>
      </c>
    </row>
    <row r="1034" customFormat="false" ht="15" hidden="false" customHeight="false" outlineLevel="0" collapsed="false">
      <c r="A1034" s="29" t="n">
        <v>123066</v>
      </c>
      <c r="B1034" s="29" t="s">
        <v>1728</v>
      </c>
      <c r="C1034" s="29" t="s">
        <v>1729</v>
      </c>
      <c r="D1034" s="29" t="s">
        <v>680</v>
      </c>
      <c r="E1034" s="29" t="s">
        <v>681</v>
      </c>
      <c r="F1034" s="29" t="s">
        <v>105</v>
      </c>
      <c r="G1034" s="29" t="s">
        <v>66</v>
      </c>
      <c r="H1034" s="29" t="s">
        <v>1379</v>
      </c>
      <c r="I1034" s="29" t="s">
        <v>1850</v>
      </c>
      <c r="J1034" s="29" t="n">
        <v>0</v>
      </c>
      <c r="K1034" s="29" t="n">
        <v>0</v>
      </c>
      <c r="L1034" s="29" t="s">
        <v>1849</v>
      </c>
    </row>
    <row r="1035" customFormat="false" ht="15" hidden="false" customHeight="false" outlineLevel="0" collapsed="false">
      <c r="A1035" s="29" t="n">
        <v>123066</v>
      </c>
      <c r="B1035" s="29" t="s">
        <v>1728</v>
      </c>
      <c r="C1035" s="29" t="s">
        <v>1729</v>
      </c>
      <c r="D1035" s="29" t="s">
        <v>711</v>
      </c>
      <c r="E1035" s="29" t="s">
        <v>712</v>
      </c>
      <c r="F1035" s="29" t="s">
        <v>116</v>
      </c>
      <c r="G1035" s="29" t="s">
        <v>66</v>
      </c>
      <c r="H1035" s="29" t="s">
        <v>1379</v>
      </c>
      <c r="I1035" s="29" t="s">
        <v>1850</v>
      </c>
      <c r="J1035" s="29" t="n">
        <v>0</v>
      </c>
      <c r="K1035" s="29" t="n">
        <v>0</v>
      </c>
      <c r="L1035" s="29" t="s">
        <v>1849</v>
      </c>
    </row>
    <row r="1036" customFormat="false" ht="15" hidden="false" customHeight="false" outlineLevel="0" collapsed="false">
      <c r="A1036" s="29" t="n">
        <v>123066</v>
      </c>
      <c r="B1036" s="29" t="s">
        <v>1728</v>
      </c>
      <c r="C1036" s="29" t="s">
        <v>1729</v>
      </c>
      <c r="D1036" s="29" t="s">
        <v>721</v>
      </c>
      <c r="E1036" s="29" t="s">
        <v>722</v>
      </c>
      <c r="F1036" s="29" t="s">
        <v>116</v>
      </c>
      <c r="G1036" s="29" t="s">
        <v>66</v>
      </c>
      <c r="H1036" s="29" t="s">
        <v>1379</v>
      </c>
      <c r="I1036" s="29" t="s">
        <v>1850</v>
      </c>
      <c r="J1036" s="29" t="n">
        <v>0</v>
      </c>
      <c r="K1036" s="29" t="n">
        <v>0</v>
      </c>
      <c r="L1036" s="29" t="s">
        <v>1849</v>
      </c>
    </row>
    <row r="1037" customFormat="false" ht="15" hidden="false" customHeight="false" outlineLevel="0" collapsed="false">
      <c r="A1037" s="29" t="n">
        <v>140811</v>
      </c>
      <c r="B1037" s="29" t="s">
        <v>1733</v>
      </c>
      <c r="C1037" s="29" t="s">
        <v>1734</v>
      </c>
      <c r="D1037" s="29" t="s">
        <v>247</v>
      </c>
      <c r="E1037" s="29" t="s">
        <v>248</v>
      </c>
      <c r="F1037" s="29" t="s">
        <v>69</v>
      </c>
      <c r="G1037" s="29" t="s">
        <v>67</v>
      </c>
      <c r="H1037" s="29" t="s">
        <v>1844</v>
      </c>
      <c r="I1037" s="29" t="s">
        <v>1848</v>
      </c>
      <c r="J1037" s="29" t="n">
        <v>0</v>
      </c>
      <c r="K1037" s="29" t="n">
        <v>0</v>
      </c>
      <c r="L1037" s="29" t="s">
        <v>1849</v>
      </c>
    </row>
    <row r="1038" customFormat="false" ht="15" hidden="false" customHeight="false" outlineLevel="0" collapsed="false">
      <c r="A1038" s="29" t="n">
        <v>140811</v>
      </c>
      <c r="B1038" s="29" t="s">
        <v>1733</v>
      </c>
      <c r="C1038" s="29" t="s">
        <v>1734</v>
      </c>
      <c r="D1038" s="29" t="s">
        <v>277</v>
      </c>
      <c r="E1038" s="29" t="s">
        <v>278</v>
      </c>
      <c r="F1038" s="29" t="s">
        <v>69</v>
      </c>
      <c r="G1038" s="29" t="s">
        <v>67</v>
      </c>
      <c r="H1038" s="29" t="s">
        <v>1379</v>
      </c>
      <c r="I1038" s="29" t="s">
        <v>1850</v>
      </c>
      <c r="J1038" s="29" t="n">
        <v>0</v>
      </c>
      <c r="K1038" s="29" t="n">
        <v>0</v>
      </c>
      <c r="L1038" s="29" t="s">
        <v>1849</v>
      </c>
    </row>
    <row r="1039" customFormat="false" ht="15" hidden="false" customHeight="false" outlineLevel="0" collapsed="false">
      <c r="A1039" s="29" t="n">
        <v>140811</v>
      </c>
      <c r="B1039" s="29" t="s">
        <v>1733</v>
      </c>
      <c r="C1039" s="29" t="s">
        <v>1734</v>
      </c>
      <c r="D1039" s="29" t="s">
        <v>297</v>
      </c>
      <c r="E1039" s="29" t="s">
        <v>298</v>
      </c>
      <c r="F1039" s="29" t="s">
        <v>69</v>
      </c>
      <c r="G1039" s="29" t="s">
        <v>68</v>
      </c>
      <c r="H1039" s="29" t="s">
        <v>1381</v>
      </c>
      <c r="I1039" s="29" t="s">
        <v>1848</v>
      </c>
      <c r="J1039" s="29" t="n">
        <v>0</v>
      </c>
      <c r="K1039" s="29" t="n">
        <v>0</v>
      </c>
      <c r="L1039" s="29" t="s">
        <v>1849</v>
      </c>
    </row>
    <row r="1040" customFormat="false" ht="15" hidden="false" customHeight="false" outlineLevel="0" collapsed="false">
      <c r="A1040" s="29" t="n">
        <v>140811</v>
      </c>
      <c r="B1040" s="29" t="s">
        <v>1733</v>
      </c>
      <c r="C1040" s="29" t="s">
        <v>1734</v>
      </c>
      <c r="D1040" s="29" t="s">
        <v>433</v>
      </c>
      <c r="E1040" s="29" t="s">
        <v>434</v>
      </c>
      <c r="F1040" s="29" t="s">
        <v>82</v>
      </c>
      <c r="G1040" s="29" t="s">
        <v>66</v>
      </c>
      <c r="H1040" s="29" t="s">
        <v>1379</v>
      </c>
      <c r="I1040" s="29" t="s">
        <v>1850</v>
      </c>
      <c r="J1040" s="29" t="n">
        <v>0</v>
      </c>
      <c r="K1040" s="29" t="n">
        <v>0</v>
      </c>
      <c r="L1040" s="29" t="s">
        <v>1849</v>
      </c>
    </row>
    <row r="1041" customFormat="false" ht="15" hidden="false" customHeight="false" outlineLevel="0" collapsed="false">
      <c r="A1041" s="29" t="n">
        <v>140811</v>
      </c>
      <c r="B1041" s="29" t="s">
        <v>1733</v>
      </c>
      <c r="C1041" s="29" t="s">
        <v>1734</v>
      </c>
      <c r="D1041" s="29" t="s">
        <v>508</v>
      </c>
      <c r="E1041" s="29" t="s">
        <v>509</v>
      </c>
      <c r="F1041" s="29" t="s">
        <v>88</v>
      </c>
      <c r="G1041" s="29" t="s">
        <v>67</v>
      </c>
      <c r="H1041" s="29" t="s">
        <v>1379</v>
      </c>
      <c r="I1041" s="29" t="s">
        <v>1850</v>
      </c>
      <c r="J1041" s="29" t="n">
        <v>0</v>
      </c>
      <c r="K1041" s="29" t="n">
        <v>0</v>
      </c>
      <c r="L1041" s="29" t="s">
        <v>1849</v>
      </c>
    </row>
    <row r="1042" customFormat="false" ht="15" hidden="false" customHeight="false" outlineLevel="0" collapsed="false">
      <c r="A1042" s="29" t="n">
        <v>140811</v>
      </c>
      <c r="B1042" s="29" t="s">
        <v>1733</v>
      </c>
      <c r="C1042" s="29" t="s">
        <v>1734</v>
      </c>
      <c r="D1042" s="29" t="s">
        <v>515</v>
      </c>
      <c r="E1042" s="29" t="s">
        <v>516</v>
      </c>
      <c r="F1042" s="29" t="s">
        <v>88</v>
      </c>
      <c r="G1042" s="29" t="s">
        <v>67</v>
      </c>
      <c r="H1042" s="29" t="s">
        <v>1379</v>
      </c>
      <c r="I1042" s="29" t="s">
        <v>1850</v>
      </c>
      <c r="J1042" s="29" t="n">
        <v>0</v>
      </c>
      <c r="K1042" s="29" t="n">
        <v>0</v>
      </c>
      <c r="L1042" s="29" t="s">
        <v>1849</v>
      </c>
    </row>
    <row r="1043" customFormat="false" ht="15" hidden="false" customHeight="false" outlineLevel="0" collapsed="false">
      <c r="A1043" s="29" t="n">
        <v>140811</v>
      </c>
      <c r="B1043" s="29" t="s">
        <v>1733</v>
      </c>
      <c r="C1043" s="29" t="s">
        <v>1734</v>
      </c>
      <c r="D1043" s="29" t="s">
        <v>581</v>
      </c>
      <c r="E1043" s="29" t="s">
        <v>582</v>
      </c>
      <c r="F1043" s="29" t="s">
        <v>93</v>
      </c>
      <c r="G1043" s="29" t="s">
        <v>67</v>
      </c>
      <c r="H1043" s="29" t="s">
        <v>1844</v>
      </c>
      <c r="I1043" s="29" t="s">
        <v>1858</v>
      </c>
      <c r="J1043" s="29" t="n">
        <v>0</v>
      </c>
      <c r="K1043" s="29" t="n">
        <v>0</v>
      </c>
      <c r="L1043" s="29" t="s">
        <v>1849</v>
      </c>
    </row>
    <row r="1044" customFormat="false" ht="15" hidden="false" customHeight="false" outlineLevel="0" collapsed="false">
      <c r="A1044" s="29" t="n">
        <v>140811</v>
      </c>
      <c r="B1044" s="29" t="s">
        <v>1733</v>
      </c>
      <c r="C1044" s="29" t="s">
        <v>1734</v>
      </c>
      <c r="D1044" s="29" t="s">
        <v>590</v>
      </c>
      <c r="E1044" s="29" t="s">
        <v>591</v>
      </c>
      <c r="F1044" s="29" t="s">
        <v>93</v>
      </c>
      <c r="G1044" s="29" t="s">
        <v>67</v>
      </c>
      <c r="H1044" s="29" t="s">
        <v>1844</v>
      </c>
      <c r="I1044" s="29" t="s">
        <v>1859</v>
      </c>
      <c r="J1044" s="29" t="n">
        <v>0</v>
      </c>
      <c r="K1044" s="29" t="n">
        <v>25</v>
      </c>
      <c r="L1044" s="29" t="s">
        <v>1866</v>
      </c>
    </row>
    <row r="1045" customFormat="false" ht="15" hidden="false" customHeight="false" outlineLevel="0" collapsed="false">
      <c r="A1045" s="29" t="n">
        <v>140811</v>
      </c>
      <c r="B1045" s="29" t="s">
        <v>1733</v>
      </c>
      <c r="C1045" s="29" t="s">
        <v>1734</v>
      </c>
      <c r="D1045" s="29" t="s">
        <v>597</v>
      </c>
      <c r="E1045" s="29" t="s">
        <v>598</v>
      </c>
      <c r="F1045" s="29" t="s">
        <v>93</v>
      </c>
      <c r="G1045" s="29" t="s">
        <v>67</v>
      </c>
      <c r="H1045" s="29" t="s">
        <v>1844</v>
      </c>
      <c r="I1045" s="29" t="s">
        <v>1859</v>
      </c>
      <c r="J1045" s="29" t="n">
        <v>0</v>
      </c>
      <c r="K1045" s="29" t="n">
        <v>25</v>
      </c>
      <c r="L1045" s="29" t="s">
        <v>1866</v>
      </c>
    </row>
    <row r="1046" customFormat="false" ht="15" hidden="false" customHeight="false" outlineLevel="0" collapsed="false">
      <c r="A1046" s="29" t="n">
        <v>140811</v>
      </c>
      <c r="B1046" s="29" t="s">
        <v>1733</v>
      </c>
      <c r="C1046" s="29" t="s">
        <v>1734</v>
      </c>
      <c r="D1046" s="29" t="s">
        <v>604</v>
      </c>
      <c r="E1046" s="29" t="s">
        <v>605</v>
      </c>
      <c r="F1046" s="29" t="s">
        <v>93</v>
      </c>
      <c r="G1046" s="29" t="s">
        <v>68</v>
      </c>
      <c r="H1046" s="29" t="s">
        <v>1381</v>
      </c>
      <c r="I1046" s="29" t="s">
        <v>1859</v>
      </c>
      <c r="J1046" s="29" t="n">
        <v>0</v>
      </c>
      <c r="K1046" s="29" t="n">
        <v>0</v>
      </c>
      <c r="L1046" s="29" t="s">
        <v>1849</v>
      </c>
    </row>
    <row r="1047" customFormat="false" ht="15" hidden="false" customHeight="false" outlineLevel="0" collapsed="false">
      <c r="A1047" s="29" t="n">
        <v>140811</v>
      </c>
      <c r="B1047" s="29" t="s">
        <v>1733</v>
      </c>
      <c r="C1047" s="29" t="s">
        <v>1734</v>
      </c>
      <c r="D1047" s="29" t="s">
        <v>612</v>
      </c>
      <c r="E1047" s="29" t="s">
        <v>613</v>
      </c>
      <c r="F1047" s="29" t="s">
        <v>93</v>
      </c>
      <c r="G1047" s="29" t="s">
        <v>68</v>
      </c>
      <c r="H1047" s="29" t="s">
        <v>1381</v>
      </c>
      <c r="I1047" s="29" t="s">
        <v>1859</v>
      </c>
      <c r="J1047" s="29" t="n">
        <v>0</v>
      </c>
      <c r="K1047" s="29" t="n">
        <v>0</v>
      </c>
      <c r="L1047" s="29" t="s">
        <v>1849</v>
      </c>
    </row>
    <row r="1048" customFormat="false" ht="15" hidden="false" customHeight="false" outlineLevel="0" collapsed="false">
      <c r="A1048" s="29" t="n">
        <v>140811</v>
      </c>
      <c r="B1048" s="29" t="s">
        <v>1733</v>
      </c>
      <c r="C1048" s="29" t="s">
        <v>1734</v>
      </c>
      <c r="D1048" s="29" t="s">
        <v>618</v>
      </c>
      <c r="E1048" s="29" t="s">
        <v>619</v>
      </c>
      <c r="F1048" s="29" t="s">
        <v>93</v>
      </c>
      <c r="G1048" s="29" t="s">
        <v>68</v>
      </c>
      <c r="H1048" s="29" t="s">
        <v>1381</v>
      </c>
      <c r="I1048" s="29" t="s">
        <v>1859</v>
      </c>
      <c r="J1048" s="29" t="n">
        <v>0</v>
      </c>
      <c r="K1048" s="29" t="n">
        <v>0</v>
      </c>
      <c r="L1048" s="29" t="s">
        <v>1849</v>
      </c>
    </row>
    <row r="1049" customFormat="false" ht="15" hidden="false" customHeight="false" outlineLevel="0" collapsed="false">
      <c r="A1049" s="29" t="n">
        <v>140811</v>
      </c>
      <c r="B1049" s="29" t="s">
        <v>1733</v>
      </c>
      <c r="C1049" s="29" t="s">
        <v>1734</v>
      </c>
      <c r="D1049" s="29" t="s">
        <v>627</v>
      </c>
      <c r="E1049" s="29" t="s">
        <v>628</v>
      </c>
      <c r="F1049" s="29" t="s">
        <v>93</v>
      </c>
      <c r="G1049" s="29" t="s">
        <v>68</v>
      </c>
      <c r="H1049" s="29" t="s">
        <v>1381</v>
      </c>
      <c r="I1049" s="29" t="s">
        <v>1858</v>
      </c>
      <c r="J1049" s="29" t="n">
        <v>0</v>
      </c>
      <c r="K1049" s="29" t="n">
        <v>0</v>
      </c>
      <c r="L1049" s="29" t="s">
        <v>1849</v>
      </c>
    </row>
    <row r="1050" customFormat="false" ht="15" hidden="false" customHeight="false" outlineLevel="0" collapsed="false">
      <c r="A1050" s="29" t="n">
        <v>140811</v>
      </c>
      <c r="B1050" s="29" t="s">
        <v>1733</v>
      </c>
      <c r="C1050" s="29" t="s">
        <v>1734</v>
      </c>
      <c r="D1050" s="29" t="s">
        <v>636</v>
      </c>
      <c r="E1050" s="29" t="s">
        <v>637</v>
      </c>
      <c r="F1050" s="29" t="s">
        <v>93</v>
      </c>
      <c r="G1050" s="29" t="s">
        <v>68</v>
      </c>
      <c r="H1050" s="29" t="s">
        <v>1381</v>
      </c>
      <c r="I1050" s="29" t="s">
        <v>1858</v>
      </c>
      <c r="J1050" s="29" t="n">
        <v>0</v>
      </c>
      <c r="K1050" s="29" t="n">
        <v>0</v>
      </c>
      <c r="L1050" s="29" t="s">
        <v>1849</v>
      </c>
    </row>
    <row r="1051" customFormat="false" ht="15" hidden="false" customHeight="false" outlineLevel="0" collapsed="false">
      <c r="A1051" s="29" t="n">
        <v>140811</v>
      </c>
      <c r="B1051" s="29" t="s">
        <v>1733</v>
      </c>
      <c r="C1051" s="29" t="s">
        <v>1734</v>
      </c>
      <c r="D1051" s="29" t="s">
        <v>668</v>
      </c>
      <c r="E1051" s="29" t="s">
        <v>669</v>
      </c>
      <c r="F1051" s="29" t="s">
        <v>105</v>
      </c>
      <c r="G1051" s="29" t="s">
        <v>66</v>
      </c>
      <c r="H1051" s="29" t="s">
        <v>1379</v>
      </c>
      <c r="I1051" s="29" t="s">
        <v>1850</v>
      </c>
      <c r="J1051" s="29" t="n">
        <v>0</v>
      </c>
      <c r="K1051" s="29" t="n">
        <v>0</v>
      </c>
      <c r="L1051" s="29" t="s">
        <v>1849</v>
      </c>
    </row>
    <row r="1052" customFormat="false" ht="15" hidden="false" customHeight="false" outlineLevel="0" collapsed="false">
      <c r="A1052" s="29" t="n">
        <v>140811</v>
      </c>
      <c r="B1052" s="29" t="s">
        <v>1733</v>
      </c>
      <c r="C1052" s="29" t="s">
        <v>1734</v>
      </c>
      <c r="D1052" s="29" t="s">
        <v>680</v>
      </c>
      <c r="E1052" s="29" t="s">
        <v>681</v>
      </c>
      <c r="F1052" s="29" t="s">
        <v>105</v>
      </c>
      <c r="G1052" s="29" t="s">
        <v>66</v>
      </c>
      <c r="H1052" s="29" t="s">
        <v>1379</v>
      </c>
      <c r="I1052" s="29" t="s">
        <v>1850</v>
      </c>
      <c r="J1052" s="29" t="n">
        <v>0</v>
      </c>
      <c r="K1052" s="29" t="n">
        <v>0</v>
      </c>
      <c r="L1052" s="29" t="s">
        <v>1849</v>
      </c>
    </row>
    <row r="1053" customFormat="false" ht="15" hidden="false" customHeight="false" outlineLevel="0" collapsed="false">
      <c r="A1053" s="29" t="n">
        <v>140811</v>
      </c>
      <c r="B1053" s="29" t="s">
        <v>1733</v>
      </c>
      <c r="C1053" s="29" t="s">
        <v>1734</v>
      </c>
      <c r="D1053" s="29" t="s">
        <v>711</v>
      </c>
      <c r="E1053" s="29" t="s">
        <v>712</v>
      </c>
      <c r="F1053" s="29" t="s">
        <v>116</v>
      </c>
      <c r="G1053" s="29" t="s">
        <v>66</v>
      </c>
      <c r="H1053" s="29" t="s">
        <v>1379</v>
      </c>
      <c r="I1053" s="29" t="s">
        <v>1850</v>
      </c>
      <c r="J1053" s="29" t="n">
        <v>0</v>
      </c>
      <c r="K1053" s="29" t="n">
        <v>23</v>
      </c>
      <c r="L1053" s="29" t="s">
        <v>1866</v>
      </c>
    </row>
    <row r="1054" customFormat="false" ht="15" hidden="false" customHeight="false" outlineLevel="0" collapsed="false">
      <c r="A1054" s="29" t="n">
        <v>140811</v>
      </c>
      <c r="B1054" s="29" t="s">
        <v>1733</v>
      </c>
      <c r="C1054" s="29" t="s">
        <v>1734</v>
      </c>
      <c r="D1054" s="29" t="s">
        <v>721</v>
      </c>
      <c r="E1054" s="29" t="s">
        <v>722</v>
      </c>
      <c r="F1054" s="29" t="s">
        <v>116</v>
      </c>
      <c r="G1054" s="29" t="s">
        <v>66</v>
      </c>
      <c r="H1054" s="29" t="s">
        <v>1379</v>
      </c>
      <c r="I1054" s="29" t="s">
        <v>1850</v>
      </c>
      <c r="J1054" s="29" t="n">
        <v>0</v>
      </c>
      <c r="K1054" s="29" t="n">
        <v>0</v>
      </c>
      <c r="L1054" s="29" t="s">
        <v>1849</v>
      </c>
    </row>
    <row r="1055" customFormat="false" ht="15" hidden="false" customHeight="false" outlineLevel="0" collapsed="false">
      <c r="A1055" s="29" t="n">
        <v>140811</v>
      </c>
      <c r="B1055" s="29" t="s">
        <v>1733</v>
      </c>
      <c r="C1055" s="29" t="s">
        <v>1734</v>
      </c>
      <c r="D1055" s="29" t="s">
        <v>745</v>
      </c>
      <c r="E1055" s="29" t="s">
        <v>746</v>
      </c>
      <c r="F1055" s="29" t="s">
        <v>116</v>
      </c>
      <c r="G1055" s="29" t="s">
        <v>67</v>
      </c>
      <c r="H1055" s="29" t="s">
        <v>1844</v>
      </c>
      <c r="I1055" s="29" t="s">
        <v>1860</v>
      </c>
      <c r="J1055" s="29" t="n">
        <v>0</v>
      </c>
      <c r="K1055" s="29" t="n">
        <v>0</v>
      </c>
      <c r="L1055" s="29" t="s">
        <v>1849</v>
      </c>
    </row>
    <row r="1056" customFormat="false" ht="15" hidden="false" customHeight="false" outlineLevel="0" collapsed="false">
      <c r="A1056" s="29" t="n">
        <v>140811</v>
      </c>
      <c r="B1056" s="29" t="s">
        <v>1733</v>
      </c>
      <c r="C1056" s="29" t="s">
        <v>1734</v>
      </c>
      <c r="D1056" s="29" t="s">
        <v>753</v>
      </c>
      <c r="E1056" s="29" t="s">
        <v>754</v>
      </c>
      <c r="F1056" s="29" t="s">
        <v>116</v>
      </c>
      <c r="G1056" s="29" t="s">
        <v>68</v>
      </c>
      <c r="H1056" s="29" t="s">
        <v>1381</v>
      </c>
      <c r="I1056" s="29" t="s">
        <v>1860</v>
      </c>
      <c r="J1056" s="29" t="n">
        <v>0</v>
      </c>
      <c r="K1056" s="29" t="n">
        <v>0</v>
      </c>
      <c r="L1056" s="29" t="s">
        <v>1849</v>
      </c>
    </row>
    <row r="1057" customFormat="false" ht="15" hidden="false" customHeight="false" outlineLevel="0" collapsed="false">
      <c r="A1057" s="29" t="n">
        <v>141182</v>
      </c>
      <c r="B1057" s="29" t="s">
        <v>1738</v>
      </c>
      <c r="C1057" s="29" t="s">
        <v>1739</v>
      </c>
      <c r="D1057" s="29" t="s">
        <v>247</v>
      </c>
      <c r="E1057" s="29" t="s">
        <v>248</v>
      </c>
      <c r="F1057" s="29" t="s">
        <v>69</v>
      </c>
      <c r="G1057" s="29" t="s">
        <v>67</v>
      </c>
      <c r="H1057" s="29" t="s">
        <v>1844</v>
      </c>
      <c r="I1057" s="29" t="s">
        <v>1848</v>
      </c>
      <c r="J1057" s="29" t="n">
        <v>0</v>
      </c>
      <c r="K1057" s="29" t="n">
        <v>0</v>
      </c>
      <c r="L1057" s="29" t="s">
        <v>1849</v>
      </c>
    </row>
    <row r="1058" customFormat="false" ht="15" hidden="false" customHeight="false" outlineLevel="0" collapsed="false">
      <c r="A1058" s="29" t="n">
        <v>141182</v>
      </c>
      <c r="B1058" s="29" t="s">
        <v>1738</v>
      </c>
      <c r="C1058" s="29" t="s">
        <v>1739</v>
      </c>
      <c r="D1058" s="29" t="s">
        <v>277</v>
      </c>
      <c r="E1058" s="29" t="s">
        <v>278</v>
      </c>
      <c r="F1058" s="29" t="s">
        <v>69</v>
      </c>
      <c r="G1058" s="29" t="s">
        <v>67</v>
      </c>
      <c r="H1058" s="29" t="s">
        <v>1379</v>
      </c>
      <c r="I1058" s="29" t="s">
        <v>1850</v>
      </c>
      <c r="J1058" s="29" t="n">
        <v>0</v>
      </c>
      <c r="K1058" s="29" t="n">
        <v>0</v>
      </c>
      <c r="L1058" s="29" t="s">
        <v>1849</v>
      </c>
    </row>
    <row r="1059" customFormat="false" ht="15" hidden="false" customHeight="false" outlineLevel="0" collapsed="false">
      <c r="A1059" s="29" t="n">
        <v>141182</v>
      </c>
      <c r="B1059" s="29" t="s">
        <v>1738</v>
      </c>
      <c r="C1059" s="29" t="s">
        <v>1739</v>
      </c>
      <c r="D1059" s="29" t="s">
        <v>297</v>
      </c>
      <c r="E1059" s="29" t="s">
        <v>298</v>
      </c>
      <c r="F1059" s="29" t="s">
        <v>69</v>
      </c>
      <c r="G1059" s="29" t="s">
        <v>68</v>
      </c>
      <c r="H1059" s="29" t="s">
        <v>1381</v>
      </c>
      <c r="I1059" s="29" t="s">
        <v>1848</v>
      </c>
      <c r="J1059" s="29" t="n">
        <v>0</v>
      </c>
      <c r="K1059" s="29" t="n">
        <v>0</v>
      </c>
      <c r="L1059" s="29" t="s">
        <v>1849</v>
      </c>
    </row>
    <row r="1060" customFormat="false" ht="15" hidden="false" customHeight="false" outlineLevel="0" collapsed="false">
      <c r="A1060" s="29" t="n">
        <v>141182</v>
      </c>
      <c r="B1060" s="29" t="s">
        <v>1738</v>
      </c>
      <c r="C1060" s="29" t="s">
        <v>1739</v>
      </c>
      <c r="D1060" s="29" t="s">
        <v>325</v>
      </c>
      <c r="E1060" s="29" t="s">
        <v>326</v>
      </c>
      <c r="F1060" s="29" t="s">
        <v>76</v>
      </c>
      <c r="G1060" s="29" t="s">
        <v>67</v>
      </c>
      <c r="H1060" s="29" t="s">
        <v>1844</v>
      </c>
      <c r="I1060" s="29" t="s">
        <v>1852</v>
      </c>
      <c r="J1060" s="29" t="n">
        <v>0</v>
      </c>
      <c r="K1060" s="29" t="n">
        <v>0</v>
      </c>
      <c r="L1060" s="29" t="s">
        <v>1849</v>
      </c>
    </row>
    <row r="1061" customFormat="false" ht="15" hidden="false" customHeight="false" outlineLevel="0" collapsed="false">
      <c r="A1061" s="29" t="n">
        <v>141182</v>
      </c>
      <c r="B1061" s="29" t="s">
        <v>1738</v>
      </c>
      <c r="C1061" s="29" t="s">
        <v>1739</v>
      </c>
      <c r="D1061" s="29" t="s">
        <v>336</v>
      </c>
      <c r="E1061" s="29" t="s">
        <v>337</v>
      </c>
      <c r="F1061" s="29" t="s">
        <v>76</v>
      </c>
      <c r="G1061" s="29" t="s">
        <v>67</v>
      </c>
      <c r="H1061" s="29" t="s">
        <v>1844</v>
      </c>
      <c r="I1061" s="29" t="s">
        <v>1852</v>
      </c>
      <c r="J1061" s="29" t="n">
        <v>0</v>
      </c>
      <c r="K1061" s="29" t="n">
        <v>0</v>
      </c>
      <c r="L1061" s="29" t="s">
        <v>1849</v>
      </c>
    </row>
    <row r="1062" customFormat="false" ht="15" hidden="false" customHeight="false" outlineLevel="0" collapsed="false">
      <c r="A1062" s="29" t="n">
        <v>141182</v>
      </c>
      <c r="B1062" s="29" t="s">
        <v>1738</v>
      </c>
      <c r="C1062" s="29" t="s">
        <v>1739</v>
      </c>
      <c r="D1062" s="29" t="s">
        <v>403</v>
      </c>
      <c r="E1062" s="29" t="s">
        <v>404</v>
      </c>
      <c r="F1062" s="29" t="s">
        <v>76</v>
      </c>
      <c r="G1062" s="29" t="s">
        <v>68</v>
      </c>
      <c r="H1062" s="29" t="s">
        <v>1381</v>
      </c>
      <c r="I1062" s="29" t="s">
        <v>1852</v>
      </c>
      <c r="J1062" s="29" t="n">
        <v>0</v>
      </c>
      <c r="K1062" s="29" t="n">
        <v>0</v>
      </c>
      <c r="L1062" s="29" t="s">
        <v>1849</v>
      </c>
    </row>
    <row r="1063" customFormat="false" ht="15" hidden="false" customHeight="false" outlineLevel="0" collapsed="false">
      <c r="A1063" s="29" t="n">
        <v>141182</v>
      </c>
      <c r="B1063" s="29" t="s">
        <v>1738</v>
      </c>
      <c r="C1063" s="29" t="s">
        <v>1739</v>
      </c>
      <c r="D1063" s="29" t="s">
        <v>433</v>
      </c>
      <c r="E1063" s="29" t="s">
        <v>434</v>
      </c>
      <c r="F1063" s="29" t="s">
        <v>82</v>
      </c>
      <c r="G1063" s="29" t="s">
        <v>66</v>
      </c>
      <c r="H1063" s="29" t="s">
        <v>1379</v>
      </c>
      <c r="I1063" s="29" t="s">
        <v>1850</v>
      </c>
      <c r="J1063" s="29" t="n">
        <v>0</v>
      </c>
      <c r="K1063" s="29" t="n">
        <v>0</v>
      </c>
      <c r="L1063" s="29" t="s">
        <v>1849</v>
      </c>
    </row>
    <row r="1064" customFormat="false" ht="15" hidden="false" customHeight="false" outlineLevel="0" collapsed="false">
      <c r="A1064" s="29" t="n">
        <v>141182</v>
      </c>
      <c r="B1064" s="29" t="s">
        <v>1738</v>
      </c>
      <c r="C1064" s="29" t="s">
        <v>1739</v>
      </c>
      <c r="D1064" s="29" t="s">
        <v>508</v>
      </c>
      <c r="E1064" s="29" t="s">
        <v>509</v>
      </c>
      <c r="F1064" s="29" t="s">
        <v>88</v>
      </c>
      <c r="G1064" s="29" t="s">
        <v>67</v>
      </c>
      <c r="H1064" s="29" t="s">
        <v>1379</v>
      </c>
      <c r="I1064" s="29" t="s">
        <v>1850</v>
      </c>
      <c r="J1064" s="29" t="n">
        <v>0</v>
      </c>
      <c r="K1064" s="29" t="n">
        <v>0</v>
      </c>
      <c r="L1064" s="29" t="s">
        <v>1849</v>
      </c>
    </row>
    <row r="1065" customFormat="false" ht="15" hidden="false" customHeight="false" outlineLevel="0" collapsed="false">
      <c r="A1065" s="29" t="n">
        <v>141182</v>
      </c>
      <c r="B1065" s="29" t="s">
        <v>1738</v>
      </c>
      <c r="C1065" s="29" t="s">
        <v>1739</v>
      </c>
      <c r="D1065" s="29" t="s">
        <v>515</v>
      </c>
      <c r="E1065" s="29" t="s">
        <v>516</v>
      </c>
      <c r="F1065" s="29" t="s">
        <v>88</v>
      </c>
      <c r="G1065" s="29" t="s">
        <v>67</v>
      </c>
      <c r="H1065" s="29" t="s">
        <v>1379</v>
      </c>
      <c r="I1065" s="29" t="s">
        <v>1850</v>
      </c>
      <c r="J1065" s="29" t="n">
        <v>0</v>
      </c>
      <c r="K1065" s="29" t="n">
        <v>0</v>
      </c>
      <c r="L1065" s="29" t="s">
        <v>1849</v>
      </c>
    </row>
    <row r="1066" customFormat="false" ht="15" hidden="false" customHeight="false" outlineLevel="0" collapsed="false">
      <c r="A1066" s="29" t="n">
        <v>141182</v>
      </c>
      <c r="B1066" s="29" t="s">
        <v>1738</v>
      </c>
      <c r="C1066" s="29" t="s">
        <v>1739</v>
      </c>
      <c r="D1066" s="29" t="s">
        <v>581</v>
      </c>
      <c r="E1066" s="29" t="s">
        <v>582</v>
      </c>
      <c r="F1066" s="29" t="s">
        <v>93</v>
      </c>
      <c r="G1066" s="29" t="s">
        <v>67</v>
      </c>
      <c r="H1066" s="29" t="s">
        <v>1844</v>
      </c>
      <c r="I1066" s="29" t="s">
        <v>1858</v>
      </c>
      <c r="J1066" s="29" t="n">
        <v>0</v>
      </c>
      <c r="K1066" s="29" t="n">
        <v>0</v>
      </c>
      <c r="L1066" s="29" t="s">
        <v>1849</v>
      </c>
    </row>
    <row r="1067" customFormat="false" ht="15" hidden="false" customHeight="false" outlineLevel="0" collapsed="false">
      <c r="A1067" s="29" t="n">
        <v>141182</v>
      </c>
      <c r="B1067" s="29" t="s">
        <v>1738</v>
      </c>
      <c r="C1067" s="29" t="s">
        <v>1739</v>
      </c>
      <c r="D1067" s="29" t="s">
        <v>590</v>
      </c>
      <c r="E1067" s="29" t="s">
        <v>591</v>
      </c>
      <c r="F1067" s="29" t="s">
        <v>93</v>
      </c>
      <c r="G1067" s="29" t="s">
        <v>67</v>
      </c>
      <c r="H1067" s="29" t="s">
        <v>1844</v>
      </c>
      <c r="I1067" s="29" t="s">
        <v>1859</v>
      </c>
      <c r="J1067" s="29" t="n">
        <v>0</v>
      </c>
      <c r="K1067" s="29" t="n">
        <v>7</v>
      </c>
      <c r="L1067" s="29" t="s">
        <v>1866</v>
      </c>
    </row>
    <row r="1068" customFormat="false" ht="15" hidden="false" customHeight="false" outlineLevel="0" collapsed="false">
      <c r="A1068" s="29" t="n">
        <v>141182</v>
      </c>
      <c r="B1068" s="29" t="s">
        <v>1738</v>
      </c>
      <c r="C1068" s="29" t="s">
        <v>1739</v>
      </c>
      <c r="D1068" s="29" t="s">
        <v>597</v>
      </c>
      <c r="E1068" s="29" t="s">
        <v>598</v>
      </c>
      <c r="F1068" s="29" t="s">
        <v>93</v>
      </c>
      <c r="G1068" s="29" t="s">
        <v>67</v>
      </c>
      <c r="H1068" s="29" t="s">
        <v>1844</v>
      </c>
      <c r="I1068" s="29" t="s">
        <v>1859</v>
      </c>
      <c r="J1068" s="29" t="n">
        <v>0</v>
      </c>
      <c r="K1068" s="29" t="n">
        <v>7</v>
      </c>
      <c r="L1068" s="29" t="s">
        <v>1866</v>
      </c>
    </row>
    <row r="1069" customFormat="false" ht="15" hidden="false" customHeight="false" outlineLevel="0" collapsed="false">
      <c r="A1069" s="29" t="n">
        <v>141182</v>
      </c>
      <c r="B1069" s="29" t="s">
        <v>1738</v>
      </c>
      <c r="C1069" s="29" t="s">
        <v>1739</v>
      </c>
      <c r="D1069" s="29" t="s">
        <v>604</v>
      </c>
      <c r="E1069" s="29" t="s">
        <v>605</v>
      </c>
      <c r="F1069" s="29" t="s">
        <v>93</v>
      </c>
      <c r="G1069" s="29" t="s">
        <v>68</v>
      </c>
      <c r="H1069" s="29" t="s">
        <v>1381</v>
      </c>
      <c r="I1069" s="29" t="s">
        <v>1859</v>
      </c>
      <c r="J1069" s="29" t="n">
        <v>0</v>
      </c>
      <c r="K1069" s="29" t="n">
        <v>0</v>
      </c>
      <c r="L1069" s="29" t="s">
        <v>1849</v>
      </c>
    </row>
    <row r="1070" customFormat="false" ht="15" hidden="false" customHeight="false" outlineLevel="0" collapsed="false">
      <c r="A1070" s="29" t="n">
        <v>141182</v>
      </c>
      <c r="B1070" s="29" t="s">
        <v>1738</v>
      </c>
      <c r="C1070" s="29" t="s">
        <v>1739</v>
      </c>
      <c r="D1070" s="29" t="s">
        <v>612</v>
      </c>
      <c r="E1070" s="29" t="s">
        <v>613</v>
      </c>
      <c r="F1070" s="29" t="s">
        <v>93</v>
      </c>
      <c r="G1070" s="29" t="s">
        <v>68</v>
      </c>
      <c r="H1070" s="29" t="s">
        <v>1381</v>
      </c>
      <c r="I1070" s="29" t="s">
        <v>1859</v>
      </c>
      <c r="J1070" s="29" t="n">
        <v>0</v>
      </c>
      <c r="K1070" s="29" t="n">
        <v>0</v>
      </c>
      <c r="L1070" s="29" t="s">
        <v>1849</v>
      </c>
    </row>
    <row r="1071" customFormat="false" ht="15" hidden="false" customHeight="false" outlineLevel="0" collapsed="false">
      <c r="A1071" s="29" t="n">
        <v>141182</v>
      </c>
      <c r="B1071" s="29" t="s">
        <v>1738</v>
      </c>
      <c r="C1071" s="29" t="s">
        <v>1739</v>
      </c>
      <c r="D1071" s="29" t="s">
        <v>618</v>
      </c>
      <c r="E1071" s="29" t="s">
        <v>619</v>
      </c>
      <c r="F1071" s="29" t="s">
        <v>93</v>
      </c>
      <c r="G1071" s="29" t="s">
        <v>68</v>
      </c>
      <c r="H1071" s="29" t="s">
        <v>1381</v>
      </c>
      <c r="I1071" s="29" t="s">
        <v>1859</v>
      </c>
      <c r="J1071" s="29" t="n">
        <v>0</v>
      </c>
      <c r="K1071" s="29" t="n">
        <v>0</v>
      </c>
      <c r="L1071" s="29" t="s">
        <v>1849</v>
      </c>
    </row>
    <row r="1072" customFormat="false" ht="15" hidden="false" customHeight="false" outlineLevel="0" collapsed="false">
      <c r="A1072" s="29" t="n">
        <v>141182</v>
      </c>
      <c r="B1072" s="29" t="s">
        <v>1738</v>
      </c>
      <c r="C1072" s="29" t="s">
        <v>1739</v>
      </c>
      <c r="D1072" s="29" t="s">
        <v>627</v>
      </c>
      <c r="E1072" s="29" t="s">
        <v>628</v>
      </c>
      <c r="F1072" s="29" t="s">
        <v>93</v>
      </c>
      <c r="G1072" s="29" t="s">
        <v>68</v>
      </c>
      <c r="H1072" s="29" t="s">
        <v>1381</v>
      </c>
      <c r="I1072" s="29" t="s">
        <v>1858</v>
      </c>
      <c r="J1072" s="29" t="n">
        <v>0</v>
      </c>
      <c r="K1072" s="29" t="n">
        <v>0</v>
      </c>
      <c r="L1072" s="29" t="s">
        <v>1849</v>
      </c>
    </row>
    <row r="1073" customFormat="false" ht="15" hidden="false" customHeight="false" outlineLevel="0" collapsed="false">
      <c r="A1073" s="29" t="n">
        <v>141182</v>
      </c>
      <c r="B1073" s="29" t="s">
        <v>1738</v>
      </c>
      <c r="C1073" s="29" t="s">
        <v>1739</v>
      </c>
      <c r="D1073" s="29" t="s">
        <v>636</v>
      </c>
      <c r="E1073" s="29" t="s">
        <v>637</v>
      </c>
      <c r="F1073" s="29" t="s">
        <v>93</v>
      </c>
      <c r="G1073" s="29" t="s">
        <v>68</v>
      </c>
      <c r="H1073" s="29" t="s">
        <v>1381</v>
      </c>
      <c r="I1073" s="29" t="s">
        <v>1858</v>
      </c>
      <c r="J1073" s="29" t="n">
        <v>0</v>
      </c>
      <c r="K1073" s="29" t="n">
        <v>0</v>
      </c>
      <c r="L1073" s="29" t="s">
        <v>1849</v>
      </c>
    </row>
    <row r="1074" customFormat="false" ht="15" hidden="false" customHeight="false" outlineLevel="0" collapsed="false">
      <c r="A1074" s="29" t="n">
        <v>141182</v>
      </c>
      <c r="B1074" s="29" t="s">
        <v>1738</v>
      </c>
      <c r="C1074" s="29" t="s">
        <v>1739</v>
      </c>
      <c r="D1074" s="29" t="s">
        <v>668</v>
      </c>
      <c r="E1074" s="29" t="s">
        <v>669</v>
      </c>
      <c r="F1074" s="29" t="s">
        <v>105</v>
      </c>
      <c r="G1074" s="29" t="s">
        <v>66</v>
      </c>
      <c r="H1074" s="29" t="s">
        <v>1379</v>
      </c>
      <c r="I1074" s="29" t="s">
        <v>1850</v>
      </c>
      <c r="J1074" s="29" t="n">
        <v>0</v>
      </c>
      <c r="K1074" s="29" t="n">
        <v>0</v>
      </c>
      <c r="L1074" s="29" t="s">
        <v>1849</v>
      </c>
    </row>
    <row r="1075" customFormat="false" ht="15" hidden="false" customHeight="false" outlineLevel="0" collapsed="false">
      <c r="A1075" s="29" t="n">
        <v>141182</v>
      </c>
      <c r="B1075" s="29" t="s">
        <v>1738</v>
      </c>
      <c r="C1075" s="29" t="s">
        <v>1739</v>
      </c>
      <c r="D1075" s="29" t="s">
        <v>680</v>
      </c>
      <c r="E1075" s="29" t="s">
        <v>681</v>
      </c>
      <c r="F1075" s="29" t="s">
        <v>105</v>
      </c>
      <c r="G1075" s="29" t="s">
        <v>66</v>
      </c>
      <c r="H1075" s="29" t="s">
        <v>1379</v>
      </c>
      <c r="I1075" s="29" t="s">
        <v>1850</v>
      </c>
      <c r="J1075" s="29" t="n">
        <v>0</v>
      </c>
      <c r="K1075" s="29" t="n">
        <v>0</v>
      </c>
      <c r="L1075" s="29" t="s">
        <v>1849</v>
      </c>
    </row>
    <row r="1076" customFormat="false" ht="15" hidden="false" customHeight="false" outlineLevel="0" collapsed="false">
      <c r="A1076" s="29" t="n">
        <v>141182</v>
      </c>
      <c r="B1076" s="29" t="s">
        <v>1738</v>
      </c>
      <c r="C1076" s="29" t="s">
        <v>1739</v>
      </c>
      <c r="D1076" s="29" t="s">
        <v>711</v>
      </c>
      <c r="E1076" s="29" t="s">
        <v>712</v>
      </c>
      <c r="F1076" s="29" t="s">
        <v>116</v>
      </c>
      <c r="G1076" s="29" t="s">
        <v>66</v>
      </c>
      <c r="H1076" s="29" t="s">
        <v>1379</v>
      </c>
      <c r="I1076" s="29" t="s">
        <v>1850</v>
      </c>
      <c r="J1076" s="29" t="n">
        <v>0</v>
      </c>
      <c r="K1076" s="29" t="n">
        <v>5</v>
      </c>
      <c r="L1076" s="29" t="s">
        <v>1866</v>
      </c>
    </row>
    <row r="1077" customFormat="false" ht="15" hidden="false" customHeight="false" outlineLevel="0" collapsed="false">
      <c r="A1077" s="29" t="n">
        <v>141182</v>
      </c>
      <c r="B1077" s="29" t="s">
        <v>1738</v>
      </c>
      <c r="C1077" s="29" t="s">
        <v>1739</v>
      </c>
      <c r="D1077" s="29" t="s">
        <v>721</v>
      </c>
      <c r="E1077" s="29" t="s">
        <v>722</v>
      </c>
      <c r="F1077" s="29" t="s">
        <v>116</v>
      </c>
      <c r="G1077" s="29" t="s">
        <v>66</v>
      </c>
      <c r="H1077" s="29" t="s">
        <v>1379</v>
      </c>
      <c r="I1077" s="29" t="s">
        <v>1850</v>
      </c>
      <c r="J1077" s="29" t="n">
        <v>0</v>
      </c>
      <c r="K1077" s="29" t="n">
        <v>0</v>
      </c>
      <c r="L1077" s="29" t="s">
        <v>1849</v>
      </c>
    </row>
    <row r="1078" customFormat="false" ht="15" hidden="false" customHeight="false" outlineLevel="0" collapsed="false">
      <c r="A1078" s="29" t="n">
        <v>141182</v>
      </c>
      <c r="B1078" s="29" t="s">
        <v>1738</v>
      </c>
      <c r="C1078" s="29" t="s">
        <v>1739</v>
      </c>
      <c r="D1078" s="29" t="s">
        <v>745</v>
      </c>
      <c r="E1078" s="29" t="s">
        <v>746</v>
      </c>
      <c r="F1078" s="29" t="s">
        <v>116</v>
      </c>
      <c r="G1078" s="29" t="s">
        <v>67</v>
      </c>
      <c r="H1078" s="29" t="s">
        <v>1844</v>
      </c>
      <c r="I1078" s="29" t="s">
        <v>1860</v>
      </c>
      <c r="J1078" s="29" t="n">
        <v>0</v>
      </c>
      <c r="K1078" s="29" t="n">
        <v>0</v>
      </c>
      <c r="L1078" s="29" t="s">
        <v>1849</v>
      </c>
    </row>
    <row r="1079" customFormat="false" ht="15" hidden="false" customHeight="false" outlineLevel="0" collapsed="false">
      <c r="A1079" s="29" t="n">
        <v>141182</v>
      </c>
      <c r="B1079" s="29" t="s">
        <v>1738</v>
      </c>
      <c r="C1079" s="29" t="s">
        <v>1739</v>
      </c>
      <c r="D1079" s="29" t="s">
        <v>753</v>
      </c>
      <c r="E1079" s="29" t="s">
        <v>754</v>
      </c>
      <c r="F1079" s="29" t="s">
        <v>116</v>
      </c>
      <c r="G1079" s="29" t="s">
        <v>68</v>
      </c>
      <c r="H1079" s="29" t="s">
        <v>1381</v>
      </c>
      <c r="I1079" s="29" t="s">
        <v>1860</v>
      </c>
      <c r="J1079" s="29" t="n">
        <v>0</v>
      </c>
      <c r="K1079" s="29" t="n">
        <v>0</v>
      </c>
      <c r="L1079" s="29" t="s">
        <v>1849</v>
      </c>
    </row>
    <row r="1080" customFormat="false" ht="15" hidden="false" customHeight="false" outlineLevel="0" collapsed="false">
      <c r="A1080" s="29" t="n">
        <v>113546</v>
      </c>
      <c r="B1080" s="29" t="s">
        <v>1742</v>
      </c>
      <c r="C1080" s="29" t="s">
        <v>1063</v>
      </c>
      <c r="D1080" s="29" t="s">
        <v>265</v>
      </c>
      <c r="E1080" s="29" t="s">
        <v>266</v>
      </c>
      <c r="F1080" s="29" t="s">
        <v>69</v>
      </c>
      <c r="G1080" s="29" t="s">
        <v>67</v>
      </c>
      <c r="H1080" s="29" t="s">
        <v>1844</v>
      </c>
      <c r="I1080" s="29" t="s">
        <v>1845</v>
      </c>
      <c r="J1080" s="29" t="n">
        <v>0</v>
      </c>
      <c r="K1080" s="29" t="n">
        <v>0</v>
      </c>
      <c r="L1080" s="29" t="s">
        <v>1846</v>
      </c>
    </row>
    <row r="1081" customFormat="false" ht="15" hidden="false" customHeight="false" outlineLevel="0" collapsed="false">
      <c r="A1081" s="29" t="n">
        <v>113546</v>
      </c>
      <c r="B1081" s="29" t="s">
        <v>1742</v>
      </c>
      <c r="C1081" s="29" t="s">
        <v>1063</v>
      </c>
      <c r="D1081" s="29" t="s">
        <v>291</v>
      </c>
      <c r="E1081" s="29" t="s">
        <v>292</v>
      </c>
      <c r="F1081" s="29" t="s">
        <v>69</v>
      </c>
      <c r="G1081" s="29" t="s">
        <v>68</v>
      </c>
      <c r="H1081" s="29" t="s">
        <v>1381</v>
      </c>
      <c r="I1081" s="29" t="s">
        <v>1845</v>
      </c>
      <c r="J1081" s="29" t="n">
        <v>0</v>
      </c>
      <c r="K1081" s="29" t="n">
        <v>0</v>
      </c>
      <c r="L1081" s="29" t="s">
        <v>1846</v>
      </c>
    </row>
    <row r="1082" customFormat="false" ht="15" hidden="false" customHeight="false" outlineLevel="0" collapsed="false">
      <c r="A1082" s="29" t="n">
        <v>113546</v>
      </c>
      <c r="B1082" s="29" t="s">
        <v>1742</v>
      </c>
      <c r="C1082" s="29" t="s">
        <v>1063</v>
      </c>
      <c r="D1082" s="29" t="s">
        <v>433</v>
      </c>
      <c r="E1082" s="29" t="s">
        <v>434</v>
      </c>
      <c r="F1082" s="29" t="s">
        <v>82</v>
      </c>
      <c r="G1082" s="29" t="s">
        <v>66</v>
      </c>
      <c r="H1082" s="29" t="s">
        <v>1379</v>
      </c>
      <c r="I1082" s="29" t="s">
        <v>1861</v>
      </c>
      <c r="J1082" s="29" t="n">
        <v>0</v>
      </c>
      <c r="K1082" s="29" t="n">
        <v>0</v>
      </c>
      <c r="L1082" s="29" t="s">
        <v>1846</v>
      </c>
    </row>
    <row r="1083" customFormat="false" ht="15" hidden="false" customHeight="false" outlineLevel="0" collapsed="false">
      <c r="A1083" s="29" t="n">
        <v>113546</v>
      </c>
      <c r="B1083" s="29" t="s">
        <v>1742</v>
      </c>
      <c r="C1083" s="29" t="s">
        <v>1063</v>
      </c>
      <c r="D1083" s="29" t="s">
        <v>443</v>
      </c>
      <c r="E1083" s="29" t="s">
        <v>444</v>
      </c>
      <c r="F1083" s="29" t="s">
        <v>82</v>
      </c>
      <c r="G1083" s="29" t="s">
        <v>67</v>
      </c>
      <c r="H1083" s="29" t="s">
        <v>1379</v>
      </c>
      <c r="I1083" s="29" t="s">
        <v>1861</v>
      </c>
      <c r="J1083" s="29" t="n">
        <v>0</v>
      </c>
      <c r="K1083" s="29" t="n">
        <v>0</v>
      </c>
      <c r="L1083" s="29" t="s">
        <v>1846</v>
      </c>
    </row>
    <row r="1084" customFormat="false" ht="15" hidden="false" customHeight="false" outlineLevel="0" collapsed="false">
      <c r="A1084" s="29" t="n">
        <v>113546</v>
      </c>
      <c r="B1084" s="29" t="s">
        <v>1742</v>
      </c>
      <c r="C1084" s="29" t="s">
        <v>1063</v>
      </c>
      <c r="D1084" s="29" t="s">
        <v>472</v>
      </c>
      <c r="E1084" s="29" t="s">
        <v>473</v>
      </c>
      <c r="F1084" s="29" t="s">
        <v>82</v>
      </c>
      <c r="G1084" s="29" t="s">
        <v>67</v>
      </c>
      <c r="H1084" s="29" t="s">
        <v>1379</v>
      </c>
      <c r="I1084" s="29" t="s">
        <v>1861</v>
      </c>
      <c r="J1084" s="29" t="n">
        <v>0</v>
      </c>
      <c r="K1084" s="29" t="n">
        <v>0</v>
      </c>
      <c r="L1084" s="29" t="s">
        <v>1846</v>
      </c>
    </row>
    <row r="1085" customFormat="false" ht="15" hidden="false" customHeight="false" outlineLevel="0" collapsed="false">
      <c r="A1085" s="29" t="n">
        <v>113546</v>
      </c>
      <c r="B1085" s="29" t="s">
        <v>1742</v>
      </c>
      <c r="C1085" s="29" t="s">
        <v>1063</v>
      </c>
      <c r="D1085" s="29" t="s">
        <v>477</v>
      </c>
      <c r="E1085" s="29" t="s">
        <v>478</v>
      </c>
      <c r="F1085" s="29" t="s">
        <v>82</v>
      </c>
      <c r="G1085" s="29" t="s">
        <v>67</v>
      </c>
      <c r="H1085" s="29" t="s">
        <v>1379</v>
      </c>
      <c r="I1085" s="29" t="s">
        <v>1861</v>
      </c>
      <c r="J1085" s="29" t="n">
        <v>0</v>
      </c>
      <c r="K1085" s="29" t="n">
        <v>0</v>
      </c>
      <c r="L1085" s="29" t="s">
        <v>1846</v>
      </c>
    </row>
    <row r="1086" customFormat="false" ht="15" hidden="false" customHeight="false" outlineLevel="0" collapsed="false">
      <c r="A1086" s="29" t="n">
        <v>113546</v>
      </c>
      <c r="B1086" s="29" t="s">
        <v>1742</v>
      </c>
      <c r="C1086" s="29" t="s">
        <v>1063</v>
      </c>
      <c r="D1086" s="29" t="s">
        <v>642</v>
      </c>
      <c r="E1086" s="29" t="s">
        <v>643</v>
      </c>
      <c r="F1086" s="29" t="s">
        <v>99</v>
      </c>
      <c r="G1086" s="29" t="s">
        <v>67</v>
      </c>
      <c r="H1086" s="29" t="s">
        <v>1844</v>
      </c>
      <c r="I1086" s="29" t="s">
        <v>1880</v>
      </c>
      <c r="J1086" s="29" t="n">
        <v>23</v>
      </c>
      <c r="K1086" s="29" t="n">
        <v>0</v>
      </c>
      <c r="L1086" s="29" t="s">
        <v>1867</v>
      </c>
    </row>
    <row r="1087" customFormat="false" ht="15" hidden="false" customHeight="false" outlineLevel="0" collapsed="false">
      <c r="A1087" s="29" t="n">
        <v>113546</v>
      </c>
      <c r="B1087" s="29" t="s">
        <v>1742</v>
      </c>
      <c r="C1087" s="29" t="s">
        <v>1063</v>
      </c>
      <c r="D1087" s="29" t="s">
        <v>650</v>
      </c>
      <c r="E1087" s="29" t="s">
        <v>651</v>
      </c>
      <c r="F1087" s="29" t="s">
        <v>99</v>
      </c>
      <c r="G1087" s="29" t="s">
        <v>68</v>
      </c>
      <c r="H1087" s="29" t="s">
        <v>1381</v>
      </c>
      <c r="I1087" s="29" t="s">
        <v>1880</v>
      </c>
      <c r="J1087" s="29" t="n">
        <v>0</v>
      </c>
      <c r="K1087" s="29" t="n">
        <v>0</v>
      </c>
      <c r="L1087" s="29" t="s">
        <v>1846</v>
      </c>
    </row>
    <row r="1088" customFormat="false" ht="15" hidden="false" customHeight="false" outlineLevel="0" collapsed="false">
      <c r="A1088" s="29" t="n">
        <v>113546</v>
      </c>
      <c r="B1088" s="29" t="s">
        <v>1742</v>
      </c>
      <c r="C1088" s="29" t="s">
        <v>1063</v>
      </c>
      <c r="D1088" s="29" t="s">
        <v>658</v>
      </c>
      <c r="E1088" s="29" t="s">
        <v>659</v>
      </c>
      <c r="F1088" s="29" t="s">
        <v>99</v>
      </c>
      <c r="G1088" s="29" t="s">
        <v>68</v>
      </c>
      <c r="H1088" s="29" t="s">
        <v>1381</v>
      </c>
      <c r="I1088" s="29" t="s">
        <v>1880</v>
      </c>
      <c r="J1088" s="29" t="n">
        <v>0</v>
      </c>
      <c r="K1088" s="29" t="n">
        <v>0</v>
      </c>
      <c r="L1088" s="29" t="s">
        <v>1846</v>
      </c>
    </row>
    <row r="1089" customFormat="false" ht="15" hidden="false" customHeight="false" outlineLevel="0" collapsed="false">
      <c r="A1089" s="29" t="n">
        <v>113546</v>
      </c>
      <c r="B1089" s="29" t="s">
        <v>1742</v>
      </c>
      <c r="C1089" s="29" t="s">
        <v>1063</v>
      </c>
      <c r="D1089" s="29" t="s">
        <v>663</v>
      </c>
      <c r="E1089" s="29" t="s">
        <v>664</v>
      </c>
      <c r="F1089" s="29" t="s">
        <v>99</v>
      </c>
      <c r="G1089" s="29" t="s">
        <v>68</v>
      </c>
      <c r="H1089" s="29" t="s">
        <v>1381</v>
      </c>
      <c r="I1089" s="29" t="s">
        <v>1880</v>
      </c>
      <c r="J1089" s="29" t="n">
        <v>0</v>
      </c>
      <c r="K1089" s="29" t="n">
        <v>0</v>
      </c>
      <c r="L1089" s="29" t="s">
        <v>1846</v>
      </c>
    </row>
    <row r="1090" customFormat="false" ht="15" hidden="false" customHeight="false" outlineLevel="0" collapsed="false">
      <c r="A1090" s="29" t="n">
        <v>113546</v>
      </c>
      <c r="B1090" s="29" t="s">
        <v>1742</v>
      </c>
      <c r="C1090" s="29" t="s">
        <v>1063</v>
      </c>
      <c r="D1090" s="29" t="s">
        <v>668</v>
      </c>
      <c r="E1090" s="29" t="s">
        <v>669</v>
      </c>
      <c r="F1090" s="29" t="s">
        <v>105</v>
      </c>
      <c r="G1090" s="29" t="s">
        <v>66</v>
      </c>
      <c r="H1090" s="29" t="s">
        <v>1379</v>
      </c>
      <c r="I1090" s="29" t="s">
        <v>1861</v>
      </c>
      <c r="J1090" s="29" t="n">
        <v>0</v>
      </c>
      <c r="K1090" s="29" t="n">
        <v>0</v>
      </c>
      <c r="L1090" s="29" t="s">
        <v>1846</v>
      </c>
    </row>
    <row r="1091" customFormat="false" ht="15" hidden="false" customHeight="false" outlineLevel="0" collapsed="false">
      <c r="A1091" s="29" t="n">
        <v>113546</v>
      </c>
      <c r="B1091" s="29" t="s">
        <v>1742</v>
      </c>
      <c r="C1091" s="29" t="s">
        <v>1063</v>
      </c>
      <c r="D1091" s="29" t="s">
        <v>680</v>
      </c>
      <c r="E1091" s="29" t="s">
        <v>681</v>
      </c>
      <c r="F1091" s="29" t="s">
        <v>105</v>
      </c>
      <c r="G1091" s="29" t="s">
        <v>66</v>
      </c>
      <c r="H1091" s="29" t="s">
        <v>1379</v>
      </c>
      <c r="I1091" s="29" t="s">
        <v>1861</v>
      </c>
      <c r="J1091" s="29" t="n">
        <v>0</v>
      </c>
      <c r="K1091" s="29" t="n">
        <v>0</v>
      </c>
      <c r="L1091" s="29" t="s">
        <v>1846</v>
      </c>
    </row>
    <row r="1092" customFormat="false" ht="15" hidden="false" customHeight="false" outlineLevel="0" collapsed="false">
      <c r="A1092" s="29" t="n">
        <v>113546</v>
      </c>
      <c r="B1092" s="29" t="s">
        <v>1742</v>
      </c>
      <c r="C1092" s="29" t="s">
        <v>1063</v>
      </c>
      <c r="D1092" s="29" t="s">
        <v>711</v>
      </c>
      <c r="E1092" s="29" t="s">
        <v>712</v>
      </c>
      <c r="F1092" s="29" t="s">
        <v>116</v>
      </c>
      <c r="G1092" s="29" t="s">
        <v>66</v>
      </c>
      <c r="H1092" s="29" t="s">
        <v>1379</v>
      </c>
      <c r="I1092" s="29" t="s">
        <v>1861</v>
      </c>
      <c r="J1092" s="29" t="n">
        <v>0</v>
      </c>
      <c r="K1092" s="29" t="n">
        <v>0</v>
      </c>
      <c r="L1092" s="29" t="s">
        <v>1846</v>
      </c>
    </row>
    <row r="1093" customFormat="false" ht="15" hidden="false" customHeight="false" outlineLevel="0" collapsed="false">
      <c r="A1093" s="29" t="n">
        <v>113546</v>
      </c>
      <c r="B1093" s="29" t="s">
        <v>1742</v>
      </c>
      <c r="C1093" s="29" t="s">
        <v>1063</v>
      </c>
      <c r="D1093" s="29" t="s">
        <v>721</v>
      </c>
      <c r="E1093" s="29" t="s">
        <v>722</v>
      </c>
      <c r="F1093" s="29" t="s">
        <v>116</v>
      </c>
      <c r="G1093" s="29" t="s">
        <v>66</v>
      </c>
      <c r="H1093" s="29" t="s">
        <v>1379</v>
      </c>
      <c r="I1093" s="29" t="s">
        <v>1861</v>
      </c>
      <c r="J1093" s="29" t="n">
        <v>0</v>
      </c>
      <c r="K1093" s="29" t="n">
        <v>0</v>
      </c>
      <c r="L1093" s="29" t="s">
        <v>1846</v>
      </c>
    </row>
    <row r="1094" customFormat="false" ht="15" hidden="false" customHeight="false" outlineLevel="0" collapsed="false">
      <c r="A1094" s="29" t="n">
        <v>141417</v>
      </c>
      <c r="B1094" s="29" t="s">
        <v>1747</v>
      </c>
      <c r="C1094" s="29" t="s">
        <v>1748</v>
      </c>
      <c r="D1094" s="29" t="s">
        <v>433</v>
      </c>
      <c r="E1094" s="29" t="s">
        <v>434</v>
      </c>
      <c r="F1094" s="29" t="s">
        <v>82</v>
      </c>
      <c r="G1094" s="29" t="s">
        <v>66</v>
      </c>
      <c r="H1094" s="29" t="s">
        <v>1379</v>
      </c>
      <c r="I1094" s="29" t="s">
        <v>1861</v>
      </c>
      <c r="J1094" s="29" t="n">
        <v>0</v>
      </c>
      <c r="K1094" s="29" t="n">
        <v>0</v>
      </c>
      <c r="L1094" s="29" t="s">
        <v>1849</v>
      </c>
    </row>
    <row r="1095" customFormat="false" ht="15" hidden="false" customHeight="false" outlineLevel="0" collapsed="false">
      <c r="A1095" s="29" t="n">
        <v>141417</v>
      </c>
      <c r="B1095" s="29" t="s">
        <v>1747</v>
      </c>
      <c r="C1095" s="29" t="s">
        <v>1748</v>
      </c>
      <c r="D1095" s="29" t="s">
        <v>443</v>
      </c>
      <c r="E1095" s="29" t="s">
        <v>444</v>
      </c>
      <c r="F1095" s="29" t="s">
        <v>82</v>
      </c>
      <c r="G1095" s="29" t="s">
        <v>67</v>
      </c>
      <c r="H1095" s="29" t="s">
        <v>1379</v>
      </c>
      <c r="I1095" s="29" t="s">
        <v>1861</v>
      </c>
      <c r="J1095" s="29" t="n">
        <v>0</v>
      </c>
      <c r="K1095" s="29" t="n">
        <v>0</v>
      </c>
      <c r="L1095" s="29" t="s">
        <v>1849</v>
      </c>
    </row>
    <row r="1096" customFormat="false" ht="15" hidden="false" customHeight="false" outlineLevel="0" collapsed="false">
      <c r="A1096" s="29" t="n">
        <v>141417</v>
      </c>
      <c r="B1096" s="29" t="s">
        <v>1747</v>
      </c>
      <c r="C1096" s="29" t="s">
        <v>1748</v>
      </c>
      <c r="D1096" s="29" t="s">
        <v>472</v>
      </c>
      <c r="E1096" s="29" t="s">
        <v>473</v>
      </c>
      <c r="F1096" s="29" t="s">
        <v>82</v>
      </c>
      <c r="G1096" s="29" t="s">
        <v>67</v>
      </c>
      <c r="H1096" s="29" t="s">
        <v>1379</v>
      </c>
      <c r="I1096" s="29" t="s">
        <v>1861</v>
      </c>
      <c r="J1096" s="29" t="n">
        <v>0</v>
      </c>
      <c r="K1096" s="29" t="n">
        <v>0</v>
      </c>
      <c r="L1096" s="29" t="s">
        <v>1849</v>
      </c>
    </row>
    <row r="1097" customFormat="false" ht="15" hidden="false" customHeight="false" outlineLevel="0" collapsed="false">
      <c r="A1097" s="29" t="n">
        <v>141417</v>
      </c>
      <c r="B1097" s="29" t="s">
        <v>1747</v>
      </c>
      <c r="C1097" s="29" t="s">
        <v>1748</v>
      </c>
      <c r="D1097" s="29" t="s">
        <v>477</v>
      </c>
      <c r="E1097" s="29" t="s">
        <v>478</v>
      </c>
      <c r="F1097" s="29" t="s">
        <v>82</v>
      </c>
      <c r="G1097" s="29" t="s">
        <v>67</v>
      </c>
      <c r="H1097" s="29" t="s">
        <v>1379</v>
      </c>
      <c r="I1097" s="29" t="s">
        <v>1861</v>
      </c>
      <c r="J1097" s="29" t="n">
        <v>0</v>
      </c>
      <c r="K1097" s="29" t="n">
        <v>0</v>
      </c>
      <c r="L1097" s="29" t="s">
        <v>1849</v>
      </c>
    </row>
    <row r="1098" customFormat="false" ht="15" hidden="false" customHeight="false" outlineLevel="0" collapsed="false">
      <c r="A1098" s="29" t="n">
        <v>141417</v>
      </c>
      <c r="B1098" s="29" t="s">
        <v>1747</v>
      </c>
      <c r="C1098" s="29" t="s">
        <v>1748</v>
      </c>
      <c r="D1098" s="29" t="s">
        <v>642</v>
      </c>
      <c r="E1098" s="29" t="s">
        <v>643</v>
      </c>
      <c r="F1098" s="29" t="s">
        <v>99</v>
      </c>
      <c r="G1098" s="29" t="s">
        <v>67</v>
      </c>
      <c r="H1098" s="29" t="s">
        <v>1844</v>
      </c>
      <c r="I1098" s="29" t="s">
        <v>1880</v>
      </c>
      <c r="J1098" s="29" t="n">
        <v>0</v>
      </c>
      <c r="K1098" s="29" t="n">
        <v>0</v>
      </c>
      <c r="L1098" s="29" t="s">
        <v>1849</v>
      </c>
    </row>
    <row r="1099" customFormat="false" ht="15" hidden="false" customHeight="false" outlineLevel="0" collapsed="false">
      <c r="A1099" s="29" t="n">
        <v>141417</v>
      </c>
      <c r="B1099" s="29" t="s">
        <v>1747</v>
      </c>
      <c r="C1099" s="29" t="s">
        <v>1748</v>
      </c>
      <c r="D1099" s="29" t="s">
        <v>650</v>
      </c>
      <c r="E1099" s="29" t="s">
        <v>651</v>
      </c>
      <c r="F1099" s="29" t="s">
        <v>99</v>
      </c>
      <c r="G1099" s="29" t="s">
        <v>68</v>
      </c>
      <c r="H1099" s="29" t="s">
        <v>1381</v>
      </c>
      <c r="I1099" s="29" t="s">
        <v>1880</v>
      </c>
      <c r="J1099" s="29" t="n">
        <v>0</v>
      </c>
      <c r="K1099" s="29" t="n">
        <v>0</v>
      </c>
      <c r="L1099" s="29" t="s">
        <v>1849</v>
      </c>
    </row>
    <row r="1100" customFormat="false" ht="15" hidden="false" customHeight="false" outlineLevel="0" collapsed="false">
      <c r="A1100" s="29" t="n">
        <v>141417</v>
      </c>
      <c r="B1100" s="29" t="s">
        <v>1747</v>
      </c>
      <c r="C1100" s="29" t="s">
        <v>1748</v>
      </c>
      <c r="D1100" s="29" t="s">
        <v>658</v>
      </c>
      <c r="E1100" s="29" t="s">
        <v>659</v>
      </c>
      <c r="F1100" s="29" t="s">
        <v>99</v>
      </c>
      <c r="G1100" s="29" t="s">
        <v>68</v>
      </c>
      <c r="H1100" s="29" t="s">
        <v>1381</v>
      </c>
      <c r="I1100" s="29" t="s">
        <v>1880</v>
      </c>
      <c r="J1100" s="29" t="n">
        <v>0</v>
      </c>
      <c r="K1100" s="29" t="n">
        <v>0</v>
      </c>
      <c r="L1100" s="29" t="s">
        <v>1849</v>
      </c>
    </row>
    <row r="1101" customFormat="false" ht="15" hidden="false" customHeight="false" outlineLevel="0" collapsed="false">
      <c r="A1101" s="29" t="n">
        <v>141417</v>
      </c>
      <c r="B1101" s="29" t="s">
        <v>1747</v>
      </c>
      <c r="C1101" s="29" t="s">
        <v>1748</v>
      </c>
      <c r="D1101" s="29" t="s">
        <v>663</v>
      </c>
      <c r="E1101" s="29" t="s">
        <v>664</v>
      </c>
      <c r="F1101" s="29" t="s">
        <v>99</v>
      </c>
      <c r="G1101" s="29" t="s">
        <v>68</v>
      </c>
      <c r="H1101" s="29" t="s">
        <v>1381</v>
      </c>
      <c r="I1101" s="29" t="s">
        <v>1880</v>
      </c>
      <c r="J1101" s="29" t="n">
        <v>0</v>
      </c>
      <c r="K1101" s="29" t="n">
        <v>0</v>
      </c>
      <c r="L1101" s="29" t="s">
        <v>1849</v>
      </c>
    </row>
    <row r="1102" customFormat="false" ht="15" hidden="false" customHeight="false" outlineLevel="0" collapsed="false">
      <c r="A1102" s="29" t="n">
        <v>141417</v>
      </c>
      <c r="B1102" s="29" t="s">
        <v>1747</v>
      </c>
      <c r="C1102" s="29" t="s">
        <v>1748</v>
      </c>
      <c r="D1102" s="29" t="s">
        <v>668</v>
      </c>
      <c r="E1102" s="29" t="s">
        <v>669</v>
      </c>
      <c r="F1102" s="29" t="s">
        <v>105</v>
      </c>
      <c r="G1102" s="29" t="s">
        <v>66</v>
      </c>
      <c r="H1102" s="29" t="s">
        <v>1379</v>
      </c>
      <c r="I1102" s="29" t="s">
        <v>1861</v>
      </c>
      <c r="J1102" s="29" t="n">
        <v>0</v>
      </c>
      <c r="K1102" s="29" t="n">
        <v>0</v>
      </c>
      <c r="L1102" s="29" t="s">
        <v>1849</v>
      </c>
    </row>
    <row r="1103" customFormat="false" ht="15" hidden="false" customHeight="false" outlineLevel="0" collapsed="false">
      <c r="A1103" s="29" t="n">
        <v>141417</v>
      </c>
      <c r="B1103" s="29" t="s">
        <v>1747</v>
      </c>
      <c r="C1103" s="29" t="s">
        <v>1748</v>
      </c>
      <c r="D1103" s="29" t="s">
        <v>680</v>
      </c>
      <c r="E1103" s="29" t="s">
        <v>681</v>
      </c>
      <c r="F1103" s="29" t="s">
        <v>105</v>
      </c>
      <c r="G1103" s="29" t="s">
        <v>66</v>
      </c>
      <c r="H1103" s="29" t="s">
        <v>1379</v>
      </c>
      <c r="I1103" s="29" t="s">
        <v>1861</v>
      </c>
      <c r="J1103" s="29" t="n">
        <v>0</v>
      </c>
      <c r="K1103" s="29" t="n">
        <v>0</v>
      </c>
      <c r="L1103" s="29" t="s">
        <v>1849</v>
      </c>
    </row>
    <row r="1104" customFormat="false" ht="15" hidden="false" customHeight="false" outlineLevel="0" collapsed="false">
      <c r="A1104" s="29" t="n">
        <v>141417</v>
      </c>
      <c r="B1104" s="29" t="s">
        <v>1747</v>
      </c>
      <c r="C1104" s="29" t="s">
        <v>1748</v>
      </c>
      <c r="D1104" s="29" t="s">
        <v>711</v>
      </c>
      <c r="E1104" s="29" t="s">
        <v>712</v>
      </c>
      <c r="F1104" s="29" t="s">
        <v>116</v>
      </c>
      <c r="G1104" s="29" t="s">
        <v>66</v>
      </c>
      <c r="H1104" s="29" t="s">
        <v>1379</v>
      </c>
      <c r="I1104" s="29" t="s">
        <v>1861</v>
      </c>
      <c r="J1104" s="29" t="n">
        <v>0</v>
      </c>
      <c r="K1104" s="29" t="n">
        <v>0</v>
      </c>
      <c r="L1104" s="29" t="s">
        <v>1849</v>
      </c>
    </row>
    <row r="1105" customFormat="false" ht="15" hidden="false" customHeight="false" outlineLevel="0" collapsed="false">
      <c r="A1105" s="29" t="n">
        <v>141417</v>
      </c>
      <c r="B1105" s="29" t="s">
        <v>1747</v>
      </c>
      <c r="C1105" s="29" t="s">
        <v>1748</v>
      </c>
      <c r="D1105" s="29" t="s">
        <v>721</v>
      </c>
      <c r="E1105" s="29" t="s">
        <v>722</v>
      </c>
      <c r="F1105" s="29" t="s">
        <v>116</v>
      </c>
      <c r="G1105" s="29" t="s">
        <v>66</v>
      </c>
      <c r="H1105" s="29" t="s">
        <v>1379</v>
      </c>
      <c r="I1105" s="29" t="s">
        <v>1861</v>
      </c>
      <c r="J1105" s="29" t="n">
        <v>0</v>
      </c>
      <c r="K1105" s="29" t="n">
        <v>0</v>
      </c>
      <c r="L1105" s="29" t="s">
        <v>1849</v>
      </c>
    </row>
    <row r="1106" customFormat="false" ht="15" hidden="false" customHeight="false" outlineLevel="0" collapsed="false">
      <c r="A1106" s="29" t="n">
        <v>103789</v>
      </c>
      <c r="B1106" s="29" t="s">
        <v>1751</v>
      </c>
      <c r="C1106" s="29" t="s">
        <v>1752</v>
      </c>
      <c r="D1106" s="29" t="s">
        <v>247</v>
      </c>
      <c r="E1106" s="29" t="s">
        <v>248</v>
      </c>
      <c r="F1106" s="29" t="s">
        <v>69</v>
      </c>
      <c r="G1106" s="29" t="s">
        <v>67</v>
      </c>
      <c r="H1106" s="29" t="s">
        <v>1844</v>
      </c>
      <c r="I1106" s="29" t="s">
        <v>1848</v>
      </c>
      <c r="J1106" s="29" t="n">
        <v>0</v>
      </c>
      <c r="K1106" s="29" t="n">
        <v>0</v>
      </c>
      <c r="L1106" s="29" t="s">
        <v>1846</v>
      </c>
    </row>
    <row r="1107" customFormat="false" ht="15" hidden="false" customHeight="false" outlineLevel="0" collapsed="false">
      <c r="A1107" s="29" t="n">
        <v>103789</v>
      </c>
      <c r="B1107" s="29" t="s">
        <v>1751</v>
      </c>
      <c r="C1107" s="29" t="s">
        <v>1752</v>
      </c>
      <c r="D1107" s="29" t="s">
        <v>265</v>
      </c>
      <c r="E1107" s="29" t="s">
        <v>266</v>
      </c>
      <c r="F1107" s="29" t="s">
        <v>69</v>
      </c>
      <c r="G1107" s="29" t="s">
        <v>67</v>
      </c>
      <c r="H1107" s="29" t="s">
        <v>1379</v>
      </c>
      <c r="I1107" s="29" t="s">
        <v>1863</v>
      </c>
      <c r="J1107" s="29" t="n">
        <v>0</v>
      </c>
      <c r="K1107" s="29" t="n">
        <v>0</v>
      </c>
      <c r="L1107" s="29" t="s">
        <v>1846</v>
      </c>
    </row>
    <row r="1108" customFormat="false" ht="15" hidden="false" customHeight="false" outlineLevel="0" collapsed="false">
      <c r="A1108" s="29" t="n">
        <v>103789</v>
      </c>
      <c r="B1108" s="29" t="s">
        <v>1751</v>
      </c>
      <c r="C1108" s="29" t="s">
        <v>1752</v>
      </c>
      <c r="D1108" s="29" t="s">
        <v>297</v>
      </c>
      <c r="E1108" s="29" t="s">
        <v>298</v>
      </c>
      <c r="F1108" s="29" t="s">
        <v>69</v>
      </c>
      <c r="G1108" s="29" t="s">
        <v>68</v>
      </c>
      <c r="H1108" s="29" t="s">
        <v>1381</v>
      </c>
      <c r="I1108" s="29" t="s">
        <v>1848</v>
      </c>
      <c r="J1108" s="29" t="n">
        <v>0</v>
      </c>
      <c r="K1108" s="29" t="n">
        <v>0</v>
      </c>
      <c r="L1108" s="29" t="s">
        <v>1846</v>
      </c>
    </row>
    <row r="1109" customFormat="false" ht="15" hidden="false" customHeight="false" outlineLevel="0" collapsed="false">
      <c r="A1109" s="29" t="n">
        <v>103789</v>
      </c>
      <c r="B1109" s="29" t="s">
        <v>1751</v>
      </c>
      <c r="C1109" s="29" t="s">
        <v>1752</v>
      </c>
      <c r="D1109" s="29" t="s">
        <v>428</v>
      </c>
      <c r="E1109" s="29" t="s">
        <v>429</v>
      </c>
      <c r="F1109" s="29" t="s">
        <v>76</v>
      </c>
      <c r="G1109" s="29" t="s">
        <v>68</v>
      </c>
      <c r="H1109" s="29" t="s">
        <v>1381</v>
      </c>
      <c r="I1109" s="29" t="s">
        <v>1872</v>
      </c>
      <c r="J1109" s="29" t="n">
        <v>0</v>
      </c>
      <c r="K1109" s="29" t="n">
        <v>0</v>
      </c>
      <c r="L1109" s="29" t="s">
        <v>1846</v>
      </c>
    </row>
    <row r="1110" customFormat="false" ht="15" hidden="false" customHeight="false" outlineLevel="0" collapsed="false">
      <c r="A1110" s="29" t="n">
        <v>103789</v>
      </c>
      <c r="B1110" s="29" t="s">
        <v>1751</v>
      </c>
      <c r="C1110" s="29" t="s">
        <v>1752</v>
      </c>
      <c r="D1110" s="29" t="s">
        <v>433</v>
      </c>
      <c r="E1110" s="29" t="s">
        <v>434</v>
      </c>
      <c r="F1110" s="29" t="s">
        <v>82</v>
      </c>
      <c r="G1110" s="29" t="s">
        <v>66</v>
      </c>
      <c r="H1110" s="29" t="s">
        <v>1379</v>
      </c>
      <c r="I1110" s="29" t="s">
        <v>1863</v>
      </c>
      <c r="J1110" s="29" t="n">
        <v>0</v>
      </c>
      <c r="K1110" s="29" t="n">
        <v>0</v>
      </c>
      <c r="L1110" s="29" t="s">
        <v>1846</v>
      </c>
    </row>
    <row r="1111" customFormat="false" ht="15" hidden="false" customHeight="false" outlineLevel="0" collapsed="false">
      <c r="A1111" s="29" t="n">
        <v>103789</v>
      </c>
      <c r="B1111" s="29" t="s">
        <v>1751</v>
      </c>
      <c r="C1111" s="29" t="s">
        <v>1752</v>
      </c>
      <c r="D1111" s="29" t="s">
        <v>668</v>
      </c>
      <c r="E1111" s="29" t="s">
        <v>669</v>
      </c>
      <c r="F1111" s="29" t="s">
        <v>105</v>
      </c>
      <c r="G1111" s="29" t="s">
        <v>66</v>
      </c>
      <c r="H1111" s="29" t="s">
        <v>1379</v>
      </c>
      <c r="I1111" s="29" t="s">
        <v>1863</v>
      </c>
      <c r="J1111" s="29" t="n">
        <v>0</v>
      </c>
      <c r="K1111" s="29" t="n">
        <v>0</v>
      </c>
      <c r="L1111" s="29" t="s">
        <v>1846</v>
      </c>
    </row>
    <row r="1112" customFormat="false" ht="15" hidden="false" customHeight="false" outlineLevel="0" collapsed="false">
      <c r="A1112" s="29" t="n">
        <v>103789</v>
      </c>
      <c r="B1112" s="29" t="s">
        <v>1751</v>
      </c>
      <c r="C1112" s="29" t="s">
        <v>1752</v>
      </c>
      <c r="D1112" s="29" t="s">
        <v>680</v>
      </c>
      <c r="E1112" s="29" t="s">
        <v>681</v>
      </c>
      <c r="F1112" s="29" t="s">
        <v>105</v>
      </c>
      <c r="G1112" s="29" t="s">
        <v>66</v>
      </c>
      <c r="H1112" s="29" t="s">
        <v>1379</v>
      </c>
      <c r="I1112" s="29" t="s">
        <v>1863</v>
      </c>
      <c r="J1112" s="29" t="n">
        <v>0</v>
      </c>
      <c r="K1112" s="29" t="n">
        <v>0</v>
      </c>
      <c r="L1112" s="29" t="s">
        <v>1846</v>
      </c>
    </row>
    <row r="1113" customFormat="false" ht="15" hidden="false" customHeight="false" outlineLevel="0" collapsed="false">
      <c r="A1113" s="29" t="n">
        <v>103789</v>
      </c>
      <c r="B1113" s="29" t="s">
        <v>1751</v>
      </c>
      <c r="C1113" s="29" t="s">
        <v>1752</v>
      </c>
      <c r="D1113" s="29" t="s">
        <v>689</v>
      </c>
      <c r="E1113" s="29" t="s">
        <v>690</v>
      </c>
      <c r="F1113" s="29" t="s">
        <v>105</v>
      </c>
      <c r="G1113" s="29" t="s">
        <v>67</v>
      </c>
      <c r="H1113" s="29" t="s">
        <v>1844</v>
      </c>
      <c r="I1113" s="29" t="s">
        <v>1872</v>
      </c>
      <c r="J1113" s="29" t="n">
        <v>0</v>
      </c>
      <c r="K1113" s="29" t="n">
        <v>0</v>
      </c>
      <c r="L1113" s="29" t="s">
        <v>1846</v>
      </c>
    </row>
    <row r="1114" customFormat="false" ht="15" hidden="false" customHeight="false" outlineLevel="0" collapsed="false">
      <c r="A1114" s="29" t="n">
        <v>103789</v>
      </c>
      <c r="B1114" s="29" t="s">
        <v>1751</v>
      </c>
      <c r="C1114" s="29" t="s">
        <v>1752</v>
      </c>
      <c r="D1114" s="29" t="s">
        <v>711</v>
      </c>
      <c r="E1114" s="29" t="s">
        <v>712</v>
      </c>
      <c r="F1114" s="29" t="s">
        <v>116</v>
      </c>
      <c r="G1114" s="29" t="s">
        <v>66</v>
      </c>
      <c r="H1114" s="29" t="s">
        <v>1379</v>
      </c>
      <c r="I1114" s="29" t="s">
        <v>1863</v>
      </c>
      <c r="J1114" s="29" t="n">
        <v>0</v>
      </c>
      <c r="K1114" s="29" t="n">
        <v>0</v>
      </c>
      <c r="L1114" s="29" t="s">
        <v>1846</v>
      </c>
    </row>
    <row r="1115" customFormat="false" ht="15" hidden="false" customHeight="false" outlineLevel="0" collapsed="false">
      <c r="A1115" s="29" t="n">
        <v>103801</v>
      </c>
      <c r="B1115" s="29" t="s">
        <v>1755</v>
      </c>
      <c r="C1115" s="29" t="s">
        <v>1756</v>
      </c>
      <c r="D1115" s="29" t="s">
        <v>247</v>
      </c>
      <c r="E1115" s="29" t="s">
        <v>248</v>
      </c>
      <c r="F1115" s="29" t="s">
        <v>69</v>
      </c>
      <c r="G1115" s="29" t="s">
        <v>67</v>
      </c>
      <c r="H1115" s="29" t="s">
        <v>1844</v>
      </c>
      <c r="I1115" s="29" t="s">
        <v>1881</v>
      </c>
      <c r="J1115" s="29" t="n">
        <v>0</v>
      </c>
      <c r="K1115" s="29" t="n">
        <v>0</v>
      </c>
      <c r="L1115" s="29" t="s">
        <v>1846</v>
      </c>
    </row>
    <row r="1116" customFormat="false" ht="15" hidden="false" customHeight="false" outlineLevel="0" collapsed="false">
      <c r="A1116" s="29" t="n">
        <v>103801</v>
      </c>
      <c r="B1116" s="29" t="s">
        <v>1755</v>
      </c>
      <c r="C1116" s="29" t="s">
        <v>1756</v>
      </c>
      <c r="D1116" s="29" t="s">
        <v>265</v>
      </c>
      <c r="E1116" s="29" t="s">
        <v>266</v>
      </c>
      <c r="F1116" s="29" t="s">
        <v>69</v>
      </c>
      <c r="G1116" s="29" t="s">
        <v>67</v>
      </c>
      <c r="H1116" s="29" t="s">
        <v>1379</v>
      </c>
      <c r="I1116" s="29" t="s">
        <v>1863</v>
      </c>
      <c r="J1116" s="29" t="n">
        <v>0</v>
      </c>
      <c r="K1116" s="29" t="n">
        <v>0</v>
      </c>
      <c r="L1116" s="29" t="s">
        <v>1846</v>
      </c>
    </row>
    <row r="1117" customFormat="false" ht="15" hidden="false" customHeight="false" outlineLevel="0" collapsed="false">
      <c r="A1117" s="29" t="n">
        <v>103801</v>
      </c>
      <c r="B1117" s="29" t="s">
        <v>1755</v>
      </c>
      <c r="C1117" s="29" t="s">
        <v>1756</v>
      </c>
      <c r="D1117" s="29" t="s">
        <v>297</v>
      </c>
      <c r="E1117" s="29" t="s">
        <v>298</v>
      </c>
      <c r="F1117" s="29" t="s">
        <v>69</v>
      </c>
      <c r="G1117" s="29" t="s">
        <v>68</v>
      </c>
      <c r="H1117" s="29" t="s">
        <v>1381</v>
      </c>
      <c r="I1117" s="29" t="s">
        <v>1848</v>
      </c>
      <c r="J1117" s="29" t="n">
        <v>0</v>
      </c>
      <c r="K1117" s="29" t="n">
        <v>0</v>
      </c>
      <c r="L1117" s="29" t="s">
        <v>1846</v>
      </c>
    </row>
    <row r="1118" customFormat="false" ht="15" hidden="false" customHeight="false" outlineLevel="0" collapsed="false">
      <c r="A1118" s="29" t="n">
        <v>103801</v>
      </c>
      <c r="B1118" s="29" t="s">
        <v>1755</v>
      </c>
      <c r="C1118" s="29" t="s">
        <v>1756</v>
      </c>
      <c r="D1118" s="29" t="s">
        <v>319</v>
      </c>
      <c r="E1118" s="29" t="s">
        <v>320</v>
      </c>
      <c r="F1118" s="29" t="s">
        <v>69</v>
      </c>
      <c r="G1118" s="29" t="s">
        <v>68</v>
      </c>
      <c r="H1118" s="29" t="s">
        <v>1381</v>
      </c>
      <c r="I1118" s="29" t="s">
        <v>1882</v>
      </c>
      <c r="J1118" s="29" t="n">
        <v>0</v>
      </c>
      <c r="K1118" s="29" t="n">
        <v>0</v>
      </c>
      <c r="L1118" s="29" t="s">
        <v>1846</v>
      </c>
    </row>
    <row r="1119" customFormat="false" ht="15" hidden="false" customHeight="false" outlineLevel="0" collapsed="false">
      <c r="A1119" s="29" t="n">
        <v>103801</v>
      </c>
      <c r="B1119" s="29" t="s">
        <v>1755</v>
      </c>
      <c r="C1119" s="29" t="s">
        <v>1756</v>
      </c>
      <c r="D1119" s="29" t="s">
        <v>433</v>
      </c>
      <c r="E1119" s="29" t="s">
        <v>434</v>
      </c>
      <c r="F1119" s="29" t="s">
        <v>82</v>
      </c>
      <c r="G1119" s="29" t="s">
        <v>66</v>
      </c>
      <c r="H1119" s="29" t="s">
        <v>1379</v>
      </c>
      <c r="I1119" s="29" t="s">
        <v>1863</v>
      </c>
      <c r="J1119" s="29" t="n">
        <v>0</v>
      </c>
      <c r="K1119" s="29" t="n">
        <v>0</v>
      </c>
      <c r="L1119" s="29" t="s">
        <v>1846</v>
      </c>
    </row>
    <row r="1120" customFormat="false" ht="15" hidden="false" customHeight="false" outlineLevel="0" collapsed="false">
      <c r="A1120" s="29" t="n">
        <v>103801</v>
      </c>
      <c r="B1120" s="29" t="s">
        <v>1755</v>
      </c>
      <c r="C1120" s="29" t="s">
        <v>1756</v>
      </c>
      <c r="D1120" s="29" t="s">
        <v>668</v>
      </c>
      <c r="E1120" s="29" t="s">
        <v>669</v>
      </c>
      <c r="F1120" s="29" t="s">
        <v>105</v>
      </c>
      <c r="G1120" s="29" t="s">
        <v>66</v>
      </c>
      <c r="H1120" s="29" t="s">
        <v>1379</v>
      </c>
      <c r="I1120" s="29" t="s">
        <v>1863</v>
      </c>
      <c r="J1120" s="29" t="n">
        <v>0</v>
      </c>
      <c r="K1120" s="29" t="n">
        <v>0</v>
      </c>
      <c r="L1120" s="29" t="s">
        <v>1846</v>
      </c>
    </row>
    <row r="1121" customFormat="false" ht="15" hidden="false" customHeight="false" outlineLevel="0" collapsed="false">
      <c r="A1121" s="29" t="n">
        <v>103801</v>
      </c>
      <c r="B1121" s="29" t="s">
        <v>1755</v>
      </c>
      <c r="C1121" s="29" t="s">
        <v>1756</v>
      </c>
      <c r="D1121" s="29" t="s">
        <v>680</v>
      </c>
      <c r="E1121" s="29" t="s">
        <v>681</v>
      </c>
      <c r="F1121" s="29" t="s">
        <v>105</v>
      </c>
      <c r="G1121" s="29" t="s">
        <v>66</v>
      </c>
      <c r="H1121" s="29" t="s">
        <v>1379</v>
      </c>
      <c r="I1121" s="29" t="s">
        <v>1863</v>
      </c>
      <c r="J1121" s="29" t="n">
        <v>0</v>
      </c>
      <c r="K1121" s="29" t="n">
        <v>0</v>
      </c>
      <c r="L1121" s="29" t="s">
        <v>1846</v>
      </c>
    </row>
    <row r="1122" customFormat="false" ht="15" hidden="false" customHeight="false" outlineLevel="0" collapsed="false">
      <c r="A1122" s="29" t="n">
        <v>103801</v>
      </c>
      <c r="B1122" s="29" t="s">
        <v>1755</v>
      </c>
      <c r="C1122" s="29" t="s">
        <v>1756</v>
      </c>
      <c r="D1122" s="29" t="s">
        <v>699</v>
      </c>
      <c r="E1122" s="29" t="s">
        <v>700</v>
      </c>
      <c r="F1122" s="29" t="s">
        <v>110</v>
      </c>
      <c r="G1122" s="29" t="s">
        <v>68</v>
      </c>
      <c r="H1122" s="29" t="s">
        <v>1381</v>
      </c>
      <c r="I1122" s="29" t="s">
        <v>1870</v>
      </c>
      <c r="J1122" s="29" t="n">
        <v>0</v>
      </c>
      <c r="K1122" s="29" t="n">
        <v>0</v>
      </c>
      <c r="L1122" s="29" t="s">
        <v>1846</v>
      </c>
    </row>
    <row r="1123" customFormat="false" ht="15" hidden="false" customHeight="false" outlineLevel="0" collapsed="false">
      <c r="A1123" s="29" t="n">
        <v>103801</v>
      </c>
      <c r="B1123" s="29" t="s">
        <v>1755</v>
      </c>
      <c r="C1123" s="29" t="s">
        <v>1756</v>
      </c>
      <c r="D1123" s="29" t="s">
        <v>711</v>
      </c>
      <c r="E1123" s="29" t="s">
        <v>712</v>
      </c>
      <c r="F1123" s="29" t="s">
        <v>116</v>
      </c>
      <c r="G1123" s="29" t="s">
        <v>66</v>
      </c>
      <c r="H1123" s="29" t="s">
        <v>1379</v>
      </c>
      <c r="I1123" s="29" t="s">
        <v>1863</v>
      </c>
      <c r="J1123" s="29" t="n">
        <v>0</v>
      </c>
      <c r="K1123" s="29" t="n">
        <v>0</v>
      </c>
      <c r="L1123" s="29" t="s">
        <v>1846</v>
      </c>
    </row>
    <row r="1124" customFormat="false" ht="15" hidden="false" customHeight="false" outlineLevel="0" collapsed="false">
      <c r="A1124" s="29" t="n">
        <v>103851</v>
      </c>
      <c r="B1124" s="29" t="s">
        <v>1760</v>
      </c>
      <c r="C1124" s="29" t="s">
        <v>1761</v>
      </c>
      <c r="D1124" s="29" t="s">
        <v>247</v>
      </c>
      <c r="E1124" s="29" t="s">
        <v>248</v>
      </c>
      <c r="F1124" s="29" t="s">
        <v>69</v>
      </c>
      <c r="G1124" s="29" t="s">
        <v>67</v>
      </c>
      <c r="H1124" s="29" t="s">
        <v>1844</v>
      </c>
      <c r="I1124" s="29" t="s">
        <v>1848</v>
      </c>
      <c r="J1124" s="29" t="n">
        <v>0</v>
      </c>
      <c r="K1124" s="29" t="n">
        <v>0</v>
      </c>
      <c r="L1124" s="29" t="s">
        <v>1846</v>
      </c>
    </row>
    <row r="1125" customFormat="false" ht="15" hidden="false" customHeight="false" outlineLevel="0" collapsed="false">
      <c r="A1125" s="29" t="n">
        <v>103851</v>
      </c>
      <c r="B1125" s="29" t="s">
        <v>1760</v>
      </c>
      <c r="C1125" s="29" t="s">
        <v>1761</v>
      </c>
      <c r="D1125" s="29" t="s">
        <v>265</v>
      </c>
      <c r="E1125" s="29" t="s">
        <v>266</v>
      </c>
      <c r="F1125" s="29" t="s">
        <v>69</v>
      </c>
      <c r="G1125" s="29" t="s">
        <v>67</v>
      </c>
      <c r="H1125" s="29" t="s">
        <v>1379</v>
      </c>
      <c r="I1125" s="29" t="s">
        <v>1863</v>
      </c>
      <c r="J1125" s="29" t="n">
        <v>0</v>
      </c>
      <c r="K1125" s="29" t="n">
        <v>0</v>
      </c>
      <c r="L1125" s="29" t="s">
        <v>1846</v>
      </c>
    </row>
    <row r="1126" customFormat="false" ht="15" hidden="false" customHeight="false" outlineLevel="0" collapsed="false">
      <c r="A1126" s="29" t="n">
        <v>103851</v>
      </c>
      <c r="B1126" s="29" t="s">
        <v>1760</v>
      </c>
      <c r="C1126" s="29" t="s">
        <v>1761</v>
      </c>
      <c r="D1126" s="29" t="s">
        <v>277</v>
      </c>
      <c r="E1126" s="29" t="s">
        <v>278</v>
      </c>
      <c r="F1126" s="29" t="s">
        <v>69</v>
      </c>
      <c r="G1126" s="29" t="s">
        <v>67</v>
      </c>
      <c r="H1126" s="29" t="s">
        <v>1844</v>
      </c>
      <c r="I1126" s="29" t="s">
        <v>1851</v>
      </c>
      <c r="J1126" s="29" t="n">
        <v>0</v>
      </c>
      <c r="K1126" s="29" t="n">
        <v>0</v>
      </c>
      <c r="L1126" s="29" t="s">
        <v>1846</v>
      </c>
    </row>
    <row r="1127" customFormat="false" ht="15" hidden="false" customHeight="false" outlineLevel="0" collapsed="false">
      <c r="A1127" s="29" t="n">
        <v>103851</v>
      </c>
      <c r="B1127" s="29" t="s">
        <v>1760</v>
      </c>
      <c r="C1127" s="29" t="s">
        <v>1761</v>
      </c>
      <c r="D1127" s="29" t="s">
        <v>297</v>
      </c>
      <c r="E1127" s="29" t="s">
        <v>298</v>
      </c>
      <c r="F1127" s="29" t="s">
        <v>69</v>
      </c>
      <c r="G1127" s="29" t="s">
        <v>68</v>
      </c>
      <c r="H1127" s="29" t="s">
        <v>1381</v>
      </c>
      <c r="I1127" s="29" t="s">
        <v>1848</v>
      </c>
      <c r="J1127" s="29" t="n">
        <v>0</v>
      </c>
      <c r="K1127" s="29" t="n">
        <v>0</v>
      </c>
      <c r="L1127" s="29" t="s">
        <v>1846</v>
      </c>
    </row>
    <row r="1128" customFormat="false" ht="15" hidden="false" customHeight="false" outlineLevel="0" collapsed="false">
      <c r="A1128" s="29" t="n">
        <v>103851</v>
      </c>
      <c r="B1128" s="29" t="s">
        <v>1760</v>
      </c>
      <c r="C1128" s="29" t="s">
        <v>1761</v>
      </c>
      <c r="D1128" s="29" t="s">
        <v>304</v>
      </c>
      <c r="E1128" s="29" t="s">
        <v>305</v>
      </c>
      <c r="F1128" s="29" t="s">
        <v>69</v>
      </c>
      <c r="G1128" s="29" t="s">
        <v>68</v>
      </c>
      <c r="H1128" s="29" t="s">
        <v>1381</v>
      </c>
      <c r="I1128" s="29" t="s">
        <v>1851</v>
      </c>
      <c r="J1128" s="29" t="n">
        <v>0</v>
      </c>
      <c r="K1128" s="29" t="n">
        <v>0</v>
      </c>
      <c r="L1128" s="29" t="s">
        <v>1846</v>
      </c>
    </row>
    <row r="1129" customFormat="false" ht="15" hidden="false" customHeight="false" outlineLevel="0" collapsed="false">
      <c r="A1129" s="29" t="n">
        <v>103851</v>
      </c>
      <c r="B1129" s="29" t="s">
        <v>1760</v>
      </c>
      <c r="C1129" s="29" t="s">
        <v>1761</v>
      </c>
      <c r="D1129" s="29" t="s">
        <v>311</v>
      </c>
      <c r="E1129" s="29" t="s">
        <v>312</v>
      </c>
      <c r="F1129" s="29" t="s">
        <v>69</v>
      </c>
      <c r="G1129" s="29" t="s">
        <v>68</v>
      </c>
      <c r="H1129" s="29" t="s">
        <v>1381</v>
      </c>
      <c r="I1129" s="29" t="s">
        <v>1851</v>
      </c>
      <c r="J1129" s="29" t="n">
        <v>0</v>
      </c>
      <c r="K1129" s="29" t="n">
        <v>0</v>
      </c>
      <c r="L1129" s="29" t="s">
        <v>1846</v>
      </c>
    </row>
    <row r="1130" customFormat="false" ht="15" hidden="false" customHeight="false" outlineLevel="0" collapsed="false">
      <c r="A1130" s="29" t="n">
        <v>103851</v>
      </c>
      <c r="B1130" s="29" t="s">
        <v>1760</v>
      </c>
      <c r="C1130" s="29" t="s">
        <v>1761</v>
      </c>
      <c r="D1130" s="29" t="s">
        <v>433</v>
      </c>
      <c r="E1130" s="29" t="s">
        <v>434</v>
      </c>
      <c r="F1130" s="29" t="s">
        <v>82</v>
      </c>
      <c r="G1130" s="29" t="s">
        <v>66</v>
      </c>
      <c r="H1130" s="29" t="s">
        <v>1379</v>
      </c>
      <c r="I1130" s="29" t="s">
        <v>1863</v>
      </c>
      <c r="J1130" s="29" t="n">
        <v>0</v>
      </c>
      <c r="K1130" s="29" t="n">
        <v>0</v>
      </c>
      <c r="L1130" s="29" t="s">
        <v>1846</v>
      </c>
    </row>
    <row r="1131" customFormat="false" ht="15" hidden="false" customHeight="false" outlineLevel="0" collapsed="false">
      <c r="A1131" s="29" t="n">
        <v>103851</v>
      </c>
      <c r="B1131" s="29" t="s">
        <v>1760</v>
      </c>
      <c r="C1131" s="29" t="s">
        <v>1761</v>
      </c>
      <c r="D1131" s="29" t="s">
        <v>523</v>
      </c>
      <c r="E1131" s="29" t="s">
        <v>524</v>
      </c>
      <c r="F1131" s="29" t="s">
        <v>88</v>
      </c>
      <c r="G1131" s="29" t="s">
        <v>67</v>
      </c>
      <c r="H1131" s="29" t="s">
        <v>1844</v>
      </c>
      <c r="I1131" s="29" t="s">
        <v>1856</v>
      </c>
      <c r="J1131" s="29" t="n">
        <v>0</v>
      </c>
      <c r="K1131" s="29" t="n">
        <v>0</v>
      </c>
      <c r="L1131" s="29" t="s">
        <v>1846</v>
      </c>
    </row>
    <row r="1132" customFormat="false" ht="15" hidden="false" customHeight="false" outlineLevel="0" collapsed="false">
      <c r="A1132" s="29" t="n">
        <v>103851</v>
      </c>
      <c r="B1132" s="29" t="s">
        <v>1760</v>
      </c>
      <c r="C1132" s="29" t="s">
        <v>1761</v>
      </c>
      <c r="D1132" s="29" t="s">
        <v>551</v>
      </c>
      <c r="E1132" s="29" t="s">
        <v>552</v>
      </c>
      <c r="F1132" s="29" t="s">
        <v>88</v>
      </c>
      <c r="G1132" s="29" t="s">
        <v>68</v>
      </c>
      <c r="H1132" s="29" t="s">
        <v>1381</v>
      </c>
      <c r="I1132" s="29" t="s">
        <v>1856</v>
      </c>
      <c r="J1132" s="29" t="n">
        <v>0</v>
      </c>
      <c r="K1132" s="29" t="n">
        <v>0</v>
      </c>
      <c r="L1132" s="29" t="s">
        <v>1846</v>
      </c>
    </row>
    <row r="1133" customFormat="false" ht="15" hidden="false" customHeight="false" outlineLevel="0" collapsed="false">
      <c r="A1133" s="29" t="n">
        <v>103851</v>
      </c>
      <c r="B1133" s="29" t="s">
        <v>1760</v>
      </c>
      <c r="C1133" s="29" t="s">
        <v>1761</v>
      </c>
      <c r="D1133" s="29" t="s">
        <v>558</v>
      </c>
      <c r="E1133" s="29" t="s">
        <v>559</v>
      </c>
      <c r="F1133" s="29" t="s">
        <v>88</v>
      </c>
      <c r="G1133" s="29" t="s">
        <v>68</v>
      </c>
      <c r="H1133" s="29" t="s">
        <v>1381</v>
      </c>
      <c r="I1133" s="29" t="s">
        <v>1856</v>
      </c>
      <c r="J1133" s="29" t="n">
        <v>0</v>
      </c>
      <c r="K1133" s="29" t="n">
        <v>0</v>
      </c>
      <c r="L1133" s="29" t="s">
        <v>1846</v>
      </c>
    </row>
    <row r="1134" customFormat="false" ht="15" hidden="false" customHeight="false" outlineLevel="0" collapsed="false">
      <c r="A1134" s="29" t="n">
        <v>103851</v>
      </c>
      <c r="B1134" s="29" t="s">
        <v>1760</v>
      </c>
      <c r="C1134" s="29" t="s">
        <v>1761</v>
      </c>
      <c r="D1134" s="29" t="s">
        <v>565</v>
      </c>
      <c r="E1134" s="29" t="s">
        <v>566</v>
      </c>
      <c r="F1134" s="29" t="s">
        <v>88</v>
      </c>
      <c r="G1134" s="29" t="s">
        <v>68</v>
      </c>
      <c r="H1134" s="29" t="s">
        <v>1381</v>
      </c>
      <c r="I1134" s="29" t="s">
        <v>1856</v>
      </c>
      <c r="J1134" s="29" t="n">
        <v>0</v>
      </c>
      <c r="K1134" s="29" t="n">
        <v>0</v>
      </c>
      <c r="L1134" s="29" t="s">
        <v>1846</v>
      </c>
    </row>
    <row r="1135" customFormat="false" ht="15" hidden="false" customHeight="false" outlineLevel="0" collapsed="false">
      <c r="A1135" s="29" t="n">
        <v>103851</v>
      </c>
      <c r="B1135" s="29" t="s">
        <v>1760</v>
      </c>
      <c r="C1135" s="29" t="s">
        <v>1761</v>
      </c>
      <c r="D1135" s="29" t="s">
        <v>668</v>
      </c>
      <c r="E1135" s="29" t="s">
        <v>669</v>
      </c>
      <c r="F1135" s="29" t="s">
        <v>105</v>
      </c>
      <c r="G1135" s="29" t="s">
        <v>66</v>
      </c>
      <c r="H1135" s="29" t="s">
        <v>1379</v>
      </c>
      <c r="I1135" s="29" t="s">
        <v>1863</v>
      </c>
      <c r="J1135" s="29" t="n">
        <v>0</v>
      </c>
      <c r="K1135" s="29" t="n">
        <v>0</v>
      </c>
      <c r="L1135" s="29" t="s">
        <v>1846</v>
      </c>
    </row>
    <row r="1136" customFormat="false" ht="15" hidden="false" customHeight="false" outlineLevel="0" collapsed="false">
      <c r="A1136" s="29" t="n">
        <v>103851</v>
      </c>
      <c r="B1136" s="29" t="s">
        <v>1760</v>
      </c>
      <c r="C1136" s="29" t="s">
        <v>1761</v>
      </c>
      <c r="D1136" s="29" t="s">
        <v>680</v>
      </c>
      <c r="E1136" s="29" t="s">
        <v>681</v>
      </c>
      <c r="F1136" s="29" t="s">
        <v>105</v>
      </c>
      <c r="G1136" s="29" t="s">
        <v>66</v>
      </c>
      <c r="H1136" s="29" t="s">
        <v>1379</v>
      </c>
      <c r="I1136" s="29" t="s">
        <v>1863</v>
      </c>
      <c r="J1136" s="29" t="n">
        <v>0</v>
      </c>
      <c r="K1136" s="29" t="n">
        <v>0</v>
      </c>
      <c r="L1136" s="29" t="s">
        <v>1846</v>
      </c>
    </row>
    <row r="1137" customFormat="false" ht="15" hidden="false" customHeight="false" outlineLevel="0" collapsed="false">
      <c r="A1137" s="29" t="n">
        <v>103851</v>
      </c>
      <c r="B1137" s="29" t="s">
        <v>1760</v>
      </c>
      <c r="C1137" s="29" t="s">
        <v>1761</v>
      </c>
      <c r="D1137" s="29" t="s">
        <v>699</v>
      </c>
      <c r="E1137" s="29" t="s">
        <v>700</v>
      </c>
      <c r="F1137" s="29" t="s">
        <v>110</v>
      </c>
      <c r="G1137" s="29" t="s">
        <v>68</v>
      </c>
      <c r="H1137" s="29" t="s">
        <v>1381</v>
      </c>
      <c r="I1137" s="29" t="s">
        <v>1870</v>
      </c>
      <c r="J1137" s="29" t="n">
        <v>0</v>
      </c>
      <c r="K1137" s="29" t="n">
        <v>0</v>
      </c>
      <c r="L1137" s="29" t="s">
        <v>1846</v>
      </c>
    </row>
    <row r="1138" customFormat="false" ht="15" hidden="false" customHeight="false" outlineLevel="0" collapsed="false">
      <c r="A1138" s="29" t="n">
        <v>103851</v>
      </c>
      <c r="B1138" s="29" t="s">
        <v>1760</v>
      </c>
      <c r="C1138" s="29" t="s">
        <v>1761</v>
      </c>
      <c r="D1138" s="29" t="s">
        <v>711</v>
      </c>
      <c r="E1138" s="29" t="s">
        <v>712</v>
      </c>
      <c r="F1138" s="29" t="s">
        <v>116</v>
      </c>
      <c r="G1138" s="29" t="s">
        <v>66</v>
      </c>
      <c r="H1138" s="29" t="s">
        <v>1379</v>
      </c>
      <c r="I1138" s="29" t="s">
        <v>1863</v>
      </c>
      <c r="J1138" s="29" t="n">
        <v>0</v>
      </c>
      <c r="K1138" s="29" t="n">
        <v>0</v>
      </c>
      <c r="L1138" s="29" t="s">
        <v>1846</v>
      </c>
    </row>
    <row r="1139" customFormat="false" ht="15" hidden="false" customHeight="false" outlineLevel="0" collapsed="false">
      <c r="A1139" s="29" t="n">
        <v>105282</v>
      </c>
      <c r="B1139" s="29" t="s">
        <v>1766</v>
      </c>
      <c r="C1139" s="29" t="s">
        <v>1767</v>
      </c>
      <c r="D1139" s="29" t="s">
        <v>247</v>
      </c>
      <c r="E1139" s="29" t="s">
        <v>248</v>
      </c>
      <c r="F1139" s="29" t="s">
        <v>69</v>
      </c>
      <c r="G1139" s="29" t="s">
        <v>67</v>
      </c>
      <c r="H1139" s="29" t="s">
        <v>1844</v>
      </c>
      <c r="I1139" s="29" t="s">
        <v>1848</v>
      </c>
      <c r="J1139" s="29" t="n">
        <v>0</v>
      </c>
      <c r="K1139" s="29" t="n">
        <v>0</v>
      </c>
      <c r="L1139" s="29" t="s">
        <v>1846</v>
      </c>
    </row>
    <row r="1140" customFormat="false" ht="15" hidden="false" customHeight="false" outlineLevel="0" collapsed="false">
      <c r="A1140" s="29" t="n">
        <v>105282</v>
      </c>
      <c r="B1140" s="29" t="s">
        <v>1766</v>
      </c>
      <c r="C1140" s="29" t="s">
        <v>1767</v>
      </c>
      <c r="D1140" s="29" t="s">
        <v>265</v>
      </c>
      <c r="E1140" s="29" t="s">
        <v>266</v>
      </c>
      <c r="F1140" s="29" t="s">
        <v>69</v>
      </c>
      <c r="G1140" s="29" t="s">
        <v>67</v>
      </c>
      <c r="H1140" s="29" t="s">
        <v>1379</v>
      </c>
      <c r="I1140" s="29" t="s">
        <v>1863</v>
      </c>
      <c r="J1140" s="29" t="n">
        <v>0</v>
      </c>
      <c r="K1140" s="29" t="n">
        <v>0</v>
      </c>
      <c r="L1140" s="29" t="s">
        <v>1846</v>
      </c>
    </row>
    <row r="1141" customFormat="false" ht="15" hidden="false" customHeight="false" outlineLevel="0" collapsed="false">
      <c r="A1141" s="29" t="n">
        <v>105282</v>
      </c>
      <c r="B1141" s="29" t="s">
        <v>1766</v>
      </c>
      <c r="C1141" s="29" t="s">
        <v>1767</v>
      </c>
      <c r="D1141" s="29" t="s">
        <v>291</v>
      </c>
      <c r="E1141" s="29" t="s">
        <v>292</v>
      </c>
      <c r="F1141" s="29" t="s">
        <v>69</v>
      </c>
      <c r="G1141" s="29" t="s">
        <v>68</v>
      </c>
      <c r="H1141" s="29" t="s">
        <v>1381</v>
      </c>
      <c r="I1141" s="29" t="s">
        <v>1845</v>
      </c>
      <c r="J1141" s="29" t="n">
        <v>0</v>
      </c>
      <c r="K1141" s="29" t="n">
        <v>0</v>
      </c>
      <c r="L1141" s="29" t="s">
        <v>1846</v>
      </c>
    </row>
    <row r="1142" customFormat="false" ht="15" hidden="false" customHeight="false" outlineLevel="0" collapsed="false">
      <c r="A1142" s="29" t="n">
        <v>105282</v>
      </c>
      <c r="B1142" s="29" t="s">
        <v>1766</v>
      </c>
      <c r="C1142" s="29" t="s">
        <v>1767</v>
      </c>
      <c r="D1142" s="29" t="s">
        <v>297</v>
      </c>
      <c r="E1142" s="29" t="s">
        <v>298</v>
      </c>
      <c r="F1142" s="29" t="s">
        <v>69</v>
      </c>
      <c r="G1142" s="29" t="s">
        <v>68</v>
      </c>
      <c r="H1142" s="29" t="s">
        <v>1381</v>
      </c>
      <c r="I1142" s="29" t="s">
        <v>1848</v>
      </c>
      <c r="J1142" s="29" t="n">
        <v>0</v>
      </c>
      <c r="K1142" s="29" t="n">
        <v>0</v>
      </c>
      <c r="L1142" s="29" t="s">
        <v>1846</v>
      </c>
    </row>
    <row r="1143" customFormat="false" ht="15" hidden="false" customHeight="false" outlineLevel="0" collapsed="false">
      <c r="A1143" s="29" t="n">
        <v>105282</v>
      </c>
      <c r="B1143" s="29" t="s">
        <v>1766</v>
      </c>
      <c r="C1143" s="29" t="s">
        <v>1767</v>
      </c>
      <c r="D1143" s="29" t="s">
        <v>433</v>
      </c>
      <c r="E1143" s="29" t="s">
        <v>434</v>
      </c>
      <c r="F1143" s="29" t="s">
        <v>82</v>
      </c>
      <c r="G1143" s="29" t="s">
        <v>66</v>
      </c>
      <c r="H1143" s="29" t="s">
        <v>1379</v>
      </c>
      <c r="I1143" s="29" t="s">
        <v>1863</v>
      </c>
      <c r="J1143" s="29" t="n">
        <v>0</v>
      </c>
      <c r="K1143" s="29" t="n">
        <v>0</v>
      </c>
      <c r="L1143" s="29" t="s">
        <v>1846</v>
      </c>
    </row>
    <row r="1144" customFormat="false" ht="15" hidden="false" customHeight="false" outlineLevel="0" collapsed="false">
      <c r="A1144" s="29" t="n">
        <v>105282</v>
      </c>
      <c r="B1144" s="29" t="s">
        <v>1766</v>
      </c>
      <c r="C1144" s="29" t="s">
        <v>1767</v>
      </c>
      <c r="D1144" s="29" t="s">
        <v>508</v>
      </c>
      <c r="E1144" s="29" t="s">
        <v>509</v>
      </c>
      <c r="F1144" s="29" t="s">
        <v>88</v>
      </c>
      <c r="G1144" s="29" t="s">
        <v>67</v>
      </c>
      <c r="H1144" s="29" t="s">
        <v>1844</v>
      </c>
      <c r="I1144" s="29" t="s">
        <v>1847</v>
      </c>
      <c r="J1144" s="29" t="n">
        <v>0</v>
      </c>
      <c r="K1144" s="29" t="n">
        <v>0</v>
      </c>
      <c r="L1144" s="29" t="s">
        <v>1846</v>
      </c>
    </row>
    <row r="1145" customFormat="false" ht="15" hidden="false" customHeight="false" outlineLevel="0" collapsed="false">
      <c r="A1145" s="29" t="n">
        <v>105282</v>
      </c>
      <c r="B1145" s="29" t="s">
        <v>1766</v>
      </c>
      <c r="C1145" s="29" t="s">
        <v>1767</v>
      </c>
      <c r="D1145" s="29" t="s">
        <v>515</v>
      </c>
      <c r="E1145" s="29" t="s">
        <v>516</v>
      </c>
      <c r="F1145" s="29" t="s">
        <v>88</v>
      </c>
      <c r="G1145" s="29" t="s">
        <v>67</v>
      </c>
      <c r="H1145" s="29" t="s">
        <v>1844</v>
      </c>
      <c r="I1145" s="29" t="s">
        <v>1847</v>
      </c>
      <c r="J1145" s="29" t="n">
        <v>0</v>
      </c>
      <c r="K1145" s="29" t="n">
        <v>0</v>
      </c>
      <c r="L1145" s="29" t="s">
        <v>1846</v>
      </c>
    </row>
    <row r="1146" customFormat="false" ht="15" hidden="false" customHeight="false" outlineLevel="0" collapsed="false">
      <c r="A1146" s="29" t="n">
        <v>105282</v>
      </c>
      <c r="B1146" s="29" t="s">
        <v>1766</v>
      </c>
      <c r="C1146" s="29" t="s">
        <v>1767</v>
      </c>
      <c r="D1146" s="29" t="s">
        <v>530</v>
      </c>
      <c r="E1146" s="29" t="s">
        <v>531</v>
      </c>
      <c r="F1146" s="29" t="s">
        <v>88</v>
      </c>
      <c r="G1146" s="29" t="s">
        <v>68</v>
      </c>
      <c r="H1146" s="29" t="s">
        <v>1381</v>
      </c>
      <c r="I1146" s="29" t="s">
        <v>1847</v>
      </c>
      <c r="J1146" s="29" t="n">
        <v>0</v>
      </c>
      <c r="K1146" s="29" t="n">
        <v>0</v>
      </c>
      <c r="L1146" s="29" t="s">
        <v>1846</v>
      </c>
    </row>
    <row r="1147" customFormat="false" ht="15" hidden="false" customHeight="false" outlineLevel="0" collapsed="false">
      <c r="A1147" s="29" t="n">
        <v>105282</v>
      </c>
      <c r="B1147" s="29" t="s">
        <v>1766</v>
      </c>
      <c r="C1147" s="29" t="s">
        <v>1767</v>
      </c>
      <c r="D1147" s="29" t="s">
        <v>536</v>
      </c>
      <c r="E1147" s="29" t="s">
        <v>537</v>
      </c>
      <c r="F1147" s="29" t="s">
        <v>88</v>
      </c>
      <c r="G1147" s="29" t="s">
        <v>68</v>
      </c>
      <c r="H1147" s="29" t="s">
        <v>1381</v>
      </c>
      <c r="I1147" s="29" t="s">
        <v>1847</v>
      </c>
      <c r="J1147" s="29" t="n">
        <v>0</v>
      </c>
      <c r="K1147" s="29" t="n">
        <v>0</v>
      </c>
      <c r="L1147" s="29" t="s">
        <v>1846</v>
      </c>
    </row>
    <row r="1148" customFormat="false" ht="15" hidden="false" customHeight="false" outlineLevel="0" collapsed="false">
      <c r="A1148" s="29" t="n">
        <v>105282</v>
      </c>
      <c r="B1148" s="29" t="s">
        <v>1766</v>
      </c>
      <c r="C1148" s="29" t="s">
        <v>1767</v>
      </c>
      <c r="D1148" s="29" t="s">
        <v>543</v>
      </c>
      <c r="E1148" s="29" t="s">
        <v>544</v>
      </c>
      <c r="F1148" s="29" t="s">
        <v>88</v>
      </c>
      <c r="G1148" s="29" t="s">
        <v>68</v>
      </c>
      <c r="H1148" s="29" t="s">
        <v>1381</v>
      </c>
      <c r="I1148" s="29" t="s">
        <v>1847</v>
      </c>
      <c r="J1148" s="29" t="n">
        <v>0</v>
      </c>
      <c r="K1148" s="29" t="n">
        <v>0</v>
      </c>
      <c r="L1148" s="29" t="s">
        <v>1846</v>
      </c>
    </row>
    <row r="1149" customFormat="false" ht="15" hidden="false" customHeight="false" outlineLevel="0" collapsed="false">
      <c r="A1149" s="29" t="n">
        <v>105282</v>
      </c>
      <c r="B1149" s="29" t="s">
        <v>1766</v>
      </c>
      <c r="C1149" s="29" t="s">
        <v>1767</v>
      </c>
      <c r="D1149" s="29" t="s">
        <v>551</v>
      </c>
      <c r="E1149" s="29" t="s">
        <v>552</v>
      </c>
      <c r="F1149" s="29" t="s">
        <v>88</v>
      </c>
      <c r="G1149" s="29" t="s">
        <v>68</v>
      </c>
      <c r="H1149" s="29" t="s">
        <v>1381</v>
      </c>
      <c r="I1149" s="29" t="s">
        <v>1847</v>
      </c>
      <c r="J1149" s="29" t="n">
        <v>0</v>
      </c>
      <c r="K1149" s="29" t="n">
        <v>0</v>
      </c>
      <c r="L1149" s="29" t="s">
        <v>1846</v>
      </c>
    </row>
    <row r="1150" customFormat="false" ht="15" hidden="false" customHeight="false" outlineLevel="0" collapsed="false">
      <c r="A1150" s="29" t="n">
        <v>105282</v>
      </c>
      <c r="B1150" s="29" t="s">
        <v>1766</v>
      </c>
      <c r="C1150" s="29" t="s">
        <v>1767</v>
      </c>
      <c r="D1150" s="29" t="s">
        <v>572</v>
      </c>
      <c r="E1150" s="29" t="s">
        <v>573</v>
      </c>
      <c r="F1150" s="29" t="s">
        <v>88</v>
      </c>
      <c r="G1150" s="29" t="s">
        <v>68</v>
      </c>
      <c r="H1150" s="29" t="s">
        <v>1381</v>
      </c>
      <c r="I1150" s="29" t="s">
        <v>1847</v>
      </c>
      <c r="J1150" s="29" t="n">
        <v>0</v>
      </c>
      <c r="K1150" s="29" t="n">
        <v>0</v>
      </c>
      <c r="L1150" s="29" t="s">
        <v>1846</v>
      </c>
    </row>
    <row r="1151" customFormat="false" ht="15" hidden="false" customHeight="false" outlineLevel="0" collapsed="false">
      <c r="A1151" s="29" t="n">
        <v>105282</v>
      </c>
      <c r="B1151" s="29" t="s">
        <v>1766</v>
      </c>
      <c r="C1151" s="29" t="s">
        <v>1767</v>
      </c>
      <c r="D1151" s="29" t="s">
        <v>668</v>
      </c>
      <c r="E1151" s="29" t="s">
        <v>669</v>
      </c>
      <c r="F1151" s="29" t="s">
        <v>105</v>
      </c>
      <c r="G1151" s="29" t="s">
        <v>66</v>
      </c>
      <c r="H1151" s="29" t="s">
        <v>1379</v>
      </c>
      <c r="I1151" s="29" t="s">
        <v>1863</v>
      </c>
      <c r="J1151" s="29" t="n">
        <v>0</v>
      </c>
      <c r="K1151" s="29" t="n">
        <v>0</v>
      </c>
      <c r="L1151" s="29" t="s">
        <v>1846</v>
      </c>
    </row>
    <row r="1152" customFormat="false" ht="15" hidden="false" customHeight="false" outlineLevel="0" collapsed="false">
      <c r="A1152" s="29" t="n">
        <v>105282</v>
      </c>
      <c r="B1152" s="29" t="s">
        <v>1766</v>
      </c>
      <c r="C1152" s="29" t="s">
        <v>1767</v>
      </c>
      <c r="D1152" s="29" t="s">
        <v>680</v>
      </c>
      <c r="E1152" s="29" t="s">
        <v>681</v>
      </c>
      <c r="F1152" s="29" t="s">
        <v>105</v>
      </c>
      <c r="G1152" s="29" t="s">
        <v>66</v>
      </c>
      <c r="H1152" s="29" t="s">
        <v>1379</v>
      </c>
      <c r="I1152" s="29" t="s">
        <v>1863</v>
      </c>
      <c r="J1152" s="29" t="n">
        <v>0</v>
      </c>
      <c r="K1152" s="29" t="n">
        <v>0</v>
      </c>
      <c r="L1152" s="29" t="s">
        <v>1846</v>
      </c>
    </row>
    <row r="1153" customFormat="false" ht="15" hidden="false" customHeight="false" outlineLevel="0" collapsed="false">
      <c r="A1153" s="29" t="n">
        <v>105282</v>
      </c>
      <c r="B1153" s="29" t="s">
        <v>1766</v>
      </c>
      <c r="C1153" s="29" t="s">
        <v>1767</v>
      </c>
      <c r="D1153" s="29" t="s">
        <v>711</v>
      </c>
      <c r="E1153" s="29" t="s">
        <v>712</v>
      </c>
      <c r="F1153" s="29" t="s">
        <v>116</v>
      </c>
      <c r="G1153" s="29" t="s">
        <v>66</v>
      </c>
      <c r="H1153" s="29" t="s">
        <v>1379</v>
      </c>
      <c r="I1153" s="29" t="s">
        <v>1863</v>
      </c>
      <c r="J1153" s="29" t="n">
        <v>0</v>
      </c>
      <c r="K1153" s="29" t="n">
        <v>0</v>
      </c>
      <c r="L1153" s="29" t="s">
        <v>1846</v>
      </c>
    </row>
    <row r="1154" customFormat="false" ht="15" hidden="false" customHeight="false" outlineLevel="0" collapsed="false">
      <c r="A1154" s="29" t="n">
        <v>105381</v>
      </c>
      <c r="B1154" s="29" t="s">
        <v>1771</v>
      </c>
      <c r="C1154" s="29" t="s">
        <v>1772</v>
      </c>
      <c r="D1154" s="29" t="s">
        <v>247</v>
      </c>
      <c r="E1154" s="29" t="s">
        <v>248</v>
      </c>
      <c r="F1154" s="29" t="s">
        <v>69</v>
      </c>
      <c r="G1154" s="29" t="s">
        <v>67</v>
      </c>
      <c r="H1154" s="29" t="s">
        <v>1844</v>
      </c>
      <c r="I1154" s="29" t="s">
        <v>1848</v>
      </c>
      <c r="J1154" s="29" t="n">
        <v>0</v>
      </c>
      <c r="K1154" s="29" t="n">
        <v>0</v>
      </c>
      <c r="L1154" s="29" t="s">
        <v>1846</v>
      </c>
    </row>
    <row r="1155" customFormat="false" ht="15" hidden="false" customHeight="false" outlineLevel="0" collapsed="false">
      <c r="A1155" s="29" t="n">
        <v>105381</v>
      </c>
      <c r="B1155" s="29" t="s">
        <v>1771</v>
      </c>
      <c r="C1155" s="29" t="s">
        <v>1772</v>
      </c>
      <c r="D1155" s="29" t="s">
        <v>265</v>
      </c>
      <c r="E1155" s="29" t="s">
        <v>266</v>
      </c>
      <c r="F1155" s="29" t="s">
        <v>69</v>
      </c>
      <c r="G1155" s="29" t="s">
        <v>67</v>
      </c>
      <c r="H1155" s="29" t="s">
        <v>1379</v>
      </c>
      <c r="I1155" s="29" t="s">
        <v>1863</v>
      </c>
      <c r="J1155" s="29" t="n">
        <v>0</v>
      </c>
      <c r="K1155" s="29" t="n">
        <v>0</v>
      </c>
      <c r="L1155" s="29" t="s">
        <v>1846</v>
      </c>
    </row>
    <row r="1156" customFormat="false" ht="15" hidden="false" customHeight="false" outlineLevel="0" collapsed="false">
      <c r="A1156" s="29" t="n">
        <v>105381</v>
      </c>
      <c r="B1156" s="29" t="s">
        <v>1771</v>
      </c>
      <c r="C1156" s="29" t="s">
        <v>1772</v>
      </c>
      <c r="D1156" s="29" t="s">
        <v>291</v>
      </c>
      <c r="E1156" s="29" t="s">
        <v>292</v>
      </c>
      <c r="F1156" s="29" t="s">
        <v>69</v>
      </c>
      <c r="G1156" s="29" t="s">
        <v>68</v>
      </c>
      <c r="H1156" s="29" t="s">
        <v>1381</v>
      </c>
      <c r="I1156" s="29" t="s">
        <v>1845</v>
      </c>
      <c r="J1156" s="29" t="n">
        <v>0</v>
      </c>
      <c r="K1156" s="29" t="n">
        <v>0</v>
      </c>
      <c r="L1156" s="29" t="s">
        <v>1846</v>
      </c>
    </row>
    <row r="1157" customFormat="false" ht="15" hidden="false" customHeight="false" outlineLevel="0" collapsed="false">
      <c r="A1157" s="29" t="n">
        <v>105381</v>
      </c>
      <c r="B1157" s="29" t="s">
        <v>1771</v>
      </c>
      <c r="C1157" s="29" t="s">
        <v>1772</v>
      </c>
      <c r="D1157" s="29" t="s">
        <v>297</v>
      </c>
      <c r="E1157" s="29" t="s">
        <v>298</v>
      </c>
      <c r="F1157" s="29" t="s">
        <v>69</v>
      </c>
      <c r="G1157" s="29" t="s">
        <v>68</v>
      </c>
      <c r="H1157" s="29" t="s">
        <v>1381</v>
      </c>
      <c r="I1157" s="29" t="s">
        <v>1848</v>
      </c>
      <c r="J1157" s="29" t="n">
        <v>0</v>
      </c>
      <c r="K1157" s="29" t="n">
        <v>0</v>
      </c>
      <c r="L1157" s="29" t="s">
        <v>1846</v>
      </c>
    </row>
    <row r="1158" customFormat="false" ht="15" hidden="false" customHeight="false" outlineLevel="0" collapsed="false">
      <c r="A1158" s="29" t="n">
        <v>105381</v>
      </c>
      <c r="B1158" s="29" t="s">
        <v>1771</v>
      </c>
      <c r="C1158" s="29" t="s">
        <v>1772</v>
      </c>
      <c r="D1158" s="29" t="s">
        <v>433</v>
      </c>
      <c r="E1158" s="29" t="s">
        <v>434</v>
      </c>
      <c r="F1158" s="29" t="s">
        <v>82</v>
      </c>
      <c r="G1158" s="29" t="s">
        <v>66</v>
      </c>
      <c r="H1158" s="29" t="s">
        <v>1379</v>
      </c>
      <c r="I1158" s="29" t="s">
        <v>1863</v>
      </c>
      <c r="J1158" s="29" t="n">
        <v>0</v>
      </c>
      <c r="K1158" s="29" t="n">
        <v>0</v>
      </c>
      <c r="L1158" s="29" t="s">
        <v>1846</v>
      </c>
    </row>
    <row r="1159" customFormat="false" ht="15" hidden="false" customHeight="false" outlineLevel="0" collapsed="false">
      <c r="A1159" s="29" t="n">
        <v>105381</v>
      </c>
      <c r="B1159" s="29" t="s">
        <v>1771</v>
      </c>
      <c r="C1159" s="29" t="s">
        <v>1772</v>
      </c>
      <c r="D1159" s="29" t="s">
        <v>523</v>
      </c>
      <c r="E1159" s="29" t="s">
        <v>524</v>
      </c>
      <c r="F1159" s="29" t="s">
        <v>88</v>
      </c>
      <c r="G1159" s="29" t="s">
        <v>67</v>
      </c>
      <c r="H1159" s="29" t="s">
        <v>1844</v>
      </c>
      <c r="I1159" s="29" t="s">
        <v>1856</v>
      </c>
      <c r="J1159" s="29" t="n">
        <v>0</v>
      </c>
      <c r="K1159" s="29" t="n">
        <v>0</v>
      </c>
      <c r="L1159" s="29" t="s">
        <v>1846</v>
      </c>
    </row>
    <row r="1160" customFormat="false" ht="15" hidden="false" customHeight="false" outlineLevel="0" collapsed="false">
      <c r="A1160" s="29" t="n">
        <v>105381</v>
      </c>
      <c r="B1160" s="29" t="s">
        <v>1771</v>
      </c>
      <c r="C1160" s="29" t="s">
        <v>1772</v>
      </c>
      <c r="D1160" s="29" t="s">
        <v>551</v>
      </c>
      <c r="E1160" s="29" t="s">
        <v>552</v>
      </c>
      <c r="F1160" s="29" t="s">
        <v>88</v>
      </c>
      <c r="G1160" s="29" t="s">
        <v>68</v>
      </c>
      <c r="H1160" s="29" t="s">
        <v>1381</v>
      </c>
      <c r="I1160" s="29" t="s">
        <v>1856</v>
      </c>
      <c r="J1160" s="29" t="n">
        <v>0</v>
      </c>
      <c r="K1160" s="29" t="n">
        <v>0</v>
      </c>
      <c r="L1160" s="29" t="s">
        <v>1846</v>
      </c>
    </row>
    <row r="1161" customFormat="false" ht="15" hidden="false" customHeight="false" outlineLevel="0" collapsed="false">
      <c r="A1161" s="29" t="n">
        <v>105381</v>
      </c>
      <c r="B1161" s="29" t="s">
        <v>1771</v>
      </c>
      <c r="C1161" s="29" t="s">
        <v>1772</v>
      </c>
      <c r="D1161" s="29" t="s">
        <v>558</v>
      </c>
      <c r="E1161" s="29" t="s">
        <v>559</v>
      </c>
      <c r="F1161" s="29" t="s">
        <v>88</v>
      </c>
      <c r="G1161" s="29" t="s">
        <v>68</v>
      </c>
      <c r="H1161" s="29" t="s">
        <v>1381</v>
      </c>
      <c r="I1161" s="29" t="s">
        <v>1856</v>
      </c>
      <c r="J1161" s="29" t="n">
        <v>0</v>
      </c>
      <c r="K1161" s="29" t="n">
        <v>0</v>
      </c>
      <c r="L1161" s="29" t="s">
        <v>1846</v>
      </c>
    </row>
    <row r="1162" customFormat="false" ht="15" hidden="false" customHeight="false" outlineLevel="0" collapsed="false">
      <c r="A1162" s="29" t="n">
        <v>105381</v>
      </c>
      <c r="B1162" s="29" t="s">
        <v>1771</v>
      </c>
      <c r="C1162" s="29" t="s">
        <v>1772</v>
      </c>
      <c r="D1162" s="29" t="s">
        <v>565</v>
      </c>
      <c r="E1162" s="29" t="s">
        <v>566</v>
      </c>
      <c r="F1162" s="29" t="s">
        <v>88</v>
      </c>
      <c r="G1162" s="29" t="s">
        <v>68</v>
      </c>
      <c r="H1162" s="29" t="s">
        <v>1381</v>
      </c>
      <c r="I1162" s="29" t="s">
        <v>1856</v>
      </c>
      <c r="J1162" s="29" t="n">
        <v>0</v>
      </c>
      <c r="K1162" s="29" t="n">
        <v>0</v>
      </c>
      <c r="L1162" s="29" t="s">
        <v>1846</v>
      </c>
    </row>
    <row r="1163" customFormat="false" ht="15" hidden="false" customHeight="false" outlineLevel="0" collapsed="false">
      <c r="A1163" s="29" t="n">
        <v>105381</v>
      </c>
      <c r="B1163" s="29" t="s">
        <v>1771</v>
      </c>
      <c r="C1163" s="29" t="s">
        <v>1772</v>
      </c>
      <c r="D1163" s="29" t="s">
        <v>668</v>
      </c>
      <c r="E1163" s="29" t="s">
        <v>669</v>
      </c>
      <c r="F1163" s="29" t="s">
        <v>105</v>
      </c>
      <c r="G1163" s="29" t="s">
        <v>66</v>
      </c>
      <c r="H1163" s="29" t="s">
        <v>1379</v>
      </c>
      <c r="I1163" s="29" t="s">
        <v>1863</v>
      </c>
      <c r="J1163" s="29" t="n">
        <v>0</v>
      </c>
      <c r="K1163" s="29" t="n">
        <v>0</v>
      </c>
      <c r="L1163" s="29" t="s">
        <v>1846</v>
      </c>
    </row>
    <row r="1164" customFormat="false" ht="15" hidden="false" customHeight="false" outlineLevel="0" collapsed="false">
      <c r="A1164" s="29" t="n">
        <v>105381</v>
      </c>
      <c r="B1164" s="29" t="s">
        <v>1771</v>
      </c>
      <c r="C1164" s="29" t="s">
        <v>1772</v>
      </c>
      <c r="D1164" s="29" t="s">
        <v>680</v>
      </c>
      <c r="E1164" s="29" t="s">
        <v>681</v>
      </c>
      <c r="F1164" s="29" t="s">
        <v>105</v>
      </c>
      <c r="G1164" s="29" t="s">
        <v>66</v>
      </c>
      <c r="H1164" s="29" t="s">
        <v>1379</v>
      </c>
      <c r="I1164" s="29" t="s">
        <v>1863</v>
      </c>
      <c r="J1164" s="29" t="n">
        <v>0</v>
      </c>
      <c r="K1164" s="29" t="n">
        <v>0</v>
      </c>
      <c r="L1164" s="29" t="s">
        <v>1846</v>
      </c>
    </row>
    <row r="1165" customFormat="false" ht="15" hidden="false" customHeight="false" outlineLevel="0" collapsed="false">
      <c r="A1165" s="29" t="n">
        <v>105381</v>
      </c>
      <c r="B1165" s="29" t="s">
        <v>1771</v>
      </c>
      <c r="C1165" s="29" t="s">
        <v>1772</v>
      </c>
      <c r="D1165" s="29" t="s">
        <v>711</v>
      </c>
      <c r="E1165" s="29" t="s">
        <v>712</v>
      </c>
      <c r="F1165" s="29" t="s">
        <v>116</v>
      </c>
      <c r="G1165" s="29" t="s">
        <v>66</v>
      </c>
      <c r="H1165" s="29" t="s">
        <v>1379</v>
      </c>
      <c r="I1165" s="29" t="s">
        <v>1863</v>
      </c>
      <c r="J1165" s="29" t="n">
        <v>0</v>
      </c>
      <c r="K1165" s="29" t="n">
        <v>0</v>
      </c>
      <c r="L1165" s="29" t="s">
        <v>1846</v>
      </c>
    </row>
    <row r="1166" customFormat="false" ht="15" hidden="false" customHeight="false" outlineLevel="0" collapsed="false">
      <c r="A1166" s="29" t="n">
        <v>115700</v>
      </c>
      <c r="B1166" s="29" t="s">
        <v>1778</v>
      </c>
      <c r="C1166" s="29" t="s">
        <v>1779</v>
      </c>
      <c r="D1166" s="29" t="s">
        <v>247</v>
      </c>
      <c r="E1166" s="29" t="s">
        <v>248</v>
      </c>
      <c r="F1166" s="29" t="s">
        <v>69</v>
      </c>
      <c r="G1166" s="29" t="s">
        <v>67</v>
      </c>
      <c r="H1166" s="29" t="s">
        <v>1844</v>
      </c>
      <c r="I1166" s="29" t="s">
        <v>1848</v>
      </c>
      <c r="J1166" s="29" t="n">
        <v>0</v>
      </c>
      <c r="K1166" s="29" t="n">
        <v>0</v>
      </c>
      <c r="L1166" s="29" t="s">
        <v>1846</v>
      </c>
    </row>
    <row r="1167" customFormat="false" ht="15" hidden="false" customHeight="false" outlineLevel="0" collapsed="false">
      <c r="A1167" s="29" t="n">
        <v>115700</v>
      </c>
      <c r="B1167" s="29" t="s">
        <v>1778</v>
      </c>
      <c r="C1167" s="29" t="s">
        <v>1779</v>
      </c>
      <c r="D1167" s="29" t="s">
        <v>265</v>
      </c>
      <c r="E1167" s="29" t="s">
        <v>266</v>
      </c>
      <c r="F1167" s="29" t="s">
        <v>69</v>
      </c>
      <c r="G1167" s="29" t="s">
        <v>67</v>
      </c>
      <c r="H1167" s="29" t="s">
        <v>1379</v>
      </c>
      <c r="I1167" s="29" t="s">
        <v>1863</v>
      </c>
      <c r="J1167" s="29" t="n">
        <v>0</v>
      </c>
      <c r="K1167" s="29" t="n">
        <v>0</v>
      </c>
      <c r="L1167" s="29" t="s">
        <v>1846</v>
      </c>
    </row>
    <row r="1168" customFormat="false" ht="15" hidden="false" customHeight="false" outlineLevel="0" collapsed="false">
      <c r="A1168" s="29" t="n">
        <v>115700</v>
      </c>
      <c r="B1168" s="29" t="s">
        <v>1778</v>
      </c>
      <c r="C1168" s="29" t="s">
        <v>1779</v>
      </c>
      <c r="D1168" s="29" t="s">
        <v>291</v>
      </c>
      <c r="E1168" s="29" t="s">
        <v>292</v>
      </c>
      <c r="F1168" s="29" t="s">
        <v>69</v>
      </c>
      <c r="G1168" s="29" t="s">
        <v>68</v>
      </c>
      <c r="H1168" s="29" t="s">
        <v>1381</v>
      </c>
      <c r="I1168" s="29" t="s">
        <v>1845</v>
      </c>
      <c r="J1168" s="29" t="n">
        <v>0</v>
      </c>
      <c r="K1168" s="29" t="n">
        <v>0</v>
      </c>
      <c r="L1168" s="29" t="s">
        <v>1846</v>
      </c>
    </row>
    <row r="1169" customFormat="false" ht="15" hidden="false" customHeight="false" outlineLevel="0" collapsed="false">
      <c r="A1169" s="29" t="n">
        <v>115700</v>
      </c>
      <c r="B1169" s="29" t="s">
        <v>1778</v>
      </c>
      <c r="C1169" s="29" t="s">
        <v>1779</v>
      </c>
      <c r="D1169" s="29" t="s">
        <v>297</v>
      </c>
      <c r="E1169" s="29" t="s">
        <v>298</v>
      </c>
      <c r="F1169" s="29" t="s">
        <v>69</v>
      </c>
      <c r="G1169" s="29" t="s">
        <v>68</v>
      </c>
      <c r="H1169" s="29" t="s">
        <v>1381</v>
      </c>
      <c r="I1169" s="29" t="s">
        <v>1848</v>
      </c>
      <c r="J1169" s="29" t="n">
        <v>0</v>
      </c>
      <c r="K1169" s="29" t="n">
        <v>0</v>
      </c>
      <c r="L1169" s="29" t="s">
        <v>1846</v>
      </c>
    </row>
    <row r="1170" customFormat="false" ht="15" hidden="false" customHeight="false" outlineLevel="0" collapsed="false">
      <c r="A1170" s="29" t="n">
        <v>115700</v>
      </c>
      <c r="B1170" s="29" t="s">
        <v>1778</v>
      </c>
      <c r="C1170" s="29" t="s">
        <v>1779</v>
      </c>
      <c r="D1170" s="29" t="s">
        <v>343</v>
      </c>
      <c r="E1170" s="29" t="s">
        <v>344</v>
      </c>
      <c r="F1170" s="29" t="s">
        <v>76</v>
      </c>
      <c r="G1170" s="29" t="s">
        <v>67</v>
      </c>
      <c r="H1170" s="29" t="s">
        <v>1844</v>
      </c>
      <c r="I1170" s="29" t="s">
        <v>1873</v>
      </c>
      <c r="J1170" s="29" t="n">
        <v>0</v>
      </c>
      <c r="K1170" s="29" t="n">
        <v>0</v>
      </c>
      <c r="L1170" s="29" t="s">
        <v>1846</v>
      </c>
    </row>
    <row r="1171" customFormat="false" ht="15" hidden="false" customHeight="false" outlineLevel="0" collapsed="false">
      <c r="A1171" s="29" t="n">
        <v>115700</v>
      </c>
      <c r="B1171" s="29" t="s">
        <v>1778</v>
      </c>
      <c r="C1171" s="29" t="s">
        <v>1779</v>
      </c>
      <c r="D1171" s="29" t="s">
        <v>360</v>
      </c>
      <c r="E1171" s="29" t="s">
        <v>361</v>
      </c>
      <c r="F1171" s="29" t="s">
        <v>76</v>
      </c>
      <c r="G1171" s="29" t="s">
        <v>67</v>
      </c>
      <c r="H1171" s="29" t="s">
        <v>1844</v>
      </c>
      <c r="I1171" s="29" t="s">
        <v>1873</v>
      </c>
      <c r="J1171" s="29" t="n">
        <v>0</v>
      </c>
      <c r="K1171" s="29" t="n">
        <v>0</v>
      </c>
      <c r="L1171" s="29" t="s">
        <v>1846</v>
      </c>
    </row>
    <row r="1172" customFormat="false" ht="15" hidden="false" customHeight="false" outlineLevel="0" collapsed="false">
      <c r="A1172" s="29" t="n">
        <v>115700</v>
      </c>
      <c r="B1172" s="29" t="s">
        <v>1778</v>
      </c>
      <c r="C1172" s="29" t="s">
        <v>1779</v>
      </c>
      <c r="D1172" s="29" t="s">
        <v>371</v>
      </c>
      <c r="E1172" s="29" t="s">
        <v>372</v>
      </c>
      <c r="F1172" s="29" t="s">
        <v>76</v>
      </c>
      <c r="G1172" s="29" t="s">
        <v>67</v>
      </c>
      <c r="H1172" s="29" t="s">
        <v>1844</v>
      </c>
      <c r="I1172" s="29" t="s">
        <v>1873</v>
      </c>
      <c r="J1172" s="29" t="n">
        <v>0</v>
      </c>
      <c r="K1172" s="29" t="n">
        <v>0</v>
      </c>
      <c r="L1172" s="29" t="s">
        <v>1846</v>
      </c>
    </row>
    <row r="1173" customFormat="false" ht="15" hidden="false" customHeight="false" outlineLevel="0" collapsed="false">
      <c r="A1173" s="29" t="n">
        <v>115700</v>
      </c>
      <c r="B1173" s="29" t="s">
        <v>1778</v>
      </c>
      <c r="C1173" s="29" t="s">
        <v>1779</v>
      </c>
      <c r="D1173" s="29" t="s">
        <v>379</v>
      </c>
      <c r="E1173" s="29" t="s">
        <v>380</v>
      </c>
      <c r="F1173" s="29" t="s">
        <v>76</v>
      </c>
      <c r="G1173" s="29" t="s">
        <v>68</v>
      </c>
      <c r="H1173" s="29" t="s">
        <v>1381</v>
      </c>
      <c r="I1173" s="29" t="s">
        <v>1874</v>
      </c>
      <c r="J1173" s="29" t="n">
        <v>0</v>
      </c>
      <c r="K1173" s="29" t="n">
        <v>0</v>
      </c>
      <c r="L1173" s="29" t="s">
        <v>1846</v>
      </c>
    </row>
    <row r="1174" customFormat="false" ht="15" hidden="false" customHeight="false" outlineLevel="0" collapsed="false">
      <c r="A1174" s="29" t="n">
        <v>115700</v>
      </c>
      <c r="B1174" s="29" t="s">
        <v>1778</v>
      </c>
      <c r="C1174" s="29" t="s">
        <v>1779</v>
      </c>
      <c r="D1174" s="29" t="s">
        <v>411</v>
      </c>
      <c r="E1174" s="29" t="s">
        <v>412</v>
      </c>
      <c r="F1174" s="29" t="s">
        <v>76</v>
      </c>
      <c r="G1174" s="29" t="s">
        <v>68</v>
      </c>
      <c r="H1174" s="29" t="s">
        <v>1381</v>
      </c>
      <c r="I1174" s="29" t="s">
        <v>1873</v>
      </c>
      <c r="J1174" s="29" t="n">
        <v>0</v>
      </c>
      <c r="K1174" s="29" t="n">
        <v>0</v>
      </c>
      <c r="L1174" s="29" t="s">
        <v>1846</v>
      </c>
    </row>
    <row r="1175" customFormat="false" ht="15" hidden="false" customHeight="false" outlineLevel="0" collapsed="false">
      <c r="A1175" s="29" t="n">
        <v>115700</v>
      </c>
      <c r="B1175" s="29" t="s">
        <v>1778</v>
      </c>
      <c r="C1175" s="29" t="s">
        <v>1779</v>
      </c>
      <c r="D1175" s="29" t="s">
        <v>433</v>
      </c>
      <c r="E1175" s="29" t="s">
        <v>434</v>
      </c>
      <c r="F1175" s="29" t="s">
        <v>82</v>
      </c>
      <c r="G1175" s="29" t="s">
        <v>66</v>
      </c>
      <c r="H1175" s="29" t="s">
        <v>1379</v>
      </c>
      <c r="I1175" s="29" t="s">
        <v>1863</v>
      </c>
      <c r="J1175" s="29" t="n">
        <v>0</v>
      </c>
      <c r="K1175" s="29" t="n">
        <v>0</v>
      </c>
      <c r="L1175" s="29" t="s">
        <v>1846</v>
      </c>
    </row>
    <row r="1176" customFormat="false" ht="15" hidden="false" customHeight="false" outlineLevel="0" collapsed="false">
      <c r="A1176" s="29" t="n">
        <v>115700</v>
      </c>
      <c r="B1176" s="29" t="s">
        <v>1778</v>
      </c>
      <c r="C1176" s="29" t="s">
        <v>1779</v>
      </c>
      <c r="D1176" s="29" t="s">
        <v>668</v>
      </c>
      <c r="E1176" s="29" t="s">
        <v>669</v>
      </c>
      <c r="F1176" s="29" t="s">
        <v>105</v>
      </c>
      <c r="G1176" s="29" t="s">
        <v>66</v>
      </c>
      <c r="H1176" s="29" t="s">
        <v>1379</v>
      </c>
      <c r="I1176" s="29" t="s">
        <v>1863</v>
      </c>
      <c r="J1176" s="29" t="n">
        <v>0</v>
      </c>
      <c r="K1176" s="29" t="n">
        <v>0</v>
      </c>
      <c r="L1176" s="29" t="s">
        <v>1846</v>
      </c>
    </row>
    <row r="1177" customFormat="false" ht="15" hidden="false" customHeight="false" outlineLevel="0" collapsed="false">
      <c r="A1177" s="29" t="n">
        <v>115700</v>
      </c>
      <c r="B1177" s="29" t="s">
        <v>1778</v>
      </c>
      <c r="C1177" s="29" t="s">
        <v>1779</v>
      </c>
      <c r="D1177" s="29" t="s">
        <v>680</v>
      </c>
      <c r="E1177" s="29" t="s">
        <v>681</v>
      </c>
      <c r="F1177" s="29" t="s">
        <v>105</v>
      </c>
      <c r="G1177" s="29" t="s">
        <v>66</v>
      </c>
      <c r="H1177" s="29" t="s">
        <v>1379</v>
      </c>
      <c r="I1177" s="29" t="s">
        <v>1863</v>
      </c>
      <c r="J1177" s="29" t="n">
        <v>0</v>
      </c>
      <c r="K1177" s="29" t="n">
        <v>0</v>
      </c>
      <c r="L1177" s="29" t="s">
        <v>1846</v>
      </c>
    </row>
    <row r="1178" customFormat="false" ht="15" hidden="false" customHeight="false" outlineLevel="0" collapsed="false">
      <c r="A1178" s="29" t="n">
        <v>115700</v>
      </c>
      <c r="B1178" s="29" t="s">
        <v>1778</v>
      </c>
      <c r="C1178" s="29" t="s">
        <v>1779</v>
      </c>
      <c r="D1178" s="29" t="s">
        <v>711</v>
      </c>
      <c r="E1178" s="29" t="s">
        <v>712</v>
      </c>
      <c r="F1178" s="29" t="s">
        <v>116</v>
      </c>
      <c r="G1178" s="29" t="s">
        <v>66</v>
      </c>
      <c r="H1178" s="29" t="s">
        <v>1379</v>
      </c>
      <c r="I1178" s="29" t="s">
        <v>1863</v>
      </c>
      <c r="J1178" s="29" t="n">
        <v>0</v>
      </c>
      <c r="K1178" s="29" t="n">
        <v>0</v>
      </c>
      <c r="L1178" s="29" t="s">
        <v>1846</v>
      </c>
    </row>
    <row r="1179" customFormat="false" ht="15" hidden="false" customHeight="false" outlineLevel="0" collapsed="false">
      <c r="A1179" s="29" t="n">
        <v>116875</v>
      </c>
      <c r="B1179" s="29" t="s">
        <v>1784</v>
      </c>
      <c r="C1179" s="29" t="s">
        <v>1785</v>
      </c>
      <c r="D1179" s="29" t="s">
        <v>247</v>
      </c>
      <c r="E1179" s="29" t="s">
        <v>248</v>
      </c>
      <c r="F1179" s="29" t="s">
        <v>69</v>
      </c>
      <c r="G1179" s="29" t="s">
        <v>67</v>
      </c>
      <c r="H1179" s="29" t="s">
        <v>1844</v>
      </c>
      <c r="I1179" s="29" t="s">
        <v>1848</v>
      </c>
      <c r="J1179" s="29" t="n">
        <v>0</v>
      </c>
      <c r="K1179" s="29" t="n">
        <v>0</v>
      </c>
      <c r="L1179" s="29" t="s">
        <v>1846</v>
      </c>
    </row>
    <row r="1180" customFormat="false" ht="15" hidden="false" customHeight="false" outlineLevel="0" collapsed="false">
      <c r="A1180" s="29" t="n">
        <v>116875</v>
      </c>
      <c r="B1180" s="29" t="s">
        <v>1784</v>
      </c>
      <c r="C1180" s="29" t="s">
        <v>1785</v>
      </c>
      <c r="D1180" s="29" t="s">
        <v>265</v>
      </c>
      <c r="E1180" s="29" t="s">
        <v>266</v>
      </c>
      <c r="F1180" s="29" t="s">
        <v>69</v>
      </c>
      <c r="G1180" s="29" t="s">
        <v>67</v>
      </c>
      <c r="H1180" s="29" t="s">
        <v>1379</v>
      </c>
      <c r="I1180" s="29" t="s">
        <v>1863</v>
      </c>
      <c r="J1180" s="29" t="n">
        <v>0</v>
      </c>
      <c r="K1180" s="29" t="n">
        <v>0</v>
      </c>
      <c r="L1180" s="29" t="s">
        <v>1846</v>
      </c>
    </row>
    <row r="1181" customFormat="false" ht="15" hidden="false" customHeight="false" outlineLevel="0" collapsed="false">
      <c r="A1181" s="29" t="n">
        <v>116875</v>
      </c>
      <c r="B1181" s="29" t="s">
        <v>1784</v>
      </c>
      <c r="C1181" s="29" t="s">
        <v>1785</v>
      </c>
      <c r="D1181" s="29" t="s">
        <v>297</v>
      </c>
      <c r="E1181" s="29" t="s">
        <v>298</v>
      </c>
      <c r="F1181" s="29" t="s">
        <v>69</v>
      </c>
      <c r="G1181" s="29" t="s">
        <v>68</v>
      </c>
      <c r="H1181" s="29" t="s">
        <v>1381</v>
      </c>
      <c r="I1181" s="29" t="s">
        <v>1848</v>
      </c>
      <c r="J1181" s="29" t="n">
        <v>0</v>
      </c>
      <c r="K1181" s="29" t="n">
        <v>0</v>
      </c>
      <c r="L1181" s="29" t="s">
        <v>1846</v>
      </c>
    </row>
    <row r="1182" customFormat="false" ht="15" hidden="false" customHeight="false" outlineLevel="0" collapsed="false">
      <c r="A1182" s="29" t="n">
        <v>116875</v>
      </c>
      <c r="B1182" s="29" t="s">
        <v>1784</v>
      </c>
      <c r="C1182" s="29" t="s">
        <v>1785</v>
      </c>
      <c r="D1182" s="29" t="s">
        <v>433</v>
      </c>
      <c r="E1182" s="29" t="s">
        <v>434</v>
      </c>
      <c r="F1182" s="29" t="s">
        <v>82</v>
      </c>
      <c r="G1182" s="29" t="s">
        <v>66</v>
      </c>
      <c r="H1182" s="29" t="s">
        <v>1379</v>
      </c>
      <c r="I1182" s="29" t="s">
        <v>1863</v>
      </c>
      <c r="J1182" s="29" t="n">
        <v>0</v>
      </c>
      <c r="K1182" s="29" t="n">
        <v>0</v>
      </c>
      <c r="L1182" s="29" t="s">
        <v>1846</v>
      </c>
    </row>
    <row r="1183" customFormat="false" ht="15" hidden="false" customHeight="false" outlineLevel="0" collapsed="false">
      <c r="A1183" s="29" t="n">
        <v>116875</v>
      </c>
      <c r="B1183" s="29" t="s">
        <v>1784</v>
      </c>
      <c r="C1183" s="29" t="s">
        <v>1785</v>
      </c>
      <c r="D1183" s="29" t="s">
        <v>668</v>
      </c>
      <c r="E1183" s="29" t="s">
        <v>669</v>
      </c>
      <c r="F1183" s="29" t="s">
        <v>105</v>
      </c>
      <c r="G1183" s="29" t="s">
        <v>66</v>
      </c>
      <c r="H1183" s="29" t="s">
        <v>1379</v>
      </c>
      <c r="I1183" s="29" t="s">
        <v>1863</v>
      </c>
      <c r="J1183" s="29" t="n">
        <v>0</v>
      </c>
      <c r="K1183" s="29" t="n">
        <v>0</v>
      </c>
      <c r="L1183" s="29" t="s">
        <v>1846</v>
      </c>
    </row>
    <row r="1184" customFormat="false" ht="15" hidden="false" customHeight="false" outlineLevel="0" collapsed="false">
      <c r="A1184" s="29" t="n">
        <v>116875</v>
      </c>
      <c r="B1184" s="29" t="s">
        <v>1784</v>
      </c>
      <c r="C1184" s="29" t="s">
        <v>1785</v>
      </c>
      <c r="D1184" s="29" t="s">
        <v>680</v>
      </c>
      <c r="E1184" s="29" t="s">
        <v>681</v>
      </c>
      <c r="F1184" s="29" t="s">
        <v>105</v>
      </c>
      <c r="G1184" s="29" t="s">
        <v>66</v>
      </c>
      <c r="H1184" s="29" t="s">
        <v>1379</v>
      </c>
      <c r="I1184" s="29" t="s">
        <v>1863</v>
      </c>
      <c r="J1184" s="29" t="n">
        <v>0</v>
      </c>
      <c r="K1184" s="29" t="n">
        <v>0</v>
      </c>
      <c r="L1184" s="29" t="s">
        <v>1846</v>
      </c>
    </row>
    <row r="1185" customFormat="false" ht="15" hidden="false" customHeight="false" outlineLevel="0" collapsed="false">
      <c r="A1185" s="29" t="n">
        <v>116875</v>
      </c>
      <c r="B1185" s="29" t="s">
        <v>1784</v>
      </c>
      <c r="C1185" s="29" t="s">
        <v>1785</v>
      </c>
      <c r="D1185" s="29" t="s">
        <v>693</v>
      </c>
      <c r="E1185" s="29" t="s">
        <v>694</v>
      </c>
      <c r="F1185" s="29" t="s">
        <v>110</v>
      </c>
      <c r="G1185" s="29" t="s">
        <v>67</v>
      </c>
      <c r="H1185" s="29" t="s">
        <v>1844</v>
      </c>
      <c r="I1185" s="29" t="s">
        <v>1883</v>
      </c>
      <c r="J1185" s="29" t="n">
        <v>0</v>
      </c>
      <c r="K1185" s="29" t="n">
        <v>0</v>
      </c>
      <c r="L1185" s="29" t="s">
        <v>1846</v>
      </c>
    </row>
    <row r="1186" customFormat="false" ht="15" hidden="false" customHeight="false" outlineLevel="0" collapsed="false">
      <c r="A1186" s="29" t="n">
        <v>116875</v>
      </c>
      <c r="B1186" s="29" t="s">
        <v>1784</v>
      </c>
      <c r="C1186" s="29" t="s">
        <v>1785</v>
      </c>
      <c r="D1186" s="29" t="s">
        <v>699</v>
      </c>
      <c r="E1186" s="29" t="s">
        <v>700</v>
      </c>
      <c r="F1186" s="29" t="s">
        <v>110</v>
      </c>
      <c r="G1186" s="29" t="s">
        <v>68</v>
      </c>
      <c r="H1186" s="29" t="s">
        <v>1381</v>
      </c>
      <c r="I1186" s="29" t="s">
        <v>1870</v>
      </c>
      <c r="J1186" s="29" t="n">
        <v>0</v>
      </c>
      <c r="K1186" s="29" t="n">
        <v>0</v>
      </c>
      <c r="L1186" s="29" t="s">
        <v>1846</v>
      </c>
    </row>
    <row r="1187" customFormat="false" ht="15" hidden="false" customHeight="false" outlineLevel="0" collapsed="false">
      <c r="A1187" s="29" t="n">
        <v>116875</v>
      </c>
      <c r="B1187" s="29" t="s">
        <v>1784</v>
      </c>
      <c r="C1187" s="29" t="s">
        <v>1785</v>
      </c>
      <c r="D1187" s="29" t="s">
        <v>707</v>
      </c>
      <c r="E1187" s="29" t="s">
        <v>708</v>
      </c>
      <c r="F1187" s="29" t="s">
        <v>110</v>
      </c>
      <c r="G1187" s="29" t="s">
        <v>68</v>
      </c>
      <c r="H1187" s="29" t="s">
        <v>1381</v>
      </c>
      <c r="I1187" s="29" t="s">
        <v>1883</v>
      </c>
      <c r="J1187" s="29" t="n">
        <v>0</v>
      </c>
      <c r="K1187" s="29" t="n">
        <v>0</v>
      </c>
      <c r="L1187" s="29" t="s">
        <v>1846</v>
      </c>
    </row>
    <row r="1188" customFormat="false" ht="15" hidden="false" customHeight="false" outlineLevel="0" collapsed="false">
      <c r="A1188" s="29" t="n">
        <v>116875</v>
      </c>
      <c r="B1188" s="29" t="s">
        <v>1784</v>
      </c>
      <c r="C1188" s="29" t="s">
        <v>1785</v>
      </c>
      <c r="D1188" s="29" t="s">
        <v>711</v>
      </c>
      <c r="E1188" s="29" t="s">
        <v>712</v>
      </c>
      <c r="F1188" s="29" t="s">
        <v>116</v>
      </c>
      <c r="G1188" s="29" t="s">
        <v>66</v>
      </c>
      <c r="H1188" s="29" t="s">
        <v>1379</v>
      </c>
      <c r="I1188" s="29" t="s">
        <v>1863</v>
      </c>
      <c r="J1188" s="29" t="n">
        <v>0</v>
      </c>
      <c r="K1188" s="29" t="n">
        <v>0</v>
      </c>
      <c r="L1188" s="29" t="s">
        <v>1846</v>
      </c>
    </row>
    <row r="1189" customFormat="false" ht="15" hidden="false" customHeight="false" outlineLevel="0" collapsed="false">
      <c r="A1189" s="29" t="n">
        <v>140631</v>
      </c>
      <c r="B1189" s="29" t="s">
        <v>1790</v>
      </c>
      <c r="C1189" s="29" t="s">
        <v>1791</v>
      </c>
      <c r="D1189" s="29" t="s">
        <v>247</v>
      </c>
      <c r="E1189" s="29" t="s">
        <v>248</v>
      </c>
      <c r="F1189" s="29" t="s">
        <v>69</v>
      </c>
      <c r="G1189" s="29" t="s">
        <v>67</v>
      </c>
      <c r="H1189" s="29" t="s">
        <v>1844</v>
      </c>
      <c r="I1189" s="29" t="s">
        <v>1848</v>
      </c>
      <c r="J1189" s="29" t="n">
        <v>0</v>
      </c>
      <c r="K1189" s="29" t="n">
        <v>0</v>
      </c>
      <c r="L1189" s="29" t="s">
        <v>1849</v>
      </c>
    </row>
    <row r="1190" customFormat="false" ht="15" hidden="false" customHeight="false" outlineLevel="0" collapsed="false">
      <c r="A1190" s="29" t="n">
        <v>140631</v>
      </c>
      <c r="B1190" s="29" t="s">
        <v>1790</v>
      </c>
      <c r="C1190" s="29" t="s">
        <v>1791</v>
      </c>
      <c r="D1190" s="29" t="s">
        <v>265</v>
      </c>
      <c r="E1190" s="29" t="s">
        <v>266</v>
      </c>
      <c r="F1190" s="29" t="s">
        <v>69</v>
      </c>
      <c r="G1190" s="29" t="s">
        <v>67</v>
      </c>
      <c r="H1190" s="29" t="s">
        <v>1379</v>
      </c>
      <c r="I1190" s="29" t="s">
        <v>1863</v>
      </c>
      <c r="J1190" s="29" t="n">
        <v>0</v>
      </c>
      <c r="K1190" s="29" t="n">
        <v>1</v>
      </c>
      <c r="L1190" s="29" t="s">
        <v>1866</v>
      </c>
    </row>
    <row r="1191" customFormat="false" ht="15" hidden="false" customHeight="false" outlineLevel="0" collapsed="false">
      <c r="A1191" s="29" t="n">
        <v>140631</v>
      </c>
      <c r="B1191" s="29" t="s">
        <v>1790</v>
      </c>
      <c r="C1191" s="29" t="s">
        <v>1791</v>
      </c>
      <c r="D1191" s="29" t="s">
        <v>277</v>
      </c>
      <c r="E1191" s="29" t="s">
        <v>278</v>
      </c>
      <c r="F1191" s="29" t="s">
        <v>69</v>
      </c>
      <c r="G1191" s="29" t="s">
        <v>67</v>
      </c>
      <c r="H1191" s="29" t="s">
        <v>1844</v>
      </c>
      <c r="I1191" s="29" t="s">
        <v>1851</v>
      </c>
      <c r="J1191" s="29" t="n">
        <v>0</v>
      </c>
      <c r="K1191" s="29" t="n">
        <v>0</v>
      </c>
      <c r="L1191" s="29" t="s">
        <v>1849</v>
      </c>
    </row>
    <row r="1192" customFormat="false" ht="15" hidden="false" customHeight="false" outlineLevel="0" collapsed="false">
      <c r="A1192" s="29" t="n">
        <v>140631</v>
      </c>
      <c r="B1192" s="29" t="s">
        <v>1790</v>
      </c>
      <c r="C1192" s="29" t="s">
        <v>1791</v>
      </c>
      <c r="D1192" s="29" t="s">
        <v>291</v>
      </c>
      <c r="E1192" s="29" t="s">
        <v>292</v>
      </c>
      <c r="F1192" s="29" t="s">
        <v>69</v>
      </c>
      <c r="G1192" s="29" t="s">
        <v>68</v>
      </c>
      <c r="H1192" s="29" t="s">
        <v>1381</v>
      </c>
      <c r="I1192" s="29" t="s">
        <v>1845</v>
      </c>
      <c r="J1192" s="29" t="n">
        <v>0</v>
      </c>
      <c r="K1192" s="29" t="n">
        <v>1</v>
      </c>
      <c r="L1192" s="29" t="s">
        <v>1866</v>
      </c>
    </row>
    <row r="1193" customFormat="false" ht="15" hidden="false" customHeight="false" outlineLevel="0" collapsed="false">
      <c r="A1193" s="29" t="n">
        <v>140631</v>
      </c>
      <c r="B1193" s="29" t="s">
        <v>1790</v>
      </c>
      <c r="C1193" s="29" t="s">
        <v>1791</v>
      </c>
      <c r="D1193" s="29" t="s">
        <v>297</v>
      </c>
      <c r="E1193" s="29" t="s">
        <v>298</v>
      </c>
      <c r="F1193" s="29" t="s">
        <v>69</v>
      </c>
      <c r="G1193" s="29" t="s">
        <v>68</v>
      </c>
      <c r="H1193" s="29" t="s">
        <v>1381</v>
      </c>
      <c r="I1193" s="29" t="s">
        <v>1848</v>
      </c>
      <c r="J1193" s="29" t="n">
        <v>0</v>
      </c>
      <c r="K1193" s="29" t="n">
        <v>0</v>
      </c>
      <c r="L1193" s="29" t="s">
        <v>1849</v>
      </c>
    </row>
    <row r="1194" customFormat="false" ht="15" hidden="false" customHeight="false" outlineLevel="0" collapsed="false">
      <c r="A1194" s="29" t="n">
        <v>140631</v>
      </c>
      <c r="B1194" s="29" t="s">
        <v>1790</v>
      </c>
      <c r="C1194" s="29" t="s">
        <v>1791</v>
      </c>
      <c r="D1194" s="29" t="s">
        <v>304</v>
      </c>
      <c r="E1194" s="29" t="s">
        <v>305</v>
      </c>
      <c r="F1194" s="29" t="s">
        <v>69</v>
      </c>
      <c r="G1194" s="29" t="s">
        <v>68</v>
      </c>
      <c r="H1194" s="29" t="s">
        <v>1381</v>
      </c>
      <c r="I1194" s="29" t="s">
        <v>1851</v>
      </c>
      <c r="J1194" s="29" t="n">
        <v>0</v>
      </c>
      <c r="K1194" s="29" t="n">
        <v>0</v>
      </c>
      <c r="L1194" s="29" t="s">
        <v>1849</v>
      </c>
    </row>
    <row r="1195" customFormat="false" ht="15" hidden="false" customHeight="false" outlineLevel="0" collapsed="false">
      <c r="A1195" s="29" t="n">
        <v>140631</v>
      </c>
      <c r="B1195" s="29" t="s">
        <v>1790</v>
      </c>
      <c r="C1195" s="29" t="s">
        <v>1791</v>
      </c>
      <c r="D1195" s="29" t="s">
        <v>311</v>
      </c>
      <c r="E1195" s="29" t="s">
        <v>312</v>
      </c>
      <c r="F1195" s="29" t="s">
        <v>69</v>
      </c>
      <c r="G1195" s="29" t="s">
        <v>68</v>
      </c>
      <c r="H1195" s="29" t="s">
        <v>1381</v>
      </c>
      <c r="I1195" s="29" t="s">
        <v>1851</v>
      </c>
      <c r="J1195" s="29" t="n">
        <v>0</v>
      </c>
      <c r="K1195" s="29" t="n">
        <v>0</v>
      </c>
      <c r="L1195" s="29" t="s">
        <v>1849</v>
      </c>
    </row>
    <row r="1196" customFormat="false" ht="15" hidden="false" customHeight="false" outlineLevel="0" collapsed="false">
      <c r="A1196" s="29" t="n">
        <v>140631</v>
      </c>
      <c r="B1196" s="29" t="s">
        <v>1790</v>
      </c>
      <c r="C1196" s="29" t="s">
        <v>1791</v>
      </c>
      <c r="D1196" s="29" t="s">
        <v>433</v>
      </c>
      <c r="E1196" s="29" t="s">
        <v>434</v>
      </c>
      <c r="F1196" s="29" t="s">
        <v>82</v>
      </c>
      <c r="G1196" s="29" t="s">
        <v>66</v>
      </c>
      <c r="H1196" s="29" t="s">
        <v>1379</v>
      </c>
      <c r="I1196" s="29" t="s">
        <v>1863</v>
      </c>
      <c r="J1196" s="29" t="n">
        <v>0</v>
      </c>
      <c r="K1196" s="29" t="n">
        <v>0</v>
      </c>
      <c r="L1196" s="29" t="s">
        <v>1849</v>
      </c>
    </row>
    <row r="1197" customFormat="false" ht="15" hidden="false" customHeight="false" outlineLevel="0" collapsed="false">
      <c r="A1197" s="29" t="n">
        <v>140631</v>
      </c>
      <c r="B1197" s="29" t="s">
        <v>1790</v>
      </c>
      <c r="C1197" s="29" t="s">
        <v>1791</v>
      </c>
      <c r="D1197" s="29" t="s">
        <v>523</v>
      </c>
      <c r="E1197" s="29" t="s">
        <v>524</v>
      </c>
      <c r="F1197" s="29" t="s">
        <v>88</v>
      </c>
      <c r="G1197" s="29" t="s">
        <v>67</v>
      </c>
      <c r="H1197" s="29" t="s">
        <v>1844</v>
      </c>
      <c r="I1197" s="29" t="s">
        <v>1856</v>
      </c>
      <c r="J1197" s="29" t="n">
        <v>0</v>
      </c>
      <c r="K1197" s="29" t="n">
        <v>1</v>
      </c>
      <c r="L1197" s="29" t="s">
        <v>1866</v>
      </c>
    </row>
    <row r="1198" customFormat="false" ht="15" hidden="false" customHeight="false" outlineLevel="0" collapsed="false">
      <c r="A1198" s="29" t="n">
        <v>140631</v>
      </c>
      <c r="B1198" s="29" t="s">
        <v>1790</v>
      </c>
      <c r="C1198" s="29" t="s">
        <v>1791</v>
      </c>
      <c r="D1198" s="29" t="s">
        <v>551</v>
      </c>
      <c r="E1198" s="29" t="s">
        <v>552</v>
      </c>
      <c r="F1198" s="29" t="s">
        <v>88</v>
      </c>
      <c r="G1198" s="29" t="s">
        <v>68</v>
      </c>
      <c r="H1198" s="29" t="s">
        <v>1381</v>
      </c>
      <c r="I1198" s="29" t="s">
        <v>1856</v>
      </c>
      <c r="J1198" s="29" t="n">
        <v>0</v>
      </c>
      <c r="K1198" s="29" t="n">
        <v>0</v>
      </c>
      <c r="L1198" s="29" t="s">
        <v>1849</v>
      </c>
    </row>
    <row r="1199" customFormat="false" ht="15" hidden="false" customHeight="false" outlineLevel="0" collapsed="false">
      <c r="A1199" s="29" t="n">
        <v>140631</v>
      </c>
      <c r="B1199" s="29" t="s">
        <v>1790</v>
      </c>
      <c r="C1199" s="29" t="s">
        <v>1791</v>
      </c>
      <c r="D1199" s="29" t="s">
        <v>558</v>
      </c>
      <c r="E1199" s="29" t="s">
        <v>559</v>
      </c>
      <c r="F1199" s="29" t="s">
        <v>88</v>
      </c>
      <c r="G1199" s="29" t="s">
        <v>68</v>
      </c>
      <c r="H1199" s="29" t="s">
        <v>1381</v>
      </c>
      <c r="I1199" s="29" t="s">
        <v>1856</v>
      </c>
      <c r="J1199" s="29" t="n">
        <v>0</v>
      </c>
      <c r="K1199" s="29" t="n">
        <v>4</v>
      </c>
      <c r="L1199" s="29" t="s">
        <v>1866</v>
      </c>
    </row>
    <row r="1200" customFormat="false" ht="15" hidden="false" customHeight="false" outlineLevel="0" collapsed="false">
      <c r="A1200" s="29" t="n">
        <v>140631</v>
      </c>
      <c r="B1200" s="29" t="s">
        <v>1790</v>
      </c>
      <c r="C1200" s="29" t="s">
        <v>1791</v>
      </c>
      <c r="D1200" s="29" t="s">
        <v>565</v>
      </c>
      <c r="E1200" s="29" t="s">
        <v>566</v>
      </c>
      <c r="F1200" s="29" t="s">
        <v>88</v>
      </c>
      <c r="G1200" s="29" t="s">
        <v>68</v>
      </c>
      <c r="H1200" s="29" t="s">
        <v>1381</v>
      </c>
      <c r="I1200" s="29" t="s">
        <v>1856</v>
      </c>
      <c r="J1200" s="29" t="n">
        <v>0</v>
      </c>
      <c r="K1200" s="29" t="n">
        <v>4</v>
      </c>
      <c r="L1200" s="29" t="s">
        <v>1866</v>
      </c>
    </row>
    <row r="1201" customFormat="false" ht="15" hidden="false" customHeight="false" outlineLevel="0" collapsed="false">
      <c r="A1201" s="29" t="n">
        <v>140631</v>
      </c>
      <c r="B1201" s="29" t="s">
        <v>1790</v>
      </c>
      <c r="C1201" s="29" t="s">
        <v>1791</v>
      </c>
      <c r="D1201" s="29" t="s">
        <v>668</v>
      </c>
      <c r="E1201" s="29" t="s">
        <v>669</v>
      </c>
      <c r="F1201" s="29" t="s">
        <v>105</v>
      </c>
      <c r="G1201" s="29" t="s">
        <v>66</v>
      </c>
      <c r="H1201" s="29" t="s">
        <v>1379</v>
      </c>
      <c r="I1201" s="29" t="s">
        <v>1863</v>
      </c>
      <c r="J1201" s="29" t="n">
        <v>0</v>
      </c>
      <c r="K1201" s="29" t="n">
        <v>0</v>
      </c>
      <c r="L1201" s="29" t="s">
        <v>1849</v>
      </c>
    </row>
    <row r="1202" customFormat="false" ht="15" hidden="false" customHeight="false" outlineLevel="0" collapsed="false">
      <c r="A1202" s="29" t="n">
        <v>140631</v>
      </c>
      <c r="B1202" s="29" t="s">
        <v>1790</v>
      </c>
      <c r="C1202" s="29" t="s">
        <v>1791</v>
      </c>
      <c r="D1202" s="29" t="s">
        <v>680</v>
      </c>
      <c r="E1202" s="29" t="s">
        <v>681</v>
      </c>
      <c r="F1202" s="29" t="s">
        <v>105</v>
      </c>
      <c r="G1202" s="29" t="s">
        <v>66</v>
      </c>
      <c r="H1202" s="29" t="s">
        <v>1379</v>
      </c>
      <c r="I1202" s="29" t="s">
        <v>1863</v>
      </c>
      <c r="J1202" s="29" t="n">
        <v>0</v>
      </c>
      <c r="K1202" s="29" t="n">
        <v>0</v>
      </c>
      <c r="L1202" s="29" t="s">
        <v>1849</v>
      </c>
    </row>
    <row r="1203" customFormat="false" ht="15" hidden="false" customHeight="false" outlineLevel="0" collapsed="false">
      <c r="A1203" s="29" t="n">
        <v>140631</v>
      </c>
      <c r="B1203" s="29" t="s">
        <v>1790</v>
      </c>
      <c r="C1203" s="29" t="s">
        <v>1791</v>
      </c>
      <c r="D1203" s="29" t="s">
        <v>711</v>
      </c>
      <c r="E1203" s="29" t="s">
        <v>712</v>
      </c>
      <c r="F1203" s="29" t="s">
        <v>116</v>
      </c>
      <c r="G1203" s="29" t="s">
        <v>66</v>
      </c>
      <c r="H1203" s="29" t="s">
        <v>1379</v>
      </c>
      <c r="I1203" s="29" t="s">
        <v>1863</v>
      </c>
      <c r="J1203" s="29" t="n">
        <v>0</v>
      </c>
      <c r="K1203" s="29" t="n">
        <v>0</v>
      </c>
      <c r="L1203" s="29" t="s">
        <v>1849</v>
      </c>
    </row>
    <row r="1204" customFormat="false" ht="15" hidden="false" customHeight="false" outlineLevel="0" collapsed="false">
      <c r="A1204" s="29" t="n">
        <v>141041</v>
      </c>
      <c r="B1204" s="29" t="s">
        <v>1795</v>
      </c>
      <c r="C1204" s="29" t="s">
        <v>1796</v>
      </c>
      <c r="D1204" s="29" t="s">
        <v>247</v>
      </c>
      <c r="E1204" s="29" t="s">
        <v>248</v>
      </c>
      <c r="F1204" s="29" t="s">
        <v>69</v>
      </c>
      <c r="G1204" s="29" t="s">
        <v>67</v>
      </c>
      <c r="H1204" s="29" t="s">
        <v>1844</v>
      </c>
      <c r="I1204" s="29" t="s">
        <v>1848</v>
      </c>
      <c r="J1204" s="29" t="n">
        <v>0</v>
      </c>
      <c r="K1204" s="29" t="n">
        <v>0</v>
      </c>
      <c r="L1204" s="29" t="s">
        <v>1849</v>
      </c>
    </row>
    <row r="1205" customFormat="false" ht="15" hidden="false" customHeight="false" outlineLevel="0" collapsed="false">
      <c r="A1205" s="29" t="n">
        <v>141041</v>
      </c>
      <c r="B1205" s="29" t="s">
        <v>1795</v>
      </c>
      <c r="C1205" s="29" t="s">
        <v>1796</v>
      </c>
      <c r="D1205" s="29" t="s">
        <v>265</v>
      </c>
      <c r="E1205" s="29" t="s">
        <v>266</v>
      </c>
      <c r="F1205" s="29" t="s">
        <v>69</v>
      </c>
      <c r="G1205" s="29" t="s">
        <v>67</v>
      </c>
      <c r="H1205" s="29" t="s">
        <v>1379</v>
      </c>
      <c r="I1205" s="29" t="s">
        <v>1863</v>
      </c>
      <c r="J1205" s="29" t="n">
        <v>0</v>
      </c>
      <c r="K1205" s="29" t="n">
        <v>7</v>
      </c>
      <c r="L1205" s="29" t="s">
        <v>1866</v>
      </c>
    </row>
    <row r="1206" customFormat="false" ht="15" hidden="false" customHeight="false" outlineLevel="0" collapsed="false">
      <c r="A1206" s="29" t="n">
        <v>141041</v>
      </c>
      <c r="B1206" s="29" t="s">
        <v>1795</v>
      </c>
      <c r="C1206" s="29" t="s">
        <v>1796</v>
      </c>
      <c r="D1206" s="29" t="s">
        <v>285</v>
      </c>
      <c r="E1206" s="29" t="s">
        <v>286</v>
      </c>
      <c r="F1206" s="29" t="s">
        <v>69</v>
      </c>
      <c r="G1206" s="29" t="s">
        <v>68</v>
      </c>
      <c r="H1206" s="29" t="s">
        <v>1381</v>
      </c>
      <c r="I1206" s="29" t="s">
        <v>1864</v>
      </c>
      <c r="J1206" s="29" t="n">
        <v>0</v>
      </c>
      <c r="K1206" s="29" t="n">
        <v>0</v>
      </c>
      <c r="L1206" s="29" t="s">
        <v>1849</v>
      </c>
    </row>
    <row r="1207" customFormat="false" ht="15" hidden="false" customHeight="false" outlineLevel="0" collapsed="false">
      <c r="A1207" s="29" t="n">
        <v>141041</v>
      </c>
      <c r="B1207" s="29" t="s">
        <v>1795</v>
      </c>
      <c r="C1207" s="29" t="s">
        <v>1796</v>
      </c>
      <c r="D1207" s="29" t="s">
        <v>291</v>
      </c>
      <c r="E1207" s="29" t="s">
        <v>292</v>
      </c>
      <c r="F1207" s="29" t="s">
        <v>69</v>
      </c>
      <c r="G1207" s="29" t="s">
        <v>68</v>
      </c>
      <c r="H1207" s="29" t="s">
        <v>1381</v>
      </c>
      <c r="I1207" s="29" t="s">
        <v>1877</v>
      </c>
      <c r="J1207" s="29" t="n">
        <v>0</v>
      </c>
      <c r="K1207" s="29" t="n">
        <v>23</v>
      </c>
      <c r="L1207" s="29" t="s">
        <v>1866</v>
      </c>
    </row>
    <row r="1208" customFormat="false" ht="15" hidden="false" customHeight="false" outlineLevel="0" collapsed="false">
      <c r="A1208" s="29" t="n">
        <v>141041</v>
      </c>
      <c r="B1208" s="29" t="s">
        <v>1795</v>
      </c>
      <c r="C1208" s="29" t="s">
        <v>1796</v>
      </c>
      <c r="D1208" s="29" t="s">
        <v>297</v>
      </c>
      <c r="E1208" s="29" t="s">
        <v>298</v>
      </c>
      <c r="F1208" s="29" t="s">
        <v>69</v>
      </c>
      <c r="G1208" s="29" t="s">
        <v>68</v>
      </c>
      <c r="H1208" s="29" t="s">
        <v>1381</v>
      </c>
      <c r="I1208" s="29" t="s">
        <v>1848</v>
      </c>
      <c r="J1208" s="29" t="n">
        <v>0</v>
      </c>
      <c r="K1208" s="29" t="n">
        <v>0</v>
      </c>
      <c r="L1208" s="29" t="s">
        <v>1849</v>
      </c>
    </row>
    <row r="1209" customFormat="false" ht="15" hidden="false" customHeight="false" outlineLevel="0" collapsed="false">
      <c r="A1209" s="29" t="n">
        <v>141041</v>
      </c>
      <c r="B1209" s="29" t="s">
        <v>1795</v>
      </c>
      <c r="C1209" s="29" t="s">
        <v>1796</v>
      </c>
      <c r="D1209" s="29" t="s">
        <v>428</v>
      </c>
      <c r="E1209" s="29" t="s">
        <v>429</v>
      </c>
      <c r="F1209" s="29" t="s">
        <v>76</v>
      </c>
      <c r="G1209" s="29" t="s">
        <v>68</v>
      </c>
      <c r="H1209" s="29" t="s">
        <v>1381</v>
      </c>
      <c r="I1209" s="29" t="s">
        <v>1872</v>
      </c>
      <c r="J1209" s="29" t="n">
        <v>0</v>
      </c>
      <c r="K1209" s="29" t="n">
        <v>0</v>
      </c>
      <c r="L1209" s="29" t="s">
        <v>1849</v>
      </c>
    </row>
    <row r="1210" customFormat="false" ht="15" hidden="false" customHeight="false" outlineLevel="0" collapsed="false">
      <c r="A1210" s="29" t="n">
        <v>141041</v>
      </c>
      <c r="B1210" s="29" t="s">
        <v>1795</v>
      </c>
      <c r="C1210" s="29" t="s">
        <v>1796</v>
      </c>
      <c r="D1210" s="29" t="s">
        <v>433</v>
      </c>
      <c r="E1210" s="29" t="s">
        <v>434</v>
      </c>
      <c r="F1210" s="29" t="s">
        <v>82</v>
      </c>
      <c r="G1210" s="29" t="s">
        <v>66</v>
      </c>
      <c r="H1210" s="29" t="s">
        <v>1379</v>
      </c>
      <c r="I1210" s="29" t="s">
        <v>1863</v>
      </c>
      <c r="J1210" s="29" t="n">
        <v>0</v>
      </c>
      <c r="K1210" s="29" t="n">
        <v>0</v>
      </c>
      <c r="L1210" s="29" t="s">
        <v>1849</v>
      </c>
    </row>
    <row r="1211" customFormat="false" ht="15" hidden="false" customHeight="false" outlineLevel="0" collapsed="false">
      <c r="A1211" s="29" t="n">
        <v>141041</v>
      </c>
      <c r="B1211" s="29" t="s">
        <v>1795</v>
      </c>
      <c r="C1211" s="29" t="s">
        <v>1796</v>
      </c>
      <c r="D1211" s="29" t="s">
        <v>508</v>
      </c>
      <c r="E1211" s="29" t="s">
        <v>509</v>
      </c>
      <c r="F1211" s="29" t="s">
        <v>88</v>
      </c>
      <c r="G1211" s="29" t="s">
        <v>67</v>
      </c>
      <c r="H1211" s="29" t="s">
        <v>1844</v>
      </c>
      <c r="I1211" s="29" t="s">
        <v>1847</v>
      </c>
      <c r="J1211" s="29" t="n">
        <v>25</v>
      </c>
      <c r="K1211" s="29" t="n">
        <v>0</v>
      </c>
      <c r="L1211" s="29" t="s">
        <v>1867</v>
      </c>
    </row>
    <row r="1212" customFormat="false" ht="15" hidden="false" customHeight="false" outlineLevel="0" collapsed="false">
      <c r="A1212" s="29" t="n">
        <v>141041</v>
      </c>
      <c r="B1212" s="29" t="s">
        <v>1795</v>
      </c>
      <c r="C1212" s="29" t="s">
        <v>1796</v>
      </c>
      <c r="D1212" s="29" t="s">
        <v>515</v>
      </c>
      <c r="E1212" s="29" t="s">
        <v>516</v>
      </c>
      <c r="F1212" s="29" t="s">
        <v>88</v>
      </c>
      <c r="G1212" s="29" t="s">
        <v>67</v>
      </c>
      <c r="H1212" s="29" t="s">
        <v>1844</v>
      </c>
      <c r="I1212" s="29" t="s">
        <v>1847</v>
      </c>
      <c r="J1212" s="29" t="n">
        <v>0</v>
      </c>
      <c r="K1212" s="29" t="n">
        <v>0</v>
      </c>
      <c r="L1212" s="29" t="s">
        <v>1849</v>
      </c>
    </row>
    <row r="1213" customFormat="false" ht="15" hidden="false" customHeight="false" outlineLevel="0" collapsed="false">
      <c r="A1213" s="29" t="n">
        <v>141041</v>
      </c>
      <c r="B1213" s="29" t="s">
        <v>1795</v>
      </c>
      <c r="C1213" s="29" t="s">
        <v>1796</v>
      </c>
      <c r="D1213" s="29" t="s">
        <v>523</v>
      </c>
      <c r="E1213" s="29" t="s">
        <v>524</v>
      </c>
      <c r="F1213" s="29" t="s">
        <v>88</v>
      </c>
      <c r="G1213" s="29" t="s">
        <v>67</v>
      </c>
      <c r="H1213" s="29" t="s">
        <v>1844</v>
      </c>
      <c r="I1213" s="29" t="s">
        <v>1856</v>
      </c>
      <c r="J1213" s="29" t="n">
        <v>0</v>
      </c>
      <c r="K1213" s="29" t="n">
        <v>0</v>
      </c>
      <c r="L1213" s="29" t="s">
        <v>1849</v>
      </c>
    </row>
    <row r="1214" customFormat="false" ht="15" hidden="false" customHeight="false" outlineLevel="0" collapsed="false">
      <c r="A1214" s="29" t="n">
        <v>141041</v>
      </c>
      <c r="B1214" s="29" t="s">
        <v>1795</v>
      </c>
      <c r="C1214" s="29" t="s">
        <v>1796</v>
      </c>
      <c r="D1214" s="29" t="s">
        <v>530</v>
      </c>
      <c r="E1214" s="29" t="s">
        <v>531</v>
      </c>
      <c r="F1214" s="29" t="s">
        <v>88</v>
      </c>
      <c r="G1214" s="29" t="s">
        <v>68</v>
      </c>
      <c r="H1214" s="29" t="s">
        <v>1381</v>
      </c>
      <c r="I1214" s="29" t="s">
        <v>1847</v>
      </c>
      <c r="J1214" s="29" t="n">
        <v>0</v>
      </c>
      <c r="K1214" s="29" t="n">
        <v>0</v>
      </c>
      <c r="L1214" s="29" t="s">
        <v>1849</v>
      </c>
    </row>
    <row r="1215" customFormat="false" ht="15" hidden="false" customHeight="false" outlineLevel="0" collapsed="false">
      <c r="A1215" s="29" t="n">
        <v>141041</v>
      </c>
      <c r="B1215" s="29" t="s">
        <v>1795</v>
      </c>
      <c r="C1215" s="29" t="s">
        <v>1796</v>
      </c>
      <c r="D1215" s="29" t="s">
        <v>536</v>
      </c>
      <c r="E1215" s="29" t="s">
        <v>537</v>
      </c>
      <c r="F1215" s="29" t="s">
        <v>88</v>
      </c>
      <c r="G1215" s="29" t="s">
        <v>68</v>
      </c>
      <c r="H1215" s="29" t="s">
        <v>1381</v>
      </c>
      <c r="I1215" s="29" t="s">
        <v>1847</v>
      </c>
      <c r="J1215" s="29" t="n">
        <v>0</v>
      </c>
      <c r="K1215" s="29" t="n">
        <v>0</v>
      </c>
      <c r="L1215" s="29" t="s">
        <v>1849</v>
      </c>
    </row>
    <row r="1216" customFormat="false" ht="15" hidden="false" customHeight="false" outlineLevel="0" collapsed="false">
      <c r="A1216" s="29" t="n">
        <v>141041</v>
      </c>
      <c r="B1216" s="29" t="s">
        <v>1795</v>
      </c>
      <c r="C1216" s="29" t="s">
        <v>1796</v>
      </c>
      <c r="D1216" s="29" t="s">
        <v>543</v>
      </c>
      <c r="E1216" s="29" t="s">
        <v>544</v>
      </c>
      <c r="F1216" s="29" t="s">
        <v>88</v>
      </c>
      <c r="G1216" s="29" t="s">
        <v>68</v>
      </c>
      <c r="H1216" s="29" t="s">
        <v>1381</v>
      </c>
      <c r="I1216" s="29" t="s">
        <v>1847</v>
      </c>
      <c r="J1216" s="29" t="n">
        <v>0</v>
      </c>
      <c r="K1216" s="29" t="n">
        <v>0</v>
      </c>
      <c r="L1216" s="29" t="s">
        <v>1849</v>
      </c>
    </row>
    <row r="1217" customFormat="false" ht="15" hidden="false" customHeight="false" outlineLevel="0" collapsed="false">
      <c r="A1217" s="29" t="n">
        <v>141041</v>
      </c>
      <c r="B1217" s="29" t="s">
        <v>1795</v>
      </c>
      <c r="C1217" s="29" t="s">
        <v>1796</v>
      </c>
      <c r="D1217" s="29" t="s">
        <v>551</v>
      </c>
      <c r="E1217" s="29" t="s">
        <v>552</v>
      </c>
      <c r="F1217" s="29" t="s">
        <v>88</v>
      </c>
      <c r="G1217" s="29" t="s">
        <v>68</v>
      </c>
      <c r="H1217" s="29" t="s">
        <v>1381</v>
      </c>
      <c r="I1217" s="29" t="s">
        <v>1857</v>
      </c>
      <c r="J1217" s="29" t="n">
        <v>0</v>
      </c>
      <c r="K1217" s="29" t="n">
        <v>0</v>
      </c>
      <c r="L1217" s="29" t="s">
        <v>1849</v>
      </c>
    </row>
    <row r="1218" customFormat="false" ht="15" hidden="false" customHeight="false" outlineLevel="0" collapsed="false">
      <c r="A1218" s="29" t="n">
        <v>141041</v>
      </c>
      <c r="B1218" s="29" t="s">
        <v>1795</v>
      </c>
      <c r="C1218" s="29" t="s">
        <v>1796</v>
      </c>
      <c r="D1218" s="29" t="s">
        <v>558</v>
      </c>
      <c r="E1218" s="29" t="s">
        <v>559</v>
      </c>
      <c r="F1218" s="29" t="s">
        <v>88</v>
      </c>
      <c r="G1218" s="29" t="s">
        <v>68</v>
      </c>
      <c r="H1218" s="29" t="s">
        <v>1381</v>
      </c>
      <c r="I1218" s="29" t="s">
        <v>1856</v>
      </c>
      <c r="J1218" s="29" t="n">
        <v>0</v>
      </c>
      <c r="K1218" s="29" t="n">
        <v>1</v>
      </c>
      <c r="L1218" s="29" t="s">
        <v>1866</v>
      </c>
    </row>
    <row r="1219" customFormat="false" ht="15" hidden="false" customHeight="false" outlineLevel="0" collapsed="false">
      <c r="A1219" s="29" t="n">
        <v>141041</v>
      </c>
      <c r="B1219" s="29" t="s">
        <v>1795</v>
      </c>
      <c r="C1219" s="29" t="s">
        <v>1796</v>
      </c>
      <c r="D1219" s="29" t="s">
        <v>565</v>
      </c>
      <c r="E1219" s="29" t="s">
        <v>566</v>
      </c>
      <c r="F1219" s="29" t="s">
        <v>88</v>
      </c>
      <c r="G1219" s="29" t="s">
        <v>68</v>
      </c>
      <c r="H1219" s="29" t="s">
        <v>1381</v>
      </c>
      <c r="I1219" s="29" t="s">
        <v>1856</v>
      </c>
      <c r="J1219" s="29" t="n">
        <v>0</v>
      </c>
      <c r="K1219" s="29" t="n">
        <v>1</v>
      </c>
      <c r="L1219" s="29" t="s">
        <v>1866</v>
      </c>
    </row>
    <row r="1220" customFormat="false" ht="15" hidden="false" customHeight="false" outlineLevel="0" collapsed="false">
      <c r="A1220" s="29" t="n">
        <v>141041</v>
      </c>
      <c r="B1220" s="29" t="s">
        <v>1795</v>
      </c>
      <c r="C1220" s="29" t="s">
        <v>1796</v>
      </c>
      <c r="D1220" s="29" t="s">
        <v>572</v>
      </c>
      <c r="E1220" s="29" t="s">
        <v>573</v>
      </c>
      <c r="F1220" s="29" t="s">
        <v>88</v>
      </c>
      <c r="G1220" s="29" t="s">
        <v>68</v>
      </c>
      <c r="H1220" s="29" t="s">
        <v>1381</v>
      </c>
      <c r="I1220" s="29" t="s">
        <v>1847</v>
      </c>
      <c r="J1220" s="29" t="n">
        <v>0</v>
      </c>
      <c r="K1220" s="29" t="n">
        <v>0</v>
      </c>
      <c r="L1220" s="29" t="s">
        <v>1849</v>
      </c>
    </row>
    <row r="1221" customFormat="false" ht="15" hidden="false" customHeight="false" outlineLevel="0" collapsed="false">
      <c r="A1221" s="29" t="n">
        <v>141041</v>
      </c>
      <c r="B1221" s="29" t="s">
        <v>1795</v>
      </c>
      <c r="C1221" s="29" t="s">
        <v>1796</v>
      </c>
      <c r="D1221" s="29" t="s">
        <v>668</v>
      </c>
      <c r="E1221" s="29" t="s">
        <v>669</v>
      </c>
      <c r="F1221" s="29" t="s">
        <v>105</v>
      </c>
      <c r="G1221" s="29" t="s">
        <v>66</v>
      </c>
      <c r="H1221" s="29" t="s">
        <v>1379</v>
      </c>
      <c r="I1221" s="29" t="s">
        <v>1863</v>
      </c>
      <c r="J1221" s="29" t="n">
        <v>0</v>
      </c>
      <c r="K1221" s="29" t="n">
        <v>0</v>
      </c>
      <c r="L1221" s="29" t="s">
        <v>1849</v>
      </c>
    </row>
    <row r="1222" customFormat="false" ht="15" hidden="false" customHeight="false" outlineLevel="0" collapsed="false">
      <c r="A1222" s="29" t="n">
        <v>141041</v>
      </c>
      <c r="B1222" s="29" t="s">
        <v>1795</v>
      </c>
      <c r="C1222" s="29" t="s">
        <v>1796</v>
      </c>
      <c r="D1222" s="29" t="s">
        <v>680</v>
      </c>
      <c r="E1222" s="29" t="s">
        <v>681</v>
      </c>
      <c r="F1222" s="29" t="s">
        <v>105</v>
      </c>
      <c r="G1222" s="29" t="s">
        <v>66</v>
      </c>
      <c r="H1222" s="29" t="s">
        <v>1379</v>
      </c>
      <c r="I1222" s="29" t="s">
        <v>1863</v>
      </c>
      <c r="J1222" s="29" t="n">
        <v>0</v>
      </c>
      <c r="K1222" s="29" t="n">
        <v>0</v>
      </c>
      <c r="L1222" s="29" t="s">
        <v>1849</v>
      </c>
    </row>
    <row r="1223" customFormat="false" ht="15" hidden="false" customHeight="false" outlineLevel="0" collapsed="false">
      <c r="A1223" s="29" t="n">
        <v>141041</v>
      </c>
      <c r="B1223" s="29" t="s">
        <v>1795</v>
      </c>
      <c r="C1223" s="29" t="s">
        <v>1796</v>
      </c>
      <c r="D1223" s="29" t="s">
        <v>689</v>
      </c>
      <c r="E1223" s="29" t="s">
        <v>690</v>
      </c>
      <c r="F1223" s="29" t="s">
        <v>105</v>
      </c>
      <c r="G1223" s="29" t="s">
        <v>67</v>
      </c>
      <c r="H1223" s="29" t="s">
        <v>1844</v>
      </c>
      <c r="I1223" s="29" t="s">
        <v>1872</v>
      </c>
      <c r="J1223" s="29" t="n">
        <v>0</v>
      </c>
      <c r="K1223" s="29" t="n">
        <v>0</v>
      </c>
      <c r="L1223" s="29" t="s">
        <v>1849</v>
      </c>
    </row>
    <row r="1224" customFormat="false" ht="15" hidden="false" customHeight="false" outlineLevel="0" collapsed="false">
      <c r="A1224" s="29" t="n">
        <v>141041</v>
      </c>
      <c r="B1224" s="29" t="s">
        <v>1795</v>
      </c>
      <c r="C1224" s="29" t="s">
        <v>1796</v>
      </c>
      <c r="D1224" s="29" t="s">
        <v>711</v>
      </c>
      <c r="E1224" s="29" t="s">
        <v>712</v>
      </c>
      <c r="F1224" s="29" t="s">
        <v>116</v>
      </c>
      <c r="G1224" s="29" t="s">
        <v>66</v>
      </c>
      <c r="H1224" s="29" t="s">
        <v>1379</v>
      </c>
      <c r="I1224" s="29" t="s">
        <v>1863</v>
      </c>
      <c r="J1224" s="29" t="n">
        <v>0</v>
      </c>
      <c r="K1224" s="29" t="n">
        <v>12</v>
      </c>
      <c r="L1224" s="29" t="s">
        <v>1866</v>
      </c>
    </row>
    <row r="1225" customFormat="false" ht="15" hidden="false" customHeight="false" outlineLevel="0" collapsed="false">
      <c r="A1225" s="29" t="n">
        <v>141061</v>
      </c>
      <c r="B1225" s="29" t="s">
        <v>1766</v>
      </c>
      <c r="C1225" s="29" t="s">
        <v>1800</v>
      </c>
      <c r="D1225" s="29" t="s">
        <v>247</v>
      </c>
      <c r="E1225" s="29" t="s">
        <v>248</v>
      </c>
      <c r="F1225" s="29" t="s">
        <v>69</v>
      </c>
      <c r="G1225" s="29" t="s">
        <v>67</v>
      </c>
      <c r="H1225" s="29" t="s">
        <v>1844</v>
      </c>
      <c r="I1225" s="29" t="s">
        <v>1848</v>
      </c>
      <c r="J1225" s="29" t="n">
        <v>0</v>
      </c>
      <c r="K1225" s="29" t="n">
        <v>0</v>
      </c>
      <c r="L1225" s="29" t="s">
        <v>1849</v>
      </c>
    </row>
    <row r="1226" customFormat="false" ht="15" hidden="false" customHeight="false" outlineLevel="0" collapsed="false">
      <c r="A1226" s="29" t="n">
        <v>141061</v>
      </c>
      <c r="B1226" s="29" t="s">
        <v>1766</v>
      </c>
      <c r="C1226" s="29" t="s">
        <v>1800</v>
      </c>
      <c r="D1226" s="29" t="s">
        <v>265</v>
      </c>
      <c r="E1226" s="29" t="s">
        <v>266</v>
      </c>
      <c r="F1226" s="29" t="s">
        <v>69</v>
      </c>
      <c r="G1226" s="29" t="s">
        <v>67</v>
      </c>
      <c r="H1226" s="29" t="s">
        <v>1379</v>
      </c>
      <c r="I1226" s="29" t="s">
        <v>1863</v>
      </c>
      <c r="J1226" s="29" t="n">
        <v>0</v>
      </c>
      <c r="K1226" s="29" t="n">
        <v>6</v>
      </c>
      <c r="L1226" s="29" t="s">
        <v>1866</v>
      </c>
    </row>
    <row r="1227" customFormat="false" ht="15" hidden="false" customHeight="false" outlineLevel="0" collapsed="false">
      <c r="A1227" s="29" t="n">
        <v>141061</v>
      </c>
      <c r="B1227" s="29" t="s">
        <v>1766</v>
      </c>
      <c r="C1227" s="29" t="s">
        <v>1800</v>
      </c>
      <c r="D1227" s="29" t="s">
        <v>291</v>
      </c>
      <c r="E1227" s="29" t="s">
        <v>292</v>
      </c>
      <c r="F1227" s="29" t="s">
        <v>69</v>
      </c>
      <c r="G1227" s="29" t="s">
        <v>68</v>
      </c>
      <c r="H1227" s="29" t="s">
        <v>1381</v>
      </c>
      <c r="I1227" s="29" t="s">
        <v>1845</v>
      </c>
      <c r="J1227" s="29" t="n">
        <v>0</v>
      </c>
      <c r="K1227" s="29" t="n">
        <v>1</v>
      </c>
      <c r="L1227" s="29" t="s">
        <v>1866</v>
      </c>
    </row>
    <row r="1228" customFormat="false" ht="15" hidden="false" customHeight="false" outlineLevel="0" collapsed="false">
      <c r="A1228" s="29" t="n">
        <v>141061</v>
      </c>
      <c r="B1228" s="29" t="s">
        <v>1766</v>
      </c>
      <c r="C1228" s="29" t="s">
        <v>1800</v>
      </c>
      <c r="D1228" s="29" t="s">
        <v>297</v>
      </c>
      <c r="E1228" s="29" t="s">
        <v>298</v>
      </c>
      <c r="F1228" s="29" t="s">
        <v>69</v>
      </c>
      <c r="G1228" s="29" t="s">
        <v>68</v>
      </c>
      <c r="H1228" s="29" t="s">
        <v>1381</v>
      </c>
      <c r="I1228" s="29" t="s">
        <v>1848</v>
      </c>
      <c r="J1228" s="29" t="n">
        <v>0</v>
      </c>
      <c r="K1228" s="29" t="n">
        <v>0</v>
      </c>
      <c r="L1228" s="29" t="s">
        <v>1849</v>
      </c>
    </row>
    <row r="1229" customFormat="false" ht="15" hidden="false" customHeight="false" outlineLevel="0" collapsed="false">
      <c r="A1229" s="29" t="n">
        <v>141061</v>
      </c>
      <c r="B1229" s="29" t="s">
        <v>1766</v>
      </c>
      <c r="C1229" s="29" t="s">
        <v>1800</v>
      </c>
      <c r="D1229" s="29" t="s">
        <v>428</v>
      </c>
      <c r="E1229" s="29" t="s">
        <v>429</v>
      </c>
      <c r="F1229" s="29" t="s">
        <v>76</v>
      </c>
      <c r="G1229" s="29" t="s">
        <v>68</v>
      </c>
      <c r="H1229" s="29" t="s">
        <v>1381</v>
      </c>
      <c r="I1229" s="29" t="s">
        <v>1872</v>
      </c>
      <c r="J1229" s="29" t="n">
        <v>0</v>
      </c>
      <c r="K1229" s="29" t="n">
        <v>0</v>
      </c>
      <c r="L1229" s="29" t="s">
        <v>1849</v>
      </c>
    </row>
    <row r="1230" customFormat="false" ht="15" hidden="false" customHeight="false" outlineLevel="0" collapsed="false">
      <c r="A1230" s="29" t="n">
        <v>141061</v>
      </c>
      <c r="B1230" s="29" t="s">
        <v>1766</v>
      </c>
      <c r="C1230" s="29" t="s">
        <v>1800</v>
      </c>
      <c r="D1230" s="29" t="s">
        <v>433</v>
      </c>
      <c r="E1230" s="29" t="s">
        <v>434</v>
      </c>
      <c r="F1230" s="29" t="s">
        <v>82</v>
      </c>
      <c r="G1230" s="29" t="s">
        <v>66</v>
      </c>
      <c r="H1230" s="29" t="s">
        <v>1379</v>
      </c>
      <c r="I1230" s="29" t="s">
        <v>1863</v>
      </c>
      <c r="J1230" s="29" t="n">
        <v>0</v>
      </c>
      <c r="K1230" s="29" t="n">
        <v>0</v>
      </c>
      <c r="L1230" s="29" t="s">
        <v>1849</v>
      </c>
    </row>
    <row r="1231" customFormat="false" ht="15" hidden="false" customHeight="false" outlineLevel="0" collapsed="false">
      <c r="A1231" s="29" t="n">
        <v>141061</v>
      </c>
      <c r="B1231" s="29" t="s">
        <v>1766</v>
      </c>
      <c r="C1231" s="29" t="s">
        <v>1800</v>
      </c>
      <c r="D1231" s="29" t="s">
        <v>668</v>
      </c>
      <c r="E1231" s="29" t="s">
        <v>669</v>
      </c>
      <c r="F1231" s="29" t="s">
        <v>105</v>
      </c>
      <c r="G1231" s="29" t="s">
        <v>66</v>
      </c>
      <c r="H1231" s="29" t="s">
        <v>1379</v>
      </c>
      <c r="I1231" s="29" t="s">
        <v>1863</v>
      </c>
      <c r="J1231" s="29" t="n">
        <v>0</v>
      </c>
      <c r="K1231" s="29" t="n">
        <v>0</v>
      </c>
      <c r="L1231" s="29" t="s">
        <v>1849</v>
      </c>
    </row>
    <row r="1232" customFormat="false" ht="15" hidden="false" customHeight="false" outlineLevel="0" collapsed="false">
      <c r="A1232" s="29" t="n">
        <v>141061</v>
      </c>
      <c r="B1232" s="29" t="s">
        <v>1766</v>
      </c>
      <c r="C1232" s="29" t="s">
        <v>1800</v>
      </c>
      <c r="D1232" s="29" t="s">
        <v>680</v>
      </c>
      <c r="E1232" s="29" t="s">
        <v>681</v>
      </c>
      <c r="F1232" s="29" t="s">
        <v>105</v>
      </c>
      <c r="G1232" s="29" t="s">
        <v>66</v>
      </c>
      <c r="H1232" s="29" t="s">
        <v>1379</v>
      </c>
      <c r="I1232" s="29" t="s">
        <v>1863</v>
      </c>
      <c r="J1232" s="29" t="n">
        <v>0</v>
      </c>
      <c r="K1232" s="29" t="n">
        <v>0</v>
      </c>
      <c r="L1232" s="29" t="s">
        <v>1849</v>
      </c>
    </row>
    <row r="1233" customFormat="false" ht="15" hidden="false" customHeight="false" outlineLevel="0" collapsed="false">
      <c r="A1233" s="29" t="n">
        <v>141061</v>
      </c>
      <c r="B1233" s="29" t="s">
        <v>1766</v>
      </c>
      <c r="C1233" s="29" t="s">
        <v>1800</v>
      </c>
      <c r="D1233" s="29" t="s">
        <v>689</v>
      </c>
      <c r="E1233" s="29" t="s">
        <v>690</v>
      </c>
      <c r="F1233" s="29" t="s">
        <v>105</v>
      </c>
      <c r="G1233" s="29" t="s">
        <v>67</v>
      </c>
      <c r="H1233" s="29" t="s">
        <v>1844</v>
      </c>
      <c r="I1233" s="29" t="s">
        <v>1872</v>
      </c>
      <c r="J1233" s="29" t="n">
        <v>0</v>
      </c>
      <c r="K1233" s="29" t="n">
        <v>0</v>
      </c>
      <c r="L1233" s="29" t="s">
        <v>1849</v>
      </c>
    </row>
    <row r="1234" customFormat="false" ht="15" hidden="false" customHeight="false" outlineLevel="0" collapsed="false">
      <c r="A1234" s="29" t="n">
        <v>141061</v>
      </c>
      <c r="B1234" s="29" t="s">
        <v>1766</v>
      </c>
      <c r="C1234" s="29" t="s">
        <v>1800</v>
      </c>
      <c r="D1234" s="29" t="s">
        <v>711</v>
      </c>
      <c r="E1234" s="29" t="s">
        <v>712</v>
      </c>
      <c r="F1234" s="29" t="s">
        <v>116</v>
      </c>
      <c r="G1234" s="29" t="s">
        <v>66</v>
      </c>
      <c r="H1234" s="29" t="s">
        <v>1379</v>
      </c>
      <c r="I1234" s="29" t="s">
        <v>1863</v>
      </c>
      <c r="J1234" s="29" t="n">
        <v>0</v>
      </c>
      <c r="K1234" s="29" t="n">
        <v>0</v>
      </c>
      <c r="L1234" s="29" t="s">
        <v>1849</v>
      </c>
    </row>
    <row r="1235" customFormat="false" ht="15" hidden="false" customHeight="false" outlineLevel="0" collapsed="false">
      <c r="A1235" s="29" t="n">
        <v>141120</v>
      </c>
      <c r="B1235" s="29" t="s">
        <v>1805</v>
      </c>
      <c r="C1235" s="29" t="s">
        <v>1806</v>
      </c>
      <c r="D1235" s="29" t="s">
        <v>247</v>
      </c>
      <c r="E1235" s="29" t="s">
        <v>248</v>
      </c>
      <c r="F1235" s="29" t="s">
        <v>69</v>
      </c>
      <c r="G1235" s="29" t="s">
        <v>67</v>
      </c>
      <c r="H1235" s="29" t="s">
        <v>1844</v>
      </c>
      <c r="I1235" s="29" t="s">
        <v>1848</v>
      </c>
      <c r="J1235" s="29" t="n">
        <v>0</v>
      </c>
      <c r="K1235" s="29" t="n">
        <v>0</v>
      </c>
      <c r="L1235" s="29" t="s">
        <v>1849</v>
      </c>
    </row>
    <row r="1236" customFormat="false" ht="15" hidden="false" customHeight="false" outlineLevel="0" collapsed="false">
      <c r="A1236" s="29" t="n">
        <v>141120</v>
      </c>
      <c r="B1236" s="29" t="s">
        <v>1805</v>
      </c>
      <c r="C1236" s="29" t="s">
        <v>1806</v>
      </c>
      <c r="D1236" s="29" t="s">
        <v>265</v>
      </c>
      <c r="E1236" s="29" t="s">
        <v>266</v>
      </c>
      <c r="F1236" s="29" t="s">
        <v>69</v>
      </c>
      <c r="G1236" s="29" t="s">
        <v>67</v>
      </c>
      <c r="H1236" s="29" t="s">
        <v>1379</v>
      </c>
      <c r="I1236" s="29" t="s">
        <v>1863</v>
      </c>
      <c r="J1236" s="29" t="n">
        <v>0</v>
      </c>
      <c r="K1236" s="29" t="n">
        <v>2</v>
      </c>
      <c r="L1236" s="29" t="s">
        <v>1866</v>
      </c>
    </row>
    <row r="1237" customFormat="false" ht="15" hidden="false" customHeight="false" outlineLevel="0" collapsed="false">
      <c r="A1237" s="29" t="n">
        <v>141120</v>
      </c>
      <c r="B1237" s="29" t="s">
        <v>1805</v>
      </c>
      <c r="C1237" s="29" t="s">
        <v>1806</v>
      </c>
      <c r="D1237" s="29" t="s">
        <v>297</v>
      </c>
      <c r="E1237" s="29" t="s">
        <v>298</v>
      </c>
      <c r="F1237" s="29" t="s">
        <v>69</v>
      </c>
      <c r="G1237" s="29" t="s">
        <v>68</v>
      </c>
      <c r="H1237" s="29" t="s">
        <v>1381</v>
      </c>
      <c r="I1237" s="29" t="s">
        <v>1848</v>
      </c>
      <c r="J1237" s="29" t="n">
        <v>0</v>
      </c>
      <c r="K1237" s="29" t="n">
        <v>0</v>
      </c>
      <c r="L1237" s="29" t="s">
        <v>1849</v>
      </c>
    </row>
    <row r="1238" customFormat="false" ht="15" hidden="false" customHeight="false" outlineLevel="0" collapsed="false">
      <c r="A1238" s="29" t="n">
        <v>141120</v>
      </c>
      <c r="B1238" s="29" t="s">
        <v>1805</v>
      </c>
      <c r="C1238" s="29" t="s">
        <v>1806</v>
      </c>
      <c r="D1238" s="29" t="s">
        <v>433</v>
      </c>
      <c r="E1238" s="29" t="s">
        <v>434</v>
      </c>
      <c r="F1238" s="29" t="s">
        <v>82</v>
      </c>
      <c r="G1238" s="29" t="s">
        <v>66</v>
      </c>
      <c r="H1238" s="29" t="s">
        <v>1379</v>
      </c>
      <c r="I1238" s="29" t="s">
        <v>1863</v>
      </c>
      <c r="J1238" s="29" t="n">
        <v>0</v>
      </c>
      <c r="K1238" s="29" t="n">
        <v>0</v>
      </c>
      <c r="L1238" s="29" t="s">
        <v>1849</v>
      </c>
    </row>
    <row r="1239" customFormat="false" ht="15" hidden="false" customHeight="false" outlineLevel="0" collapsed="false">
      <c r="A1239" s="29" t="n">
        <v>141120</v>
      </c>
      <c r="B1239" s="29" t="s">
        <v>1805</v>
      </c>
      <c r="C1239" s="29" t="s">
        <v>1806</v>
      </c>
      <c r="D1239" s="29" t="s">
        <v>668</v>
      </c>
      <c r="E1239" s="29" t="s">
        <v>669</v>
      </c>
      <c r="F1239" s="29" t="s">
        <v>105</v>
      </c>
      <c r="G1239" s="29" t="s">
        <v>66</v>
      </c>
      <c r="H1239" s="29" t="s">
        <v>1379</v>
      </c>
      <c r="I1239" s="29" t="s">
        <v>1863</v>
      </c>
      <c r="J1239" s="29" t="n">
        <v>0</v>
      </c>
      <c r="K1239" s="29" t="n">
        <v>0</v>
      </c>
      <c r="L1239" s="29" t="s">
        <v>1849</v>
      </c>
    </row>
    <row r="1240" customFormat="false" ht="15" hidden="false" customHeight="false" outlineLevel="0" collapsed="false">
      <c r="A1240" s="29" t="n">
        <v>141120</v>
      </c>
      <c r="B1240" s="29" t="s">
        <v>1805</v>
      </c>
      <c r="C1240" s="29" t="s">
        <v>1806</v>
      </c>
      <c r="D1240" s="29" t="s">
        <v>680</v>
      </c>
      <c r="E1240" s="29" t="s">
        <v>681</v>
      </c>
      <c r="F1240" s="29" t="s">
        <v>105</v>
      </c>
      <c r="G1240" s="29" t="s">
        <v>66</v>
      </c>
      <c r="H1240" s="29" t="s">
        <v>1379</v>
      </c>
      <c r="I1240" s="29" t="s">
        <v>1863</v>
      </c>
      <c r="J1240" s="29" t="n">
        <v>0</v>
      </c>
      <c r="K1240" s="29" t="n">
        <v>0</v>
      </c>
      <c r="L1240" s="29" t="s">
        <v>1849</v>
      </c>
    </row>
    <row r="1241" customFormat="false" ht="15" hidden="false" customHeight="false" outlineLevel="0" collapsed="false">
      <c r="A1241" s="29" t="n">
        <v>141120</v>
      </c>
      <c r="B1241" s="29" t="s">
        <v>1805</v>
      </c>
      <c r="C1241" s="29" t="s">
        <v>1806</v>
      </c>
      <c r="D1241" s="29" t="s">
        <v>693</v>
      </c>
      <c r="E1241" s="29" t="s">
        <v>694</v>
      </c>
      <c r="F1241" s="29" t="s">
        <v>110</v>
      </c>
      <c r="G1241" s="29" t="s">
        <v>67</v>
      </c>
      <c r="H1241" s="29" t="s">
        <v>1844</v>
      </c>
      <c r="I1241" s="29" t="s">
        <v>1883</v>
      </c>
      <c r="J1241" s="29" t="n">
        <v>0</v>
      </c>
      <c r="K1241" s="29" t="n">
        <v>7</v>
      </c>
      <c r="L1241" s="29" t="s">
        <v>1866</v>
      </c>
    </row>
    <row r="1242" customFormat="false" ht="15" hidden="false" customHeight="false" outlineLevel="0" collapsed="false">
      <c r="A1242" s="29" t="n">
        <v>141120</v>
      </c>
      <c r="B1242" s="29" t="s">
        <v>1805</v>
      </c>
      <c r="C1242" s="29" t="s">
        <v>1806</v>
      </c>
      <c r="D1242" s="29" t="s">
        <v>699</v>
      </c>
      <c r="E1242" s="29" t="s">
        <v>700</v>
      </c>
      <c r="F1242" s="29" t="s">
        <v>110</v>
      </c>
      <c r="G1242" s="29" t="s">
        <v>68</v>
      </c>
      <c r="H1242" s="29" t="s">
        <v>1381</v>
      </c>
      <c r="I1242" s="29" t="s">
        <v>1870</v>
      </c>
      <c r="J1242" s="29" t="n">
        <v>0</v>
      </c>
      <c r="K1242" s="29" t="n">
        <v>0</v>
      </c>
      <c r="L1242" s="29" t="s">
        <v>1849</v>
      </c>
    </row>
    <row r="1243" customFormat="false" ht="15" hidden="false" customHeight="false" outlineLevel="0" collapsed="false">
      <c r="A1243" s="29" t="n">
        <v>141120</v>
      </c>
      <c r="B1243" s="29" t="s">
        <v>1805</v>
      </c>
      <c r="C1243" s="29" t="s">
        <v>1806</v>
      </c>
      <c r="D1243" s="29" t="s">
        <v>707</v>
      </c>
      <c r="E1243" s="29" t="s">
        <v>708</v>
      </c>
      <c r="F1243" s="29" t="s">
        <v>110</v>
      </c>
      <c r="G1243" s="29" t="s">
        <v>68</v>
      </c>
      <c r="H1243" s="29" t="s">
        <v>1381</v>
      </c>
      <c r="I1243" s="29" t="s">
        <v>1883</v>
      </c>
      <c r="J1243" s="29" t="n">
        <v>0</v>
      </c>
      <c r="K1243" s="29" t="n">
        <v>1</v>
      </c>
      <c r="L1243" s="29" t="s">
        <v>1866</v>
      </c>
    </row>
    <row r="1244" customFormat="false" ht="15" hidden="false" customHeight="false" outlineLevel="0" collapsed="false">
      <c r="A1244" s="29" t="n">
        <v>141120</v>
      </c>
      <c r="B1244" s="29" t="s">
        <v>1805</v>
      </c>
      <c r="C1244" s="29" t="s">
        <v>1806</v>
      </c>
      <c r="D1244" s="29" t="s">
        <v>711</v>
      </c>
      <c r="E1244" s="29" t="s">
        <v>712</v>
      </c>
      <c r="F1244" s="29" t="s">
        <v>116</v>
      </c>
      <c r="G1244" s="29" t="s">
        <v>66</v>
      </c>
      <c r="H1244" s="29" t="s">
        <v>1379</v>
      </c>
      <c r="I1244" s="29" t="s">
        <v>1863</v>
      </c>
      <c r="J1244" s="29" t="n">
        <v>0</v>
      </c>
      <c r="K1244" s="29" t="n">
        <v>1</v>
      </c>
      <c r="L1244" s="29" t="s">
        <v>1866</v>
      </c>
    </row>
    <row r="1245" customFormat="false" ht="15" hidden="false" customHeight="false" outlineLevel="0" collapsed="false">
      <c r="A1245" s="29" t="n">
        <v>141161</v>
      </c>
      <c r="B1245" s="29" t="s">
        <v>1808</v>
      </c>
      <c r="C1245" s="29" t="s">
        <v>1809</v>
      </c>
      <c r="D1245" s="29" t="s">
        <v>265</v>
      </c>
      <c r="E1245" s="29" t="s">
        <v>266</v>
      </c>
      <c r="F1245" s="29" t="s">
        <v>69</v>
      </c>
      <c r="G1245" s="29" t="s">
        <v>67</v>
      </c>
      <c r="H1245" s="29" t="s">
        <v>1379</v>
      </c>
      <c r="I1245" s="29" t="s">
        <v>1863</v>
      </c>
      <c r="J1245" s="29" t="n">
        <v>0</v>
      </c>
      <c r="K1245" s="29" t="n">
        <v>0</v>
      </c>
      <c r="L1245" s="29" t="s">
        <v>1849</v>
      </c>
    </row>
    <row r="1246" customFormat="false" ht="15" hidden="false" customHeight="false" outlineLevel="0" collapsed="false">
      <c r="A1246" s="29" t="n">
        <v>141161</v>
      </c>
      <c r="B1246" s="29" t="s">
        <v>1808</v>
      </c>
      <c r="C1246" s="29" t="s">
        <v>1809</v>
      </c>
      <c r="D1246" s="29" t="s">
        <v>433</v>
      </c>
      <c r="E1246" s="29" t="s">
        <v>434</v>
      </c>
      <c r="F1246" s="29" t="s">
        <v>82</v>
      </c>
      <c r="G1246" s="29" t="s">
        <v>66</v>
      </c>
      <c r="H1246" s="29" t="s">
        <v>1379</v>
      </c>
      <c r="I1246" s="29" t="s">
        <v>1863</v>
      </c>
      <c r="J1246" s="29" t="n">
        <v>0</v>
      </c>
      <c r="K1246" s="29" t="n">
        <v>0</v>
      </c>
      <c r="L1246" s="29" t="s">
        <v>1849</v>
      </c>
    </row>
    <row r="1247" customFormat="false" ht="15" hidden="false" customHeight="false" outlineLevel="0" collapsed="false">
      <c r="A1247" s="29" t="n">
        <v>141161</v>
      </c>
      <c r="B1247" s="29" t="s">
        <v>1808</v>
      </c>
      <c r="C1247" s="29" t="s">
        <v>1809</v>
      </c>
      <c r="D1247" s="29" t="s">
        <v>668</v>
      </c>
      <c r="E1247" s="29" t="s">
        <v>669</v>
      </c>
      <c r="F1247" s="29" t="s">
        <v>105</v>
      </c>
      <c r="G1247" s="29" t="s">
        <v>66</v>
      </c>
      <c r="H1247" s="29" t="s">
        <v>1379</v>
      </c>
      <c r="I1247" s="29" t="s">
        <v>1863</v>
      </c>
      <c r="J1247" s="29" t="n">
        <v>0</v>
      </c>
      <c r="K1247" s="29" t="n">
        <v>0</v>
      </c>
      <c r="L1247" s="29" t="s">
        <v>1849</v>
      </c>
    </row>
    <row r="1248" customFormat="false" ht="15" hidden="false" customHeight="false" outlineLevel="0" collapsed="false">
      <c r="A1248" s="29" t="n">
        <v>141161</v>
      </c>
      <c r="B1248" s="29" t="s">
        <v>1808</v>
      </c>
      <c r="C1248" s="29" t="s">
        <v>1809</v>
      </c>
      <c r="D1248" s="29" t="s">
        <v>680</v>
      </c>
      <c r="E1248" s="29" t="s">
        <v>681</v>
      </c>
      <c r="F1248" s="29" t="s">
        <v>105</v>
      </c>
      <c r="G1248" s="29" t="s">
        <v>66</v>
      </c>
      <c r="H1248" s="29" t="s">
        <v>1379</v>
      </c>
      <c r="I1248" s="29" t="s">
        <v>1863</v>
      </c>
      <c r="J1248" s="29" t="n">
        <v>0</v>
      </c>
      <c r="K1248" s="29" t="n">
        <v>0</v>
      </c>
      <c r="L1248" s="29" t="s">
        <v>1849</v>
      </c>
    </row>
    <row r="1249" customFormat="false" ht="15" hidden="false" customHeight="false" outlineLevel="0" collapsed="false">
      <c r="A1249" s="29" t="n">
        <v>141161</v>
      </c>
      <c r="B1249" s="29" t="s">
        <v>1808</v>
      </c>
      <c r="C1249" s="29" t="s">
        <v>1809</v>
      </c>
      <c r="D1249" s="29" t="s">
        <v>693</v>
      </c>
      <c r="E1249" s="29" t="s">
        <v>694</v>
      </c>
      <c r="F1249" s="29" t="s">
        <v>110</v>
      </c>
      <c r="G1249" s="29" t="s">
        <v>67</v>
      </c>
      <c r="H1249" s="29" t="s">
        <v>1844</v>
      </c>
      <c r="I1249" s="29" t="s">
        <v>1883</v>
      </c>
      <c r="J1249" s="29" t="n">
        <v>0</v>
      </c>
      <c r="K1249" s="29" t="n">
        <v>0</v>
      </c>
      <c r="L1249" s="29" t="s">
        <v>1849</v>
      </c>
    </row>
    <row r="1250" customFormat="false" ht="15" hidden="false" customHeight="false" outlineLevel="0" collapsed="false">
      <c r="A1250" s="29" t="n">
        <v>141161</v>
      </c>
      <c r="B1250" s="29" t="s">
        <v>1808</v>
      </c>
      <c r="C1250" s="29" t="s">
        <v>1809</v>
      </c>
      <c r="D1250" s="29" t="s">
        <v>707</v>
      </c>
      <c r="E1250" s="29" t="s">
        <v>708</v>
      </c>
      <c r="F1250" s="29" t="s">
        <v>110</v>
      </c>
      <c r="G1250" s="29" t="s">
        <v>68</v>
      </c>
      <c r="H1250" s="29" t="s">
        <v>1381</v>
      </c>
      <c r="I1250" s="29" t="s">
        <v>1883</v>
      </c>
      <c r="J1250" s="29" t="n">
        <v>0</v>
      </c>
      <c r="K1250" s="29" t="n">
        <v>0</v>
      </c>
      <c r="L1250" s="29" t="s">
        <v>1849</v>
      </c>
    </row>
    <row r="1251" customFormat="false" ht="15" hidden="false" customHeight="false" outlineLevel="0" collapsed="false">
      <c r="A1251" s="29" t="n">
        <v>141161</v>
      </c>
      <c r="B1251" s="29" t="s">
        <v>1808</v>
      </c>
      <c r="C1251" s="29" t="s">
        <v>1809</v>
      </c>
      <c r="D1251" s="29" t="s">
        <v>711</v>
      </c>
      <c r="E1251" s="29" t="s">
        <v>712</v>
      </c>
      <c r="F1251" s="29" t="s">
        <v>116</v>
      </c>
      <c r="G1251" s="29" t="s">
        <v>66</v>
      </c>
      <c r="H1251" s="29" t="s">
        <v>1379</v>
      </c>
      <c r="I1251" s="29" t="s">
        <v>1863</v>
      </c>
      <c r="J1251" s="29" t="n">
        <v>0</v>
      </c>
      <c r="K1251" s="29" t="n">
        <v>0</v>
      </c>
      <c r="L1251" s="29" t="s">
        <v>1849</v>
      </c>
    </row>
    <row r="1252" customFormat="false" ht="15" hidden="false" customHeight="false" outlineLevel="0" collapsed="false">
      <c r="A1252" s="29" t="n">
        <v>141161</v>
      </c>
      <c r="B1252" s="29" t="s">
        <v>1808</v>
      </c>
      <c r="C1252" s="29" t="s">
        <v>1809</v>
      </c>
      <c r="D1252" s="29" t="s">
        <v>729</v>
      </c>
      <c r="E1252" s="29" t="s">
        <v>730</v>
      </c>
      <c r="F1252" s="29" t="s">
        <v>116</v>
      </c>
      <c r="G1252" s="29" t="s">
        <v>67</v>
      </c>
      <c r="H1252" s="29" t="s">
        <v>1844</v>
      </c>
      <c r="I1252" s="29" t="s">
        <v>1879</v>
      </c>
      <c r="J1252" s="29" t="n">
        <v>0</v>
      </c>
      <c r="K1252" s="29" t="n">
        <v>0</v>
      </c>
      <c r="L1252" s="29" t="s">
        <v>1849</v>
      </c>
    </row>
    <row r="1253" customFormat="false" ht="15" hidden="false" customHeight="false" outlineLevel="0" collapsed="false">
      <c r="A1253" s="29" t="n">
        <v>141161</v>
      </c>
      <c r="B1253" s="29" t="s">
        <v>1808</v>
      </c>
      <c r="C1253" s="29" t="s">
        <v>1809</v>
      </c>
      <c r="D1253" s="29" t="s">
        <v>737</v>
      </c>
      <c r="E1253" s="29" t="s">
        <v>738</v>
      </c>
      <c r="F1253" s="29" t="s">
        <v>116</v>
      </c>
      <c r="G1253" s="29" t="s">
        <v>67</v>
      </c>
      <c r="H1253" s="29" t="s">
        <v>1844</v>
      </c>
      <c r="I1253" s="29" t="s">
        <v>1879</v>
      </c>
      <c r="J1253" s="29" t="n">
        <v>0</v>
      </c>
      <c r="K1253" s="29" t="n">
        <v>0</v>
      </c>
      <c r="L1253" s="29" t="s">
        <v>1849</v>
      </c>
    </row>
    <row r="1254" customFormat="false" ht="15" hidden="false" customHeight="false" outlineLevel="0" collapsed="false">
      <c r="A1254" s="29" t="n">
        <v>141162</v>
      </c>
      <c r="B1254" s="29" t="s">
        <v>1813</v>
      </c>
      <c r="C1254" s="29" t="s">
        <v>1814</v>
      </c>
      <c r="D1254" s="29" t="s">
        <v>247</v>
      </c>
      <c r="E1254" s="29" t="s">
        <v>248</v>
      </c>
      <c r="F1254" s="29" t="s">
        <v>69</v>
      </c>
      <c r="G1254" s="29" t="s">
        <v>67</v>
      </c>
      <c r="H1254" s="29" t="s">
        <v>1844</v>
      </c>
      <c r="I1254" s="29" t="s">
        <v>1848</v>
      </c>
      <c r="J1254" s="29" t="n">
        <v>0</v>
      </c>
      <c r="K1254" s="29" t="n">
        <v>0</v>
      </c>
      <c r="L1254" s="29" t="s">
        <v>1849</v>
      </c>
    </row>
    <row r="1255" customFormat="false" ht="15" hidden="false" customHeight="false" outlineLevel="0" collapsed="false">
      <c r="A1255" s="29" t="n">
        <v>141162</v>
      </c>
      <c r="B1255" s="29" t="s">
        <v>1813</v>
      </c>
      <c r="C1255" s="29" t="s">
        <v>1814</v>
      </c>
      <c r="D1255" s="29" t="s">
        <v>265</v>
      </c>
      <c r="E1255" s="29" t="s">
        <v>266</v>
      </c>
      <c r="F1255" s="29" t="s">
        <v>69</v>
      </c>
      <c r="G1255" s="29" t="s">
        <v>67</v>
      </c>
      <c r="H1255" s="29" t="s">
        <v>1379</v>
      </c>
      <c r="I1255" s="29" t="s">
        <v>1863</v>
      </c>
      <c r="J1255" s="29" t="n">
        <v>0</v>
      </c>
      <c r="K1255" s="29" t="n">
        <v>1</v>
      </c>
      <c r="L1255" s="29" t="s">
        <v>1866</v>
      </c>
    </row>
    <row r="1256" customFormat="false" ht="15" hidden="false" customHeight="false" outlineLevel="0" collapsed="false">
      <c r="A1256" s="29" t="n">
        <v>141162</v>
      </c>
      <c r="B1256" s="29" t="s">
        <v>1813</v>
      </c>
      <c r="C1256" s="29" t="s">
        <v>1814</v>
      </c>
      <c r="D1256" s="29" t="s">
        <v>291</v>
      </c>
      <c r="E1256" s="29" t="s">
        <v>292</v>
      </c>
      <c r="F1256" s="29" t="s">
        <v>69</v>
      </c>
      <c r="G1256" s="29" t="s">
        <v>68</v>
      </c>
      <c r="H1256" s="29" t="s">
        <v>1381</v>
      </c>
      <c r="I1256" s="29" t="s">
        <v>1845</v>
      </c>
      <c r="J1256" s="29" t="n">
        <v>0</v>
      </c>
      <c r="K1256" s="29" t="n">
        <v>1</v>
      </c>
      <c r="L1256" s="29" t="s">
        <v>1866</v>
      </c>
    </row>
    <row r="1257" customFormat="false" ht="15" hidden="false" customHeight="false" outlineLevel="0" collapsed="false">
      <c r="A1257" s="29" t="n">
        <v>141162</v>
      </c>
      <c r="B1257" s="29" t="s">
        <v>1813</v>
      </c>
      <c r="C1257" s="29" t="s">
        <v>1814</v>
      </c>
      <c r="D1257" s="29" t="s">
        <v>297</v>
      </c>
      <c r="E1257" s="29" t="s">
        <v>298</v>
      </c>
      <c r="F1257" s="29" t="s">
        <v>69</v>
      </c>
      <c r="G1257" s="29" t="s">
        <v>68</v>
      </c>
      <c r="H1257" s="29" t="s">
        <v>1381</v>
      </c>
      <c r="I1257" s="29" t="s">
        <v>1848</v>
      </c>
      <c r="J1257" s="29" t="n">
        <v>0</v>
      </c>
      <c r="K1257" s="29" t="n">
        <v>0</v>
      </c>
      <c r="L1257" s="29" t="s">
        <v>1849</v>
      </c>
    </row>
    <row r="1258" customFormat="false" ht="15" hidden="false" customHeight="false" outlineLevel="0" collapsed="false">
      <c r="A1258" s="29" t="n">
        <v>141162</v>
      </c>
      <c r="B1258" s="29" t="s">
        <v>1813</v>
      </c>
      <c r="C1258" s="29" t="s">
        <v>1814</v>
      </c>
      <c r="D1258" s="29" t="s">
        <v>433</v>
      </c>
      <c r="E1258" s="29" t="s">
        <v>434</v>
      </c>
      <c r="F1258" s="29" t="s">
        <v>82</v>
      </c>
      <c r="G1258" s="29" t="s">
        <v>66</v>
      </c>
      <c r="H1258" s="29" t="s">
        <v>1379</v>
      </c>
      <c r="I1258" s="29" t="s">
        <v>1863</v>
      </c>
      <c r="J1258" s="29" t="n">
        <v>0</v>
      </c>
      <c r="K1258" s="29" t="n">
        <v>0</v>
      </c>
      <c r="L1258" s="29" t="s">
        <v>1849</v>
      </c>
    </row>
    <row r="1259" customFormat="false" ht="15" hidden="false" customHeight="false" outlineLevel="0" collapsed="false">
      <c r="A1259" s="29" t="n">
        <v>141162</v>
      </c>
      <c r="B1259" s="29" t="s">
        <v>1813</v>
      </c>
      <c r="C1259" s="29" t="s">
        <v>1814</v>
      </c>
      <c r="D1259" s="29" t="s">
        <v>494</v>
      </c>
      <c r="E1259" s="29" t="s">
        <v>495</v>
      </c>
      <c r="F1259" s="29" t="s">
        <v>82</v>
      </c>
      <c r="G1259" s="29" t="s">
        <v>68</v>
      </c>
      <c r="H1259" s="29" t="s">
        <v>1381</v>
      </c>
      <c r="I1259" s="29" t="s">
        <v>1884</v>
      </c>
      <c r="J1259" s="29" t="n">
        <v>0</v>
      </c>
      <c r="K1259" s="29" t="n">
        <v>0</v>
      </c>
      <c r="L1259" s="29" t="s">
        <v>1849</v>
      </c>
    </row>
    <row r="1260" customFormat="false" ht="15" hidden="false" customHeight="false" outlineLevel="0" collapsed="false">
      <c r="A1260" s="29" t="n">
        <v>141162</v>
      </c>
      <c r="B1260" s="29" t="s">
        <v>1813</v>
      </c>
      <c r="C1260" s="29" t="s">
        <v>1814</v>
      </c>
      <c r="D1260" s="29" t="s">
        <v>668</v>
      </c>
      <c r="E1260" s="29" t="s">
        <v>669</v>
      </c>
      <c r="F1260" s="29" t="s">
        <v>105</v>
      </c>
      <c r="G1260" s="29" t="s">
        <v>66</v>
      </c>
      <c r="H1260" s="29" t="s">
        <v>1379</v>
      </c>
      <c r="I1260" s="29" t="s">
        <v>1863</v>
      </c>
      <c r="J1260" s="29" t="n">
        <v>0</v>
      </c>
      <c r="K1260" s="29" t="n">
        <v>0</v>
      </c>
      <c r="L1260" s="29" t="s">
        <v>1849</v>
      </c>
    </row>
    <row r="1261" customFormat="false" ht="15" hidden="false" customHeight="false" outlineLevel="0" collapsed="false">
      <c r="A1261" s="29" t="n">
        <v>141162</v>
      </c>
      <c r="B1261" s="29" t="s">
        <v>1813</v>
      </c>
      <c r="C1261" s="29" t="s">
        <v>1814</v>
      </c>
      <c r="D1261" s="29" t="s">
        <v>680</v>
      </c>
      <c r="E1261" s="29" t="s">
        <v>681</v>
      </c>
      <c r="F1261" s="29" t="s">
        <v>105</v>
      </c>
      <c r="G1261" s="29" t="s">
        <v>66</v>
      </c>
      <c r="H1261" s="29" t="s">
        <v>1379</v>
      </c>
      <c r="I1261" s="29" t="s">
        <v>1863</v>
      </c>
      <c r="J1261" s="29" t="n">
        <v>0</v>
      </c>
      <c r="K1261" s="29" t="n">
        <v>0</v>
      </c>
      <c r="L1261" s="29" t="s">
        <v>1849</v>
      </c>
    </row>
    <row r="1262" customFormat="false" ht="15" hidden="false" customHeight="false" outlineLevel="0" collapsed="false">
      <c r="A1262" s="29" t="n">
        <v>141162</v>
      </c>
      <c r="B1262" s="29" t="s">
        <v>1813</v>
      </c>
      <c r="C1262" s="29" t="s">
        <v>1814</v>
      </c>
      <c r="D1262" s="29" t="s">
        <v>711</v>
      </c>
      <c r="E1262" s="29" t="s">
        <v>712</v>
      </c>
      <c r="F1262" s="29" t="s">
        <v>116</v>
      </c>
      <c r="G1262" s="29" t="s">
        <v>66</v>
      </c>
      <c r="H1262" s="29" t="s">
        <v>1379</v>
      </c>
      <c r="I1262" s="29" t="s">
        <v>1863</v>
      </c>
      <c r="J1262" s="29" t="n">
        <v>0</v>
      </c>
      <c r="K1262" s="29" t="n">
        <v>0</v>
      </c>
      <c r="L1262" s="29" t="s">
        <v>1849</v>
      </c>
    </row>
    <row r="1263" customFormat="false" ht="15" hidden="false" customHeight="false" outlineLevel="0" collapsed="false">
      <c r="A1263" s="29" t="n">
        <v>141166</v>
      </c>
      <c r="B1263" s="29" t="s">
        <v>1818</v>
      </c>
      <c r="C1263" s="29" t="s">
        <v>1819</v>
      </c>
      <c r="D1263" s="29" t="s">
        <v>247</v>
      </c>
      <c r="E1263" s="29" t="s">
        <v>248</v>
      </c>
      <c r="F1263" s="29" t="s">
        <v>69</v>
      </c>
      <c r="G1263" s="29" t="s">
        <v>67</v>
      </c>
      <c r="H1263" s="29" t="s">
        <v>1844</v>
      </c>
      <c r="I1263" s="29" t="s">
        <v>1881</v>
      </c>
      <c r="J1263" s="29" t="n">
        <v>0</v>
      </c>
      <c r="K1263" s="29" t="n">
        <v>0</v>
      </c>
      <c r="L1263" s="29" t="s">
        <v>1849</v>
      </c>
    </row>
    <row r="1264" customFormat="false" ht="15" hidden="false" customHeight="false" outlineLevel="0" collapsed="false">
      <c r="A1264" s="29" t="n">
        <v>141166</v>
      </c>
      <c r="B1264" s="29" t="s">
        <v>1818</v>
      </c>
      <c r="C1264" s="29" t="s">
        <v>1819</v>
      </c>
      <c r="D1264" s="29" t="s">
        <v>265</v>
      </c>
      <c r="E1264" s="29" t="s">
        <v>266</v>
      </c>
      <c r="F1264" s="29" t="s">
        <v>69</v>
      </c>
      <c r="G1264" s="29" t="s">
        <v>67</v>
      </c>
      <c r="H1264" s="29" t="s">
        <v>1379</v>
      </c>
      <c r="I1264" s="29" t="s">
        <v>1863</v>
      </c>
      <c r="J1264" s="29" t="n">
        <v>0</v>
      </c>
      <c r="K1264" s="29" t="n">
        <v>2</v>
      </c>
      <c r="L1264" s="29" t="s">
        <v>1866</v>
      </c>
    </row>
    <row r="1265" customFormat="false" ht="15" hidden="false" customHeight="false" outlineLevel="0" collapsed="false">
      <c r="A1265" s="29" t="n">
        <v>141166</v>
      </c>
      <c r="B1265" s="29" t="s">
        <v>1818</v>
      </c>
      <c r="C1265" s="29" t="s">
        <v>1819</v>
      </c>
      <c r="D1265" s="29" t="s">
        <v>297</v>
      </c>
      <c r="E1265" s="29" t="s">
        <v>298</v>
      </c>
      <c r="F1265" s="29" t="s">
        <v>69</v>
      </c>
      <c r="G1265" s="29" t="s">
        <v>68</v>
      </c>
      <c r="H1265" s="29" t="s">
        <v>1381</v>
      </c>
      <c r="I1265" s="29" t="s">
        <v>1848</v>
      </c>
      <c r="J1265" s="29" t="n">
        <v>0</v>
      </c>
      <c r="K1265" s="29" t="n">
        <v>0</v>
      </c>
      <c r="L1265" s="29" t="s">
        <v>1849</v>
      </c>
    </row>
    <row r="1266" customFormat="false" ht="15" hidden="false" customHeight="false" outlineLevel="0" collapsed="false">
      <c r="A1266" s="29" t="n">
        <v>141166</v>
      </c>
      <c r="B1266" s="29" t="s">
        <v>1818</v>
      </c>
      <c r="C1266" s="29" t="s">
        <v>1819</v>
      </c>
      <c r="D1266" s="29" t="s">
        <v>319</v>
      </c>
      <c r="E1266" s="29" t="s">
        <v>320</v>
      </c>
      <c r="F1266" s="29" t="s">
        <v>69</v>
      </c>
      <c r="G1266" s="29" t="s">
        <v>68</v>
      </c>
      <c r="H1266" s="29" t="s">
        <v>1381</v>
      </c>
      <c r="I1266" s="29" t="s">
        <v>1882</v>
      </c>
      <c r="J1266" s="29" t="n">
        <v>6</v>
      </c>
      <c r="K1266" s="29" t="n">
        <v>0</v>
      </c>
      <c r="L1266" s="29" t="s">
        <v>1867</v>
      </c>
    </row>
    <row r="1267" customFormat="false" ht="15" hidden="false" customHeight="false" outlineLevel="0" collapsed="false">
      <c r="A1267" s="29" t="n">
        <v>141166</v>
      </c>
      <c r="B1267" s="29" t="s">
        <v>1818</v>
      </c>
      <c r="C1267" s="29" t="s">
        <v>1819</v>
      </c>
      <c r="D1267" s="29" t="s">
        <v>433</v>
      </c>
      <c r="E1267" s="29" t="s">
        <v>434</v>
      </c>
      <c r="F1267" s="29" t="s">
        <v>82</v>
      </c>
      <c r="G1267" s="29" t="s">
        <v>66</v>
      </c>
      <c r="H1267" s="29" t="s">
        <v>1379</v>
      </c>
      <c r="I1267" s="29" t="s">
        <v>1863</v>
      </c>
      <c r="J1267" s="29" t="n">
        <v>0</v>
      </c>
      <c r="K1267" s="29" t="n">
        <v>0</v>
      </c>
      <c r="L1267" s="29" t="s">
        <v>1849</v>
      </c>
    </row>
    <row r="1268" customFormat="false" ht="15" hidden="false" customHeight="false" outlineLevel="0" collapsed="false">
      <c r="A1268" s="29" t="n">
        <v>141166</v>
      </c>
      <c r="B1268" s="29" t="s">
        <v>1818</v>
      </c>
      <c r="C1268" s="29" t="s">
        <v>1819</v>
      </c>
      <c r="D1268" s="29" t="s">
        <v>668</v>
      </c>
      <c r="E1268" s="29" t="s">
        <v>669</v>
      </c>
      <c r="F1268" s="29" t="s">
        <v>105</v>
      </c>
      <c r="G1268" s="29" t="s">
        <v>66</v>
      </c>
      <c r="H1268" s="29" t="s">
        <v>1379</v>
      </c>
      <c r="I1268" s="29" t="s">
        <v>1863</v>
      </c>
      <c r="J1268" s="29" t="n">
        <v>0</v>
      </c>
      <c r="K1268" s="29" t="n">
        <v>0</v>
      </c>
      <c r="L1268" s="29" t="s">
        <v>1849</v>
      </c>
    </row>
    <row r="1269" customFormat="false" ht="15" hidden="false" customHeight="false" outlineLevel="0" collapsed="false">
      <c r="A1269" s="29" t="n">
        <v>141166</v>
      </c>
      <c r="B1269" s="29" t="s">
        <v>1818</v>
      </c>
      <c r="C1269" s="29" t="s">
        <v>1819</v>
      </c>
      <c r="D1269" s="29" t="s">
        <v>680</v>
      </c>
      <c r="E1269" s="29" t="s">
        <v>681</v>
      </c>
      <c r="F1269" s="29" t="s">
        <v>105</v>
      </c>
      <c r="G1269" s="29" t="s">
        <v>66</v>
      </c>
      <c r="H1269" s="29" t="s">
        <v>1379</v>
      </c>
      <c r="I1269" s="29" t="s">
        <v>1863</v>
      </c>
      <c r="J1269" s="29" t="n">
        <v>0</v>
      </c>
      <c r="K1269" s="29" t="n">
        <v>0</v>
      </c>
      <c r="L1269" s="29" t="s">
        <v>1849</v>
      </c>
    </row>
    <row r="1270" customFormat="false" ht="15" hidden="false" customHeight="false" outlineLevel="0" collapsed="false">
      <c r="A1270" s="29" t="n">
        <v>141166</v>
      </c>
      <c r="B1270" s="29" t="s">
        <v>1818</v>
      </c>
      <c r="C1270" s="29" t="s">
        <v>1819</v>
      </c>
      <c r="D1270" s="29" t="s">
        <v>699</v>
      </c>
      <c r="E1270" s="29" t="s">
        <v>700</v>
      </c>
      <c r="F1270" s="29" t="s">
        <v>110</v>
      </c>
      <c r="G1270" s="29" t="s">
        <v>68</v>
      </c>
      <c r="H1270" s="29" t="s">
        <v>1381</v>
      </c>
      <c r="I1270" s="29" t="s">
        <v>1870</v>
      </c>
      <c r="J1270" s="29" t="n">
        <v>0</v>
      </c>
      <c r="K1270" s="29" t="n">
        <v>0</v>
      </c>
      <c r="L1270" s="29" t="s">
        <v>1849</v>
      </c>
    </row>
    <row r="1271" customFormat="false" ht="15" hidden="false" customHeight="false" outlineLevel="0" collapsed="false">
      <c r="A1271" s="29" t="n">
        <v>141166</v>
      </c>
      <c r="B1271" s="29" t="s">
        <v>1818</v>
      </c>
      <c r="C1271" s="29" t="s">
        <v>1819</v>
      </c>
      <c r="D1271" s="29" t="s">
        <v>711</v>
      </c>
      <c r="E1271" s="29" t="s">
        <v>712</v>
      </c>
      <c r="F1271" s="29" t="s">
        <v>116</v>
      </c>
      <c r="G1271" s="29" t="s">
        <v>66</v>
      </c>
      <c r="H1271" s="29" t="s">
        <v>1379</v>
      </c>
      <c r="I1271" s="29" t="s">
        <v>1863</v>
      </c>
      <c r="J1271" s="29" t="n">
        <v>0</v>
      </c>
      <c r="K1271" s="29" t="n">
        <v>0</v>
      </c>
      <c r="L1271" s="29" t="s">
        <v>1849</v>
      </c>
    </row>
    <row r="1272" customFormat="false" ht="15" hidden="false" customHeight="false" outlineLevel="0" collapsed="false">
      <c r="A1272" s="29" t="n">
        <v>141042</v>
      </c>
      <c r="B1272" s="29" t="s">
        <v>1822</v>
      </c>
      <c r="C1272" s="29" t="s">
        <v>1823</v>
      </c>
      <c r="D1272" s="29" t="s">
        <v>247</v>
      </c>
      <c r="E1272" s="29" t="s">
        <v>248</v>
      </c>
      <c r="F1272" s="29" t="s">
        <v>69</v>
      </c>
      <c r="G1272" s="29" t="s">
        <v>67</v>
      </c>
      <c r="H1272" s="29" t="s">
        <v>1844</v>
      </c>
      <c r="I1272" s="29" t="s">
        <v>1848</v>
      </c>
      <c r="J1272" s="29" t="n">
        <v>0</v>
      </c>
      <c r="K1272" s="29" t="n">
        <v>0</v>
      </c>
      <c r="L1272" s="29" t="s">
        <v>1849</v>
      </c>
    </row>
    <row r="1273" customFormat="false" ht="15" hidden="false" customHeight="false" outlineLevel="0" collapsed="false">
      <c r="A1273" s="29" t="n">
        <v>141042</v>
      </c>
      <c r="B1273" s="29" t="s">
        <v>1822</v>
      </c>
      <c r="C1273" s="29" t="s">
        <v>1823</v>
      </c>
      <c r="D1273" s="29" t="s">
        <v>265</v>
      </c>
      <c r="E1273" s="29" t="s">
        <v>266</v>
      </c>
      <c r="F1273" s="29" t="s">
        <v>69</v>
      </c>
      <c r="G1273" s="29" t="s">
        <v>67</v>
      </c>
      <c r="H1273" s="29" t="s">
        <v>1844</v>
      </c>
      <c r="I1273" s="29" t="s">
        <v>1845</v>
      </c>
      <c r="J1273" s="29" t="n">
        <v>0</v>
      </c>
      <c r="K1273" s="29" t="n">
        <v>0</v>
      </c>
      <c r="L1273" s="29" t="s">
        <v>1849</v>
      </c>
    </row>
    <row r="1274" customFormat="false" ht="15" hidden="false" customHeight="false" outlineLevel="0" collapsed="false">
      <c r="A1274" s="29" t="n">
        <v>141042</v>
      </c>
      <c r="B1274" s="29" t="s">
        <v>1822</v>
      </c>
      <c r="C1274" s="29" t="s">
        <v>1823</v>
      </c>
      <c r="D1274" s="29" t="s">
        <v>291</v>
      </c>
      <c r="E1274" s="29" t="s">
        <v>292</v>
      </c>
      <c r="F1274" s="29" t="s">
        <v>69</v>
      </c>
      <c r="G1274" s="29" t="s">
        <v>68</v>
      </c>
      <c r="H1274" s="29" t="s">
        <v>1381</v>
      </c>
      <c r="I1274" s="29" t="s">
        <v>1845</v>
      </c>
      <c r="J1274" s="29" t="n">
        <v>0</v>
      </c>
      <c r="K1274" s="29" t="n">
        <v>0</v>
      </c>
      <c r="L1274" s="29" t="s">
        <v>1849</v>
      </c>
    </row>
    <row r="1275" customFormat="false" ht="15" hidden="false" customHeight="false" outlineLevel="0" collapsed="false">
      <c r="A1275" s="29" t="n">
        <v>141042</v>
      </c>
      <c r="B1275" s="29" t="s">
        <v>1822</v>
      </c>
      <c r="C1275" s="29" t="s">
        <v>1823</v>
      </c>
      <c r="D1275" s="29" t="s">
        <v>297</v>
      </c>
      <c r="E1275" s="29" t="s">
        <v>298</v>
      </c>
      <c r="F1275" s="29" t="s">
        <v>69</v>
      </c>
      <c r="G1275" s="29" t="s">
        <v>68</v>
      </c>
      <c r="H1275" s="29" t="s">
        <v>1381</v>
      </c>
      <c r="I1275" s="29" t="s">
        <v>1848</v>
      </c>
      <c r="J1275" s="29" t="n">
        <v>0</v>
      </c>
      <c r="K1275" s="29" t="n">
        <v>0</v>
      </c>
      <c r="L1275" s="29" t="s">
        <v>1849</v>
      </c>
    </row>
  </sheetData>
  <conditionalFormatting sqref="L4:L1275">
    <cfRule type="cellIs" priority="2" operator="equal" aboveAverage="0" equalAverage="0" bottom="0" percent="0" rank="0" text="" dxfId="18">
      <formula>"Reported in Hub"</formula>
    </cfRule>
    <cfRule type="cellIs" priority="3" operator="equal" aboveAverage="0" equalAverage="0" bottom="0" percent="0" rank="0" text="" dxfId="16">
      <formula>"Possibly reported – check"</formula>
    </cfRule>
    <cfRule type="cellIs" priority="4" operator="equal" aboveAverage="0" equalAverage="0" bottom="0" percent="0" rank="0" text="" dxfId="15">
      <formula>"Not yet reported"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R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11"/>
    <col collapsed="false" customWidth="true" hidden="false" outlineLevel="0" max="70" min="4" style="0" width="3.2"/>
  </cols>
  <sheetData>
    <row r="1" customFormat="false" ht="15" hidden="false" customHeight="false" outlineLevel="0" collapsed="false">
      <c r="A1" s="5" t="s">
        <v>1885</v>
      </c>
    </row>
    <row r="2" customFormat="false" ht="169.5" hidden="false" customHeight="true" outlineLevel="0" collapsed="false">
      <c r="D2" s="30" t="s">
        <v>248</v>
      </c>
      <c r="E2" s="30" t="s">
        <v>266</v>
      </c>
      <c r="F2" s="30" t="s">
        <v>278</v>
      </c>
      <c r="G2" s="30" t="s">
        <v>286</v>
      </c>
      <c r="H2" s="30" t="s">
        <v>292</v>
      </c>
      <c r="I2" s="30" t="s">
        <v>298</v>
      </c>
      <c r="J2" s="30" t="s">
        <v>305</v>
      </c>
      <c r="K2" s="30" t="s">
        <v>312</v>
      </c>
      <c r="L2" s="30" t="s">
        <v>320</v>
      </c>
      <c r="M2" s="30" t="s">
        <v>326</v>
      </c>
      <c r="N2" s="30" t="s">
        <v>337</v>
      </c>
      <c r="O2" s="30" t="s">
        <v>344</v>
      </c>
      <c r="P2" s="30" t="s">
        <v>354</v>
      </c>
      <c r="Q2" s="30" t="s">
        <v>361</v>
      </c>
      <c r="R2" s="30" t="s">
        <v>372</v>
      </c>
      <c r="S2" s="30" t="s">
        <v>380</v>
      </c>
      <c r="T2" s="30" t="s">
        <v>388</v>
      </c>
      <c r="U2" s="30" t="s">
        <v>397</v>
      </c>
      <c r="V2" s="30" t="s">
        <v>404</v>
      </c>
      <c r="W2" s="30" t="s">
        <v>412</v>
      </c>
      <c r="X2" s="30" t="s">
        <v>418</v>
      </c>
      <c r="Y2" s="30" t="s">
        <v>423</v>
      </c>
      <c r="Z2" s="30" t="s">
        <v>429</v>
      </c>
      <c r="AA2" s="30" t="s">
        <v>434</v>
      </c>
      <c r="AB2" s="30" t="s">
        <v>444</v>
      </c>
      <c r="AC2" s="30" t="s">
        <v>452</v>
      </c>
      <c r="AD2" s="30" t="s">
        <v>460</v>
      </c>
      <c r="AE2" s="30" t="s">
        <v>467</v>
      </c>
      <c r="AF2" s="30" t="s">
        <v>473</v>
      </c>
      <c r="AG2" s="30" t="s">
        <v>478</v>
      </c>
      <c r="AH2" s="30" t="s">
        <v>487</v>
      </c>
      <c r="AI2" s="30" t="s">
        <v>495</v>
      </c>
      <c r="AJ2" s="30" t="s">
        <v>501</v>
      </c>
      <c r="AK2" s="30" t="s">
        <v>509</v>
      </c>
      <c r="AL2" s="30" t="s">
        <v>516</v>
      </c>
      <c r="AM2" s="30" t="s">
        <v>524</v>
      </c>
      <c r="AN2" s="30" t="s">
        <v>531</v>
      </c>
      <c r="AO2" s="30" t="s">
        <v>537</v>
      </c>
      <c r="AP2" s="30" t="s">
        <v>544</v>
      </c>
      <c r="AQ2" s="30" t="s">
        <v>552</v>
      </c>
      <c r="AR2" s="30" t="s">
        <v>559</v>
      </c>
      <c r="AS2" s="30" t="s">
        <v>566</v>
      </c>
      <c r="AT2" s="30" t="s">
        <v>573</v>
      </c>
      <c r="AU2" s="30" t="s">
        <v>582</v>
      </c>
      <c r="AV2" s="30" t="s">
        <v>591</v>
      </c>
      <c r="AW2" s="30" t="s">
        <v>598</v>
      </c>
      <c r="AX2" s="30" t="s">
        <v>605</v>
      </c>
      <c r="AY2" s="30" t="s">
        <v>613</v>
      </c>
      <c r="AZ2" s="30" t="s">
        <v>619</v>
      </c>
      <c r="BA2" s="30" t="s">
        <v>628</v>
      </c>
      <c r="BB2" s="30" t="s">
        <v>637</v>
      </c>
      <c r="BC2" s="30" t="s">
        <v>643</v>
      </c>
      <c r="BD2" s="30" t="s">
        <v>651</v>
      </c>
      <c r="BE2" s="30" t="s">
        <v>659</v>
      </c>
      <c r="BF2" s="30" t="s">
        <v>664</v>
      </c>
      <c r="BG2" s="30" t="s">
        <v>669</v>
      </c>
      <c r="BH2" s="30" t="s">
        <v>681</v>
      </c>
      <c r="BI2" s="30" t="s">
        <v>690</v>
      </c>
      <c r="BJ2" s="30" t="s">
        <v>694</v>
      </c>
      <c r="BK2" s="30" t="s">
        <v>700</v>
      </c>
      <c r="BL2" s="30" t="s">
        <v>708</v>
      </c>
      <c r="BM2" s="30" t="s">
        <v>712</v>
      </c>
      <c r="BN2" s="30" t="s">
        <v>722</v>
      </c>
      <c r="BO2" s="30" t="s">
        <v>730</v>
      </c>
      <c r="BP2" s="30" t="s">
        <v>738</v>
      </c>
      <c r="BQ2" s="30" t="s">
        <v>746</v>
      </c>
      <c r="BR2" s="30" t="s">
        <v>754</v>
      </c>
    </row>
    <row r="3" customFormat="false" ht="48" hidden="false" customHeight="true" outlineLevel="0" collapsed="false">
      <c r="A3" s="31" t="s">
        <v>1366</v>
      </c>
      <c r="B3" s="31" t="s">
        <v>1370</v>
      </c>
      <c r="C3" s="31" t="s">
        <v>1886</v>
      </c>
      <c r="D3" s="32" t="s">
        <v>247</v>
      </c>
      <c r="E3" s="32" t="s">
        <v>265</v>
      </c>
      <c r="F3" s="32" t="s">
        <v>277</v>
      </c>
      <c r="G3" s="32" t="s">
        <v>285</v>
      </c>
      <c r="H3" s="32" t="s">
        <v>291</v>
      </c>
      <c r="I3" s="32" t="s">
        <v>297</v>
      </c>
      <c r="J3" s="32" t="s">
        <v>304</v>
      </c>
      <c r="K3" s="32" t="s">
        <v>311</v>
      </c>
      <c r="L3" s="32" t="s">
        <v>319</v>
      </c>
      <c r="M3" s="33" t="s">
        <v>325</v>
      </c>
      <c r="N3" s="33" t="s">
        <v>336</v>
      </c>
      <c r="O3" s="33" t="s">
        <v>343</v>
      </c>
      <c r="P3" s="33" t="s">
        <v>353</v>
      </c>
      <c r="Q3" s="33" t="s">
        <v>360</v>
      </c>
      <c r="R3" s="33" t="s">
        <v>371</v>
      </c>
      <c r="S3" s="33" t="s">
        <v>379</v>
      </c>
      <c r="T3" s="33" t="s">
        <v>387</v>
      </c>
      <c r="U3" s="33" t="s">
        <v>396</v>
      </c>
      <c r="V3" s="33" t="s">
        <v>403</v>
      </c>
      <c r="W3" s="33" t="s">
        <v>411</v>
      </c>
      <c r="X3" s="33" t="s">
        <v>417</v>
      </c>
      <c r="Y3" s="33" t="s">
        <v>422</v>
      </c>
      <c r="Z3" s="33" t="s">
        <v>428</v>
      </c>
      <c r="AA3" s="34" t="s">
        <v>433</v>
      </c>
      <c r="AB3" s="34" t="s">
        <v>443</v>
      </c>
      <c r="AC3" s="34" t="s">
        <v>451</v>
      </c>
      <c r="AD3" s="34" t="s">
        <v>459</v>
      </c>
      <c r="AE3" s="34" t="s">
        <v>466</v>
      </c>
      <c r="AF3" s="34" t="s">
        <v>472</v>
      </c>
      <c r="AG3" s="34" t="s">
        <v>477</v>
      </c>
      <c r="AH3" s="34" t="s">
        <v>486</v>
      </c>
      <c r="AI3" s="34" t="s">
        <v>494</v>
      </c>
      <c r="AJ3" s="34" t="s">
        <v>500</v>
      </c>
      <c r="AK3" s="35" t="s">
        <v>508</v>
      </c>
      <c r="AL3" s="35" t="s">
        <v>515</v>
      </c>
      <c r="AM3" s="35" t="s">
        <v>523</v>
      </c>
      <c r="AN3" s="35" t="s">
        <v>530</v>
      </c>
      <c r="AO3" s="35" t="s">
        <v>536</v>
      </c>
      <c r="AP3" s="35" t="s">
        <v>543</v>
      </c>
      <c r="AQ3" s="35" t="s">
        <v>551</v>
      </c>
      <c r="AR3" s="35" t="s">
        <v>558</v>
      </c>
      <c r="AS3" s="35" t="s">
        <v>565</v>
      </c>
      <c r="AT3" s="35" t="s">
        <v>572</v>
      </c>
      <c r="AU3" s="36" t="s">
        <v>581</v>
      </c>
      <c r="AV3" s="36" t="s">
        <v>590</v>
      </c>
      <c r="AW3" s="36" t="s">
        <v>597</v>
      </c>
      <c r="AX3" s="36" t="s">
        <v>604</v>
      </c>
      <c r="AY3" s="36" t="s">
        <v>612</v>
      </c>
      <c r="AZ3" s="36" t="s">
        <v>618</v>
      </c>
      <c r="BA3" s="36" t="s">
        <v>627</v>
      </c>
      <c r="BB3" s="36" t="s">
        <v>636</v>
      </c>
      <c r="BC3" s="37" t="s">
        <v>642</v>
      </c>
      <c r="BD3" s="37" t="s">
        <v>650</v>
      </c>
      <c r="BE3" s="37" t="s">
        <v>658</v>
      </c>
      <c r="BF3" s="37" t="s">
        <v>663</v>
      </c>
      <c r="BG3" s="38" t="s">
        <v>668</v>
      </c>
      <c r="BH3" s="38" t="s">
        <v>680</v>
      </c>
      <c r="BI3" s="38" t="s">
        <v>689</v>
      </c>
      <c r="BJ3" s="39" t="s">
        <v>693</v>
      </c>
      <c r="BK3" s="39" t="s">
        <v>699</v>
      </c>
      <c r="BL3" s="39" t="s">
        <v>707</v>
      </c>
      <c r="BM3" s="40" t="s">
        <v>711</v>
      </c>
      <c r="BN3" s="40" t="s">
        <v>721</v>
      </c>
      <c r="BO3" s="40" t="s">
        <v>729</v>
      </c>
      <c r="BP3" s="40" t="s">
        <v>737</v>
      </c>
      <c r="BQ3" s="40" t="s">
        <v>745</v>
      </c>
      <c r="BR3" s="40" t="s">
        <v>753</v>
      </c>
    </row>
    <row r="4" customFormat="false" ht="15" hidden="false" customHeight="false" outlineLevel="0" collapsed="false">
      <c r="A4" s="2" t="n">
        <v>102121</v>
      </c>
      <c r="B4" s="2" t="s">
        <v>1390</v>
      </c>
      <c r="C4" s="41" t="s">
        <v>1887</v>
      </c>
      <c r="E4" s="42" t="s">
        <v>1888</v>
      </c>
      <c r="H4" s="42" t="s">
        <v>1889</v>
      </c>
    </row>
    <row r="5" customFormat="false" ht="15" hidden="false" customHeight="false" outlineLevel="0" collapsed="false">
      <c r="A5" s="2" t="n">
        <v>127867</v>
      </c>
      <c r="B5" s="2" t="s">
        <v>1400</v>
      </c>
      <c r="C5" s="41" t="s">
        <v>1887</v>
      </c>
      <c r="E5" s="42" t="s">
        <v>1888</v>
      </c>
      <c r="H5" s="42" t="s">
        <v>1889</v>
      </c>
    </row>
    <row r="6" customFormat="false" ht="15" hidden="false" customHeight="false" outlineLevel="0" collapsed="false">
      <c r="A6" s="2" t="n">
        <v>140619</v>
      </c>
      <c r="B6" s="2" t="s">
        <v>1406</v>
      </c>
      <c r="C6" s="41" t="s">
        <v>1887</v>
      </c>
      <c r="E6" s="42" t="s">
        <v>1888</v>
      </c>
      <c r="H6" s="42" t="s">
        <v>1889</v>
      </c>
    </row>
    <row r="7" customFormat="false" ht="15" hidden="false" customHeight="false" outlineLevel="0" collapsed="false">
      <c r="A7" s="2" t="n">
        <v>141105</v>
      </c>
      <c r="B7" s="2" t="s">
        <v>1412</v>
      </c>
      <c r="C7" s="41" t="s">
        <v>1887</v>
      </c>
      <c r="E7" s="42" t="s">
        <v>1888</v>
      </c>
      <c r="H7" s="42" t="s">
        <v>1889</v>
      </c>
      <c r="AK7" s="42" t="s">
        <v>1888</v>
      </c>
      <c r="AL7" s="42" t="s">
        <v>1888</v>
      </c>
      <c r="AN7" s="42" t="s">
        <v>1889</v>
      </c>
      <c r="AO7" s="42" t="s">
        <v>1889</v>
      </c>
      <c r="AP7" s="42" t="s">
        <v>1889</v>
      </c>
      <c r="AQ7" s="42" t="s">
        <v>1889</v>
      </c>
      <c r="AT7" s="42" t="s">
        <v>1889</v>
      </c>
    </row>
    <row r="8" customFormat="false" ht="15" hidden="false" customHeight="false" outlineLevel="0" collapsed="false">
      <c r="A8" s="2" t="n">
        <v>141300</v>
      </c>
      <c r="B8" s="2" t="s">
        <v>1418</v>
      </c>
      <c r="C8" s="41" t="s">
        <v>1890</v>
      </c>
      <c r="D8" s="42" t="s">
        <v>1888</v>
      </c>
      <c r="F8" s="43" t="s">
        <v>273</v>
      </c>
      <c r="I8" s="42" t="s">
        <v>1889</v>
      </c>
      <c r="J8" s="42" t="s">
        <v>1889</v>
      </c>
      <c r="K8" s="42" t="s">
        <v>1889</v>
      </c>
      <c r="M8" s="42" t="s">
        <v>1888</v>
      </c>
      <c r="N8" s="42" t="s">
        <v>1888</v>
      </c>
      <c r="P8" s="42" t="s">
        <v>1888</v>
      </c>
      <c r="T8" s="42" t="s">
        <v>1889</v>
      </c>
      <c r="U8" s="42" t="s">
        <v>1889</v>
      </c>
      <c r="V8" s="42" t="s">
        <v>1889</v>
      </c>
      <c r="Z8" s="42" t="s">
        <v>1889</v>
      </c>
      <c r="AA8" s="43" t="s">
        <v>273</v>
      </c>
      <c r="AC8" s="43" t="s">
        <v>273</v>
      </c>
      <c r="AD8" s="43" t="s">
        <v>273</v>
      </c>
      <c r="AE8" s="43" t="s">
        <v>273</v>
      </c>
      <c r="AK8" s="43" t="s">
        <v>273</v>
      </c>
      <c r="AL8" s="43" t="s">
        <v>273</v>
      </c>
      <c r="AM8" s="42" t="s">
        <v>1888</v>
      </c>
      <c r="AN8" s="42" t="s">
        <v>1889</v>
      </c>
      <c r="AO8" s="42" t="s">
        <v>1889</v>
      </c>
      <c r="AP8" s="42" t="s">
        <v>1889</v>
      </c>
      <c r="AQ8" s="42" t="s">
        <v>1889</v>
      </c>
      <c r="AR8" s="42" t="s">
        <v>1889</v>
      </c>
      <c r="AS8" s="42" t="s">
        <v>1889</v>
      </c>
      <c r="AT8" s="42" t="s">
        <v>1889</v>
      </c>
      <c r="AU8" s="42" t="s">
        <v>1888</v>
      </c>
      <c r="AV8" s="42" t="s">
        <v>1888</v>
      </c>
      <c r="AW8" s="42" t="s">
        <v>1888</v>
      </c>
      <c r="AX8" s="42" t="s">
        <v>1889</v>
      </c>
      <c r="AY8" s="42" t="s">
        <v>1889</v>
      </c>
      <c r="AZ8" s="42" t="s">
        <v>1889</v>
      </c>
      <c r="BA8" s="42" t="s">
        <v>1889</v>
      </c>
      <c r="BB8" s="42" t="s">
        <v>1889</v>
      </c>
      <c r="BG8" s="43" t="s">
        <v>273</v>
      </c>
      <c r="BH8" s="43" t="s">
        <v>273</v>
      </c>
      <c r="BM8" s="43" t="s">
        <v>273</v>
      </c>
      <c r="BN8" s="43" t="s">
        <v>273</v>
      </c>
      <c r="BQ8" s="42" t="s">
        <v>1888</v>
      </c>
      <c r="BR8" s="42" t="s">
        <v>1889</v>
      </c>
    </row>
    <row r="9" customFormat="false" ht="15" hidden="false" customHeight="false" outlineLevel="0" collapsed="false">
      <c r="A9" s="2" t="n">
        <v>140915</v>
      </c>
      <c r="B9" s="2" t="s">
        <v>1429</v>
      </c>
      <c r="C9" s="41" t="s">
        <v>1891</v>
      </c>
      <c r="D9" s="42" t="s">
        <v>1888</v>
      </c>
      <c r="I9" s="42" t="s">
        <v>1889</v>
      </c>
      <c r="AA9" s="43" t="s">
        <v>273</v>
      </c>
      <c r="AB9" s="43" t="s">
        <v>273</v>
      </c>
      <c r="AF9" s="43" t="s">
        <v>273</v>
      </c>
      <c r="AG9" s="43" t="s">
        <v>273</v>
      </c>
      <c r="AH9" s="42" t="s">
        <v>1888</v>
      </c>
      <c r="AJ9" s="42" t="s">
        <v>1889</v>
      </c>
      <c r="AV9" s="42" t="s">
        <v>1888</v>
      </c>
      <c r="AW9" s="42" t="s">
        <v>1888</v>
      </c>
      <c r="AX9" s="42" t="s">
        <v>1889</v>
      </c>
      <c r="AY9" s="42" t="s">
        <v>1889</v>
      </c>
      <c r="AZ9" s="42" t="s">
        <v>1889</v>
      </c>
      <c r="BG9" s="43" t="s">
        <v>273</v>
      </c>
      <c r="BH9" s="43" t="s">
        <v>273</v>
      </c>
      <c r="BM9" s="43" t="s">
        <v>273</v>
      </c>
      <c r="BN9" s="43" t="s">
        <v>273</v>
      </c>
      <c r="BQ9" s="42" t="s">
        <v>1888</v>
      </c>
      <c r="BR9" s="42" t="s">
        <v>1889</v>
      </c>
    </row>
    <row r="10" customFormat="false" ht="15" hidden="false" customHeight="false" outlineLevel="0" collapsed="false">
      <c r="A10" s="2" t="n">
        <v>141297</v>
      </c>
      <c r="B10" s="2" t="s">
        <v>1437</v>
      </c>
      <c r="C10" s="41" t="s">
        <v>1892</v>
      </c>
      <c r="D10" s="42" t="s">
        <v>1888</v>
      </c>
      <c r="E10" s="43" t="s">
        <v>273</v>
      </c>
      <c r="G10" s="42" t="s">
        <v>1889</v>
      </c>
      <c r="H10" s="42" t="s">
        <v>1889</v>
      </c>
      <c r="I10" s="42" t="s">
        <v>1889</v>
      </c>
      <c r="AA10" s="43" t="s">
        <v>273</v>
      </c>
      <c r="BG10" s="43" t="s">
        <v>273</v>
      </c>
      <c r="BH10" s="43" t="s">
        <v>273</v>
      </c>
      <c r="BM10" s="43" t="s">
        <v>273</v>
      </c>
    </row>
    <row r="11" customFormat="false" ht="15" hidden="false" customHeight="false" outlineLevel="0" collapsed="false">
      <c r="A11" s="2" t="n">
        <v>141343</v>
      </c>
      <c r="B11" s="2" t="s">
        <v>1445</v>
      </c>
      <c r="C11" s="41" t="s">
        <v>1892</v>
      </c>
      <c r="D11" s="42" t="s">
        <v>1888</v>
      </c>
      <c r="E11" s="43" t="s">
        <v>273</v>
      </c>
      <c r="H11" s="42" t="s">
        <v>1889</v>
      </c>
      <c r="I11" s="42" t="s">
        <v>1889</v>
      </c>
      <c r="AA11" s="43" t="s">
        <v>273</v>
      </c>
      <c r="AK11" s="42" t="s">
        <v>1888</v>
      </c>
      <c r="AL11" s="42" t="s">
        <v>1888</v>
      </c>
      <c r="AN11" s="42" t="s">
        <v>1889</v>
      </c>
      <c r="AO11" s="42" t="s">
        <v>1889</v>
      </c>
      <c r="AP11" s="42" t="s">
        <v>1889</v>
      </c>
      <c r="AQ11" s="42" t="s">
        <v>1889</v>
      </c>
      <c r="AT11" s="42" t="s">
        <v>1889</v>
      </c>
      <c r="BG11" s="43" t="s">
        <v>273</v>
      </c>
      <c r="BH11" s="43" t="s">
        <v>273</v>
      </c>
      <c r="BM11" s="43" t="s">
        <v>273</v>
      </c>
    </row>
    <row r="12" customFormat="false" ht="15" hidden="false" customHeight="false" outlineLevel="0" collapsed="false">
      <c r="A12" s="2" t="n">
        <v>102312</v>
      </c>
      <c r="B12" s="2" t="s">
        <v>1451</v>
      </c>
      <c r="C12" s="41" t="s">
        <v>1887</v>
      </c>
      <c r="E12" s="42" t="s">
        <v>1888</v>
      </c>
      <c r="H12" s="42" t="s">
        <v>1889</v>
      </c>
    </row>
    <row r="13" customFormat="false" ht="15" hidden="false" customHeight="false" outlineLevel="0" collapsed="false">
      <c r="A13" s="2" t="n">
        <v>140410</v>
      </c>
      <c r="B13" s="2" t="s">
        <v>1457</v>
      </c>
      <c r="C13" s="41" t="s">
        <v>1887</v>
      </c>
      <c r="D13" s="44" t="s">
        <v>1888</v>
      </c>
      <c r="E13" s="45" t="s">
        <v>1888</v>
      </c>
      <c r="G13" s="42" t="s">
        <v>1889</v>
      </c>
      <c r="H13" s="42" t="s">
        <v>1889</v>
      </c>
      <c r="I13" s="42" t="s">
        <v>1889</v>
      </c>
    </row>
    <row r="14" customFormat="false" ht="15" hidden="false" customHeight="false" outlineLevel="0" collapsed="false">
      <c r="A14" s="2" t="n">
        <v>140520</v>
      </c>
      <c r="B14" s="2" t="s">
        <v>1462</v>
      </c>
      <c r="C14" s="41" t="s">
        <v>1887</v>
      </c>
      <c r="AB14" s="42" t="s">
        <v>1888</v>
      </c>
      <c r="AF14" s="42" t="s">
        <v>1888</v>
      </c>
      <c r="AG14" s="42" t="s">
        <v>1888</v>
      </c>
      <c r="AH14" s="42" t="s">
        <v>1888</v>
      </c>
      <c r="AJ14" s="42" t="s">
        <v>1889</v>
      </c>
    </row>
    <row r="15" customFormat="false" ht="15" hidden="false" customHeight="false" outlineLevel="0" collapsed="false">
      <c r="A15" s="2" t="n">
        <v>141291</v>
      </c>
      <c r="B15" s="2" t="s">
        <v>1468</v>
      </c>
      <c r="C15" s="41" t="s">
        <v>1887</v>
      </c>
      <c r="AC15" s="42" t="s">
        <v>1888</v>
      </c>
      <c r="AD15" s="42" t="s">
        <v>1888</v>
      </c>
      <c r="AE15" s="42" t="s">
        <v>1888</v>
      </c>
      <c r="AH15" s="42" t="s">
        <v>1888</v>
      </c>
      <c r="AJ15" s="42" t="s">
        <v>1889</v>
      </c>
      <c r="AV15" s="42" t="s">
        <v>1888</v>
      </c>
      <c r="AW15" s="42" t="s">
        <v>1888</v>
      </c>
      <c r="AX15" s="42" t="s">
        <v>1889</v>
      </c>
      <c r="AY15" s="42" t="s">
        <v>1889</v>
      </c>
      <c r="AZ15" s="42" t="s">
        <v>1889</v>
      </c>
    </row>
    <row r="16" customFormat="false" ht="15" hidden="false" customHeight="false" outlineLevel="0" collapsed="false">
      <c r="A16" s="2" t="n">
        <v>103594</v>
      </c>
      <c r="B16" s="2" t="s">
        <v>1474</v>
      </c>
      <c r="C16" s="41" t="s">
        <v>1887</v>
      </c>
      <c r="E16" s="42" t="s">
        <v>1888</v>
      </c>
      <c r="H16" s="42" t="s">
        <v>1889</v>
      </c>
    </row>
    <row r="17" customFormat="false" ht="15" hidden="false" customHeight="false" outlineLevel="0" collapsed="false">
      <c r="A17" s="2" t="n">
        <v>133387</v>
      </c>
      <c r="B17" s="2" t="s">
        <v>1481</v>
      </c>
      <c r="C17" s="41" t="s">
        <v>1893</v>
      </c>
      <c r="D17" s="42" t="s">
        <v>1888</v>
      </c>
      <c r="F17" s="43" t="s">
        <v>273</v>
      </c>
      <c r="I17" s="42" t="s">
        <v>1889</v>
      </c>
      <c r="M17" s="42" t="s">
        <v>1888</v>
      </c>
      <c r="N17" s="44" t="s">
        <v>1888</v>
      </c>
      <c r="P17" s="44" t="s">
        <v>1888</v>
      </c>
      <c r="T17" s="42" t="s">
        <v>1889</v>
      </c>
      <c r="U17" s="42" t="s">
        <v>1889</v>
      </c>
      <c r="V17" s="42" t="s">
        <v>1889</v>
      </c>
      <c r="Z17" s="42" t="s">
        <v>1889</v>
      </c>
      <c r="AA17" s="43" t="s">
        <v>273</v>
      </c>
      <c r="AK17" s="46" t="s">
        <v>273</v>
      </c>
      <c r="AL17" s="43" t="s">
        <v>273</v>
      </c>
      <c r="BG17" s="43" t="s">
        <v>273</v>
      </c>
      <c r="BH17" s="43" t="s">
        <v>273</v>
      </c>
      <c r="BK17" s="42" t="s">
        <v>1889</v>
      </c>
      <c r="BM17" s="46" t="s">
        <v>273</v>
      </c>
      <c r="BN17" s="43" t="s">
        <v>273</v>
      </c>
      <c r="BQ17" s="42" t="s">
        <v>1888</v>
      </c>
      <c r="BR17" s="42" t="s">
        <v>1889</v>
      </c>
    </row>
    <row r="18" customFormat="false" ht="15" hidden="false" customHeight="false" outlineLevel="0" collapsed="false">
      <c r="A18" s="2" t="n">
        <v>141081</v>
      </c>
      <c r="B18" s="2" t="s">
        <v>1489</v>
      </c>
      <c r="C18" s="41" t="s">
        <v>1893</v>
      </c>
      <c r="D18" s="42" t="s">
        <v>1888</v>
      </c>
      <c r="F18" s="43" t="s">
        <v>273</v>
      </c>
      <c r="I18" s="44" t="s">
        <v>1889</v>
      </c>
      <c r="P18" s="42" t="s">
        <v>1888</v>
      </c>
      <c r="T18" s="42" t="s">
        <v>1889</v>
      </c>
      <c r="U18" s="42" t="s">
        <v>1889</v>
      </c>
      <c r="X18" s="44" t="s">
        <v>1889</v>
      </c>
      <c r="Y18" s="44" t="s">
        <v>1889</v>
      </c>
      <c r="Z18" s="42" t="s">
        <v>1889</v>
      </c>
      <c r="AA18" s="43" t="s">
        <v>273</v>
      </c>
      <c r="AK18" s="43" t="s">
        <v>273</v>
      </c>
      <c r="AL18" s="43" t="s">
        <v>273</v>
      </c>
      <c r="BG18" s="43" t="s">
        <v>273</v>
      </c>
      <c r="BH18" s="43" t="s">
        <v>273</v>
      </c>
      <c r="BK18" s="42" t="s">
        <v>1889</v>
      </c>
      <c r="BM18" s="46" t="s">
        <v>273</v>
      </c>
      <c r="BN18" s="43" t="s">
        <v>273</v>
      </c>
      <c r="BQ18" s="42" t="s">
        <v>1888</v>
      </c>
      <c r="BR18" s="42" t="s">
        <v>1889</v>
      </c>
    </row>
    <row r="19" customFormat="false" ht="15" hidden="false" customHeight="false" outlineLevel="0" collapsed="false">
      <c r="A19" s="2" t="n">
        <v>111269</v>
      </c>
      <c r="B19" s="2" t="s">
        <v>1496</v>
      </c>
      <c r="C19" s="41" t="s">
        <v>1892</v>
      </c>
      <c r="D19" s="42" t="s">
        <v>1888</v>
      </c>
      <c r="E19" s="43" t="s">
        <v>273</v>
      </c>
      <c r="H19" s="44" t="s">
        <v>1889</v>
      </c>
      <c r="I19" s="44" t="s">
        <v>1889</v>
      </c>
      <c r="Z19" s="44" t="s">
        <v>1889</v>
      </c>
      <c r="AA19" s="43" t="s">
        <v>273</v>
      </c>
      <c r="AK19" s="44" t="s">
        <v>1888</v>
      </c>
      <c r="AL19" s="42" t="s">
        <v>1888</v>
      </c>
      <c r="AN19" s="42" t="s">
        <v>1889</v>
      </c>
      <c r="AO19" s="42" t="s">
        <v>1889</v>
      </c>
      <c r="AP19" s="42" t="s">
        <v>1889</v>
      </c>
      <c r="AQ19" s="44" t="s">
        <v>1889</v>
      </c>
      <c r="AT19" s="42" t="s">
        <v>1889</v>
      </c>
      <c r="BG19" s="43" t="s">
        <v>273</v>
      </c>
      <c r="BH19" s="43" t="s">
        <v>273</v>
      </c>
      <c r="BI19" s="44" t="s">
        <v>1888</v>
      </c>
      <c r="BM19" s="46" t="s">
        <v>273</v>
      </c>
    </row>
    <row r="20" customFormat="false" ht="15" hidden="false" customHeight="false" outlineLevel="0" collapsed="false">
      <c r="A20" s="2" t="n">
        <v>122613</v>
      </c>
      <c r="B20" s="2" t="s">
        <v>1502</v>
      </c>
      <c r="C20" s="41" t="s">
        <v>1892</v>
      </c>
      <c r="D20" s="42" t="s">
        <v>1888</v>
      </c>
      <c r="E20" s="43" t="s">
        <v>273</v>
      </c>
      <c r="H20" s="42" t="s">
        <v>1889</v>
      </c>
      <c r="I20" s="42" t="s">
        <v>1889</v>
      </c>
      <c r="P20" s="42" t="s">
        <v>1888</v>
      </c>
      <c r="T20" s="42" t="s">
        <v>1889</v>
      </c>
      <c r="U20" s="42" t="s">
        <v>1889</v>
      </c>
      <c r="Z20" s="42" t="s">
        <v>1889</v>
      </c>
      <c r="AA20" s="43" t="s">
        <v>273</v>
      </c>
      <c r="BG20" s="43" t="s">
        <v>273</v>
      </c>
      <c r="BH20" s="43" t="s">
        <v>273</v>
      </c>
      <c r="BM20" s="43" t="s">
        <v>273</v>
      </c>
    </row>
    <row r="21" customFormat="false" ht="15" hidden="false" customHeight="false" outlineLevel="0" collapsed="false">
      <c r="A21" s="2" t="n">
        <v>132798</v>
      </c>
      <c r="B21" s="2" t="s">
        <v>1508</v>
      </c>
      <c r="C21" s="41" t="s">
        <v>1892</v>
      </c>
      <c r="D21" s="42" t="s">
        <v>1888</v>
      </c>
      <c r="E21" s="43" t="s">
        <v>273</v>
      </c>
      <c r="H21" s="44" t="s">
        <v>1889</v>
      </c>
      <c r="I21" s="42" t="s">
        <v>1889</v>
      </c>
      <c r="O21" s="42" t="s">
        <v>1888</v>
      </c>
      <c r="Q21" s="44" t="s">
        <v>1888</v>
      </c>
      <c r="R21" s="42" t="s">
        <v>1888</v>
      </c>
      <c r="S21" s="44" t="s">
        <v>1889</v>
      </c>
      <c r="W21" s="44" t="s">
        <v>1889</v>
      </c>
      <c r="AA21" s="43" t="s">
        <v>273</v>
      </c>
      <c r="BG21" s="43" t="s">
        <v>273</v>
      </c>
      <c r="BH21" s="43" t="s">
        <v>273</v>
      </c>
      <c r="BM21" s="46" t="s">
        <v>273</v>
      </c>
    </row>
    <row r="22" customFormat="false" ht="15" hidden="false" customHeight="false" outlineLevel="0" collapsed="false">
      <c r="A22" s="2" t="n">
        <v>133375</v>
      </c>
      <c r="B22" s="2" t="s">
        <v>1515</v>
      </c>
      <c r="C22" s="41" t="s">
        <v>1892</v>
      </c>
      <c r="D22" s="42" t="s">
        <v>1888</v>
      </c>
      <c r="E22" s="43" t="s">
        <v>273</v>
      </c>
      <c r="G22" s="42" t="s">
        <v>1889</v>
      </c>
      <c r="H22" s="44" t="s">
        <v>1889</v>
      </c>
      <c r="I22" s="44" t="s">
        <v>1889</v>
      </c>
      <c r="AA22" s="43" t="s">
        <v>273</v>
      </c>
      <c r="BG22" s="43" t="s">
        <v>273</v>
      </c>
      <c r="BH22" s="43" t="s">
        <v>273</v>
      </c>
      <c r="BM22" s="43" t="s">
        <v>273</v>
      </c>
    </row>
    <row r="23" customFormat="false" ht="15" hidden="false" customHeight="false" outlineLevel="0" collapsed="false">
      <c r="A23" s="2" t="n">
        <v>133386</v>
      </c>
      <c r="B23" s="2" t="s">
        <v>1520</v>
      </c>
      <c r="C23" s="41" t="s">
        <v>1892</v>
      </c>
      <c r="D23" s="42" t="s">
        <v>1888</v>
      </c>
      <c r="E23" s="43" t="s">
        <v>273</v>
      </c>
      <c r="H23" s="42" t="s">
        <v>1889</v>
      </c>
      <c r="I23" s="42" t="s">
        <v>1889</v>
      </c>
      <c r="P23" s="42" t="s">
        <v>1888</v>
      </c>
      <c r="T23" s="42" t="s">
        <v>1889</v>
      </c>
      <c r="U23" s="42" t="s">
        <v>1889</v>
      </c>
      <c r="Z23" s="42" t="s">
        <v>1889</v>
      </c>
      <c r="AA23" s="43" t="s">
        <v>273</v>
      </c>
      <c r="BG23" s="43" t="s">
        <v>273</v>
      </c>
      <c r="BH23" s="43" t="s">
        <v>273</v>
      </c>
      <c r="BM23" s="43" t="s">
        <v>273</v>
      </c>
    </row>
    <row r="24" customFormat="false" ht="15" hidden="false" customHeight="false" outlineLevel="0" collapsed="false">
      <c r="A24" s="2" t="n">
        <v>133560</v>
      </c>
      <c r="B24" s="2" t="s">
        <v>1525</v>
      </c>
      <c r="C24" s="41" t="s">
        <v>1892</v>
      </c>
      <c r="D24" s="44" t="s">
        <v>1888</v>
      </c>
      <c r="E24" s="43" t="s">
        <v>273</v>
      </c>
      <c r="F24" s="44" t="s">
        <v>1888</v>
      </c>
      <c r="I24" s="44" t="s">
        <v>1889</v>
      </c>
      <c r="J24" s="42" t="s">
        <v>1889</v>
      </c>
      <c r="K24" s="42" t="s">
        <v>1889</v>
      </c>
      <c r="O24" s="42" t="s">
        <v>1888</v>
      </c>
      <c r="Q24" s="44" t="s">
        <v>1888</v>
      </c>
      <c r="R24" s="42" t="s">
        <v>1888</v>
      </c>
      <c r="S24" s="44" t="s">
        <v>1889</v>
      </c>
      <c r="W24" s="44" t="s">
        <v>1889</v>
      </c>
      <c r="AA24" s="43" t="s">
        <v>273</v>
      </c>
      <c r="BG24" s="43" t="s">
        <v>273</v>
      </c>
      <c r="BH24" s="43" t="s">
        <v>273</v>
      </c>
      <c r="BM24" s="46" t="s">
        <v>273</v>
      </c>
    </row>
    <row r="25" customFormat="false" ht="15" hidden="false" customHeight="false" outlineLevel="0" collapsed="false">
      <c r="A25" s="2" t="n">
        <v>133561</v>
      </c>
      <c r="B25" s="2" t="s">
        <v>1531</v>
      </c>
      <c r="C25" s="41" t="s">
        <v>1892</v>
      </c>
      <c r="D25" s="42" t="s">
        <v>1888</v>
      </c>
      <c r="E25" s="43" t="s">
        <v>273</v>
      </c>
      <c r="I25" s="42" t="s">
        <v>1889</v>
      </c>
      <c r="P25" s="42" t="s">
        <v>1888</v>
      </c>
      <c r="T25" s="42" t="s">
        <v>1889</v>
      </c>
      <c r="U25" s="42" t="s">
        <v>1889</v>
      </c>
      <c r="Z25" s="42" t="s">
        <v>1889</v>
      </c>
      <c r="AA25" s="43" t="s">
        <v>273</v>
      </c>
      <c r="BG25" s="43" t="s">
        <v>273</v>
      </c>
      <c r="BH25" s="43" t="s">
        <v>273</v>
      </c>
      <c r="BI25" s="42" t="s">
        <v>1888</v>
      </c>
      <c r="BM25" s="46" t="s">
        <v>273</v>
      </c>
    </row>
    <row r="26" customFormat="false" ht="15" hidden="false" customHeight="false" outlineLevel="0" collapsed="false">
      <c r="A26" s="2" t="n">
        <v>140885</v>
      </c>
      <c r="B26" s="2" t="s">
        <v>1538</v>
      </c>
      <c r="C26" s="41" t="s">
        <v>1893</v>
      </c>
      <c r="D26" s="42" t="s">
        <v>1888</v>
      </c>
      <c r="F26" s="43" t="s">
        <v>273</v>
      </c>
      <c r="I26" s="42" t="s">
        <v>1889</v>
      </c>
      <c r="M26" s="42" t="s">
        <v>1888</v>
      </c>
      <c r="N26" s="42" t="s">
        <v>1888</v>
      </c>
      <c r="V26" s="42" t="s">
        <v>1889</v>
      </c>
      <c r="AA26" s="43" t="s">
        <v>273</v>
      </c>
      <c r="AK26" s="43" t="s">
        <v>273</v>
      </c>
      <c r="AL26" s="43" t="s">
        <v>273</v>
      </c>
      <c r="AU26" s="42" t="s">
        <v>1888</v>
      </c>
      <c r="AV26" s="42" t="s">
        <v>1888</v>
      </c>
      <c r="AW26" s="42" t="s">
        <v>1888</v>
      </c>
      <c r="AX26" s="42" t="s">
        <v>1889</v>
      </c>
      <c r="AY26" s="42" t="s">
        <v>1889</v>
      </c>
      <c r="AZ26" s="42" t="s">
        <v>1889</v>
      </c>
      <c r="BA26" s="42" t="s">
        <v>1889</v>
      </c>
      <c r="BB26" s="42" t="s">
        <v>1889</v>
      </c>
      <c r="BG26" s="43" t="s">
        <v>273</v>
      </c>
      <c r="BH26" s="43" t="s">
        <v>273</v>
      </c>
      <c r="BM26" s="43" t="s">
        <v>273</v>
      </c>
      <c r="BN26" s="43" t="s">
        <v>273</v>
      </c>
      <c r="BQ26" s="42" t="s">
        <v>1888</v>
      </c>
      <c r="BR26" s="42" t="s">
        <v>1889</v>
      </c>
    </row>
    <row r="27" customFormat="false" ht="15" hidden="false" customHeight="false" outlineLevel="0" collapsed="false">
      <c r="A27" s="2" t="n">
        <v>133419</v>
      </c>
      <c r="B27" s="2" t="s">
        <v>1545</v>
      </c>
      <c r="C27" s="41" t="s">
        <v>1892</v>
      </c>
      <c r="E27" s="43" t="s">
        <v>273</v>
      </c>
      <c r="H27" s="42" t="s">
        <v>1889</v>
      </c>
      <c r="Z27" s="42" t="s">
        <v>1889</v>
      </c>
      <c r="AA27" s="43" t="s">
        <v>273</v>
      </c>
      <c r="BG27" s="43" t="s">
        <v>273</v>
      </c>
      <c r="BH27" s="43" t="s">
        <v>273</v>
      </c>
      <c r="BI27" s="42" t="s">
        <v>1888</v>
      </c>
      <c r="BM27" s="43" t="s">
        <v>273</v>
      </c>
    </row>
    <row r="28" customFormat="false" ht="15" hidden="false" customHeight="false" outlineLevel="0" collapsed="false">
      <c r="A28" s="2" t="n">
        <v>141057</v>
      </c>
      <c r="B28" s="2" t="s">
        <v>1562</v>
      </c>
      <c r="C28" s="41" t="s">
        <v>1894</v>
      </c>
      <c r="AA28" s="46" t="s">
        <v>273</v>
      </c>
      <c r="AB28" s="46" t="s">
        <v>273</v>
      </c>
      <c r="AC28" s="43" t="s">
        <v>273</v>
      </c>
      <c r="AD28" s="46" t="s">
        <v>273</v>
      </c>
      <c r="AE28" s="43" t="s">
        <v>273</v>
      </c>
      <c r="AF28" s="43" t="s">
        <v>273</v>
      </c>
      <c r="AG28" s="43" t="s">
        <v>273</v>
      </c>
      <c r="AH28" s="42" t="s">
        <v>1888</v>
      </c>
      <c r="AJ28" s="42" t="s">
        <v>1889</v>
      </c>
      <c r="AV28" s="44" t="s">
        <v>1888</v>
      </c>
      <c r="AW28" s="42" t="s">
        <v>1888</v>
      </c>
      <c r="AX28" s="42" t="s">
        <v>1889</v>
      </c>
      <c r="AY28" s="42" t="s">
        <v>1889</v>
      </c>
      <c r="AZ28" s="42" t="s">
        <v>1889</v>
      </c>
      <c r="BG28" s="43" t="s">
        <v>273</v>
      </c>
      <c r="BH28" s="43" t="s">
        <v>273</v>
      </c>
      <c r="BM28" s="43" t="s">
        <v>273</v>
      </c>
      <c r="BN28" s="43" t="s">
        <v>273</v>
      </c>
    </row>
    <row r="29" customFormat="false" ht="15" hidden="false" customHeight="false" outlineLevel="0" collapsed="false">
      <c r="A29" s="2" t="n">
        <v>131425</v>
      </c>
      <c r="B29" s="2" t="s">
        <v>1569</v>
      </c>
      <c r="C29" s="41" t="s">
        <v>1891</v>
      </c>
      <c r="P29" s="44" t="s">
        <v>1888</v>
      </c>
      <c r="T29" s="42" t="s">
        <v>1889</v>
      </c>
      <c r="U29" s="42" t="s">
        <v>1889</v>
      </c>
      <c r="Z29" s="42" t="s">
        <v>1889</v>
      </c>
      <c r="AA29" s="46" t="s">
        <v>273</v>
      </c>
      <c r="AB29" s="46" t="s">
        <v>273</v>
      </c>
      <c r="AF29" s="43" t="s">
        <v>273</v>
      </c>
      <c r="AG29" s="43" t="s">
        <v>273</v>
      </c>
      <c r="BG29" s="43" t="s">
        <v>273</v>
      </c>
      <c r="BH29" s="43" t="s">
        <v>273</v>
      </c>
      <c r="BM29" s="43" t="s">
        <v>273</v>
      </c>
      <c r="BN29" s="43" t="s">
        <v>273</v>
      </c>
    </row>
    <row r="30" customFormat="false" ht="15" hidden="false" customHeight="false" outlineLevel="0" collapsed="false">
      <c r="A30" s="2" t="n">
        <v>133946</v>
      </c>
      <c r="B30" s="2" t="s">
        <v>1576</v>
      </c>
      <c r="C30" s="41" t="s">
        <v>1891</v>
      </c>
      <c r="AA30" s="43" t="s">
        <v>273</v>
      </c>
      <c r="AB30" s="43" t="s">
        <v>273</v>
      </c>
      <c r="AF30" s="43" t="s">
        <v>273</v>
      </c>
      <c r="AG30" s="43" t="s">
        <v>273</v>
      </c>
      <c r="AH30" s="42" t="s">
        <v>1888</v>
      </c>
      <c r="AJ30" s="42" t="s">
        <v>1889</v>
      </c>
      <c r="BG30" s="43" t="s">
        <v>273</v>
      </c>
      <c r="BH30" s="43" t="s">
        <v>273</v>
      </c>
      <c r="BM30" s="43" t="s">
        <v>273</v>
      </c>
      <c r="BN30" s="43" t="s">
        <v>273</v>
      </c>
    </row>
    <row r="31" customFormat="false" ht="15" hidden="false" customHeight="false" outlineLevel="0" collapsed="false">
      <c r="A31" s="2" t="n">
        <v>140783</v>
      </c>
      <c r="B31" s="2" t="s">
        <v>1581</v>
      </c>
      <c r="C31" s="41" t="s">
        <v>1891</v>
      </c>
      <c r="AA31" s="46" t="s">
        <v>273</v>
      </c>
      <c r="AB31" s="46" t="s">
        <v>273</v>
      </c>
      <c r="AF31" s="43" t="s">
        <v>273</v>
      </c>
      <c r="AG31" s="43" t="s">
        <v>273</v>
      </c>
      <c r="AH31" s="42" t="s">
        <v>1888</v>
      </c>
      <c r="AJ31" s="42" t="s">
        <v>1889</v>
      </c>
      <c r="AV31" s="44" t="s">
        <v>1888</v>
      </c>
      <c r="AW31" s="42" t="s">
        <v>1888</v>
      </c>
      <c r="AX31" s="42" t="s">
        <v>1889</v>
      </c>
      <c r="AY31" s="42" t="s">
        <v>1889</v>
      </c>
      <c r="AZ31" s="42" t="s">
        <v>1889</v>
      </c>
      <c r="BG31" s="43" t="s">
        <v>273</v>
      </c>
      <c r="BH31" s="43" t="s">
        <v>273</v>
      </c>
      <c r="BM31" s="43" t="s">
        <v>273</v>
      </c>
      <c r="BN31" s="43" t="s">
        <v>273</v>
      </c>
    </row>
    <row r="32" customFormat="false" ht="15" hidden="false" customHeight="false" outlineLevel="0" collapsed="false">
      <c r="A32" s="2" t="n">
        <v>141114</v>
      </c>
      <c r="B32" s="2" t="s">
        <v>1587</v>
      </c>
      <c r="C32" s="41" t="s">
        <v>1891</v>
      </c>
      <c r="AA32" s="46" t="s">
        <v>273</v>
      </c>
      <c r="AB32" s="46" t="s">
        <v>273</v>
      </c>
      <c r="AF32" s="43" t="s">
        <v>273</v>
      </c>
      <c r="AG32" s="43" t="s">
        <v>273</v>
      </c>
      <c r="AH32" s="42" t="s">
        <v>1888</v>
      </c>
      <c r="AJ32" s="42" t="s">
        <v>1889</v>
      </c>
      <c r="BG32" s="43" t="s">
        <v>273</v>
      </c>
      <c r="BH32" s="43" t="s">
        <v>273</v>
      </c>
      <c r="BM32" s="43" t="s">
        <v>273</v>
      </c>
      <c r="BN32" s="43" t="s">
        <v>273</v>
      </c>
    </row>
    <row r="33" customFormat="false" ht="15" hidden="false" customHeight="false" outlineLevel="0" collapsed="false">
      <c r="A33" s="2" t="n">
        <v>141415</v>
      </c>
      <c r="B33" s="2" t="s">
        <v>1592</v>
      </c>
      <c r="C33" s="41" t="s">
        <v>1891</v>
      </c>
      <c r="P33" s="42" t="s">
        <v>1888</v>
      </c>
      <c r="T33" s="42" t="s">
        <v>1889</v>
      </c>
      <c r="U33" s="42" t="s">
        <v>1889</v>
      </c>
      <c r="Z33" s="42" t="s">
        <v>1889</v>
      </c>
      <c r="AA33" s="43" t="s">
        <v>273</v>
      </c>
      <c r="AB33" s="43" t="s">
        <v>273</v>
      </c>
      <c r="AF33" s="43" t="s">
        <v>273</v>
      </c>
      <c r="AG33" s="43" t="s">
        <v>273</v>
      </c>
      <c r="BG33" s="43" t="s">
        <v>273</v>
      </c>
      <c r="BH33" s="43" t="s">
        <v>273</v>
      </c>
      <c r="BM33" s="43" t="s">
        <v>273</v>
      </c>
      <c r="BN33" s="43" t="s">
        <v>273</v>
      </c>
    </row>
    <row r="34" customFormat="false" ht="15" hidden="false" customHeight="false" outlineLevel="0" collapsed="false">
      <c r="A34" s="2" t="n">
        <v>123542</v>
      </c>
      <c r="B34" s="2" t="s">
        <v>1597</v>
      </c>
      <c r="C34" s="41" t="s">
        <v>1892</v>
      </c>
      <c r="D34" s="42" t="s">
        <v>1888</v>
      </c>
      <c r="E34" s="43" t="s">
        <v>273</v>
      </c>
      <c r="I34" s="42" t="s">
        <v>1889</v>
      </c>
      <c r="Z34" s="42" t="s">
        <v>1889</v>
      </c>
      <c r="AA34" s="43" t="s">
        <v>273</v>
      </c>
      <c r="BG34" s="43" t="s">
        <v>273</v>
      </c>
      <c r="BH34" s="43" t="s">
        <v>273</v>
      </c>
      <c r="BI34" s="42" t="s">
        <v>1888</v>
      </c>
      <c r="BM34" s="43" t="s">
        <v>273</v>
      </c>
    </row>
    <row r="35" customFormat="false" ht="15" hidden="false" customHeight="false" outlineLevel="0" collapsed="false">
      <c r="A35" s="2" t="n">
        <v>140486</v>
      </c>
      <c r="B35" s="2" t="s">
        <v>1603</v>
      </c>
      <c r="C35" s="41" t="s">
        <v>1892</v>
      </c>
      <c r="D35" s="42" t="s">
        <v>1888</v>
      </c>
      <c r="E35" s="43" t="s">
        <v>273</v>
      </c>
      <c r="G35" s="42" t="s">
        <v>1889</v>
      </c>
      <c r="H35" s="42" t="s">
        <v>1889</v>
      </c>
      <c r="I35" s="42" t="s">
        <v>1889</v>
      </c>
      <c r="AA35" s="46" t="s">
        <v>273</v>
      </c>
      <c r="BG35" s="43" t="s">
        <v>273</v>
      </c>
      <c r="BH35" s="43" t="s">
        <v>273</v>
      </c>
      <c r="BM35" s="43" t="s">
        <v>273</v>
      </c>
    </row>
    <row r="36" customFormat="false" ht="15" hidden="false" customHeight="false" outlineLevel="0" collapsed="false">
      <c r="A36" s="2" t="n">
        <v>141031</v>
      </c>
      <c r="B36" s="2" t="s">
        <v>1609</v>
      </c>
      <c r="C36" s="41" t="s">
        <v>1892</v>
      </c>
      <c r="D36" s="42" t="s">
        <v>1888</v>
      </c>
      <c r="E36" s="43" t="s">
        <v>273</v>
      </c>
      <c r="H36" s="42" t="s">
        <v>1889</v>
      </c>
      <c r="I36" s="42" t="s">
        <v>1889</v>
      </c>
      <c r="AA36" s="43" t="s">
        <v>273</v>
      </c>
      <c r="BG36" s="43" t="s">
        <v>273</v>
      </c>
      <c r="BH36" s="43" t="s">
        <v>273</v>
      </c>
      <c r="BM36" s="43" t="s">
        <v>273</v>
      </c>
    </row>
    <row r="37" customFormat="false" ht="15" hidden="false" customHeight="false" outlineLevel="0" collapsed="false">
      <c r="A37" s="2" t="n">
        <v>131426</v>
      </c>
      <c r="B37" s="2" t="s">
        <v>1614</v>
      </c>
      <c r="C37" s="41" t="s">
        <v>1887</v>
      </c>
      <c r="D37" s="42" t="s">
        <v>1888</v>
      </c>
      <c r="I37" s="42" t="s">
        <v>1889</v>
      </c>
      <c r="AU37" s="42" t="s">
        <v>1888</v>
      </c>
      <c r="BA37" s="42" t="s">
        <v>1889</v>
      </c>
      <c r="BB37" s="42" t="s">
        <v>1889</v>
      </c>
    </row>
    <row r="38" customFormat="false" ht="15" hidden="false" customHeight="false" outlineLevel="0" collapsed="false">
      <c r="A38" s="2" t="n">
        <v>131427</v>
      </c>
      <c r="B38" s="2" t="s">
        <v>1620</v>
      </c>
      <c r="C38" s="41" t="s">
        <v>1887</v>
      </c>
      <c r="D38" s="42" t="s">
        <v>1888</v>
      </c>
      <c r="I38" s="42" t="s">
        <v>1889</v>
      </c>
      <c r="AU38" s="42" t="s">
        <v>1888</v>
      </c>
      <c r="BA38" s="42" t="s">
        <v>1889</v>
      </c>
      <c r="BB38" s="42" t="s">
        <v>1889</v>
      </c>
    </row>
    <row r="39" customFormat="false" ht="15" hidden="false" customHeight="false" outlineLevel="0" collapsed="false">
      <c r="A39" s="2" t="n">
        <v>141054</v>
      </c>
      <c r="B39" s="2" t="s">
        <v>1624</v>
      </c>
      <c r="C39" s="41" t="s">
        <v>1887</v>
      </c>
      <c r="AC39" s="42" t="s">
        <v>1888</v>
      </c>
      <c r="AD39" s="44" t="s">
        <v>1888</v>
      </c>
      <c r="AE39" s="42" t="s">
        <v>1888</v>
      </c>
      <c r="AH39" s="42" t="s">
        <v>1888</v>
      </c>
      <c r="AJ39" s="42" t="s">
        <v>1889</v>
      </c>
      <c r="AV39" s="44" t="s">
        <v>1888</v>
      </c>
      <c r="AW39" s="42" t="s">
        <v>1888</v>
      </c>
      <c r="AX39" s="42" t="s">
        <v>1889</v>
      </c>
      <c r="AY39" s="42" t="s">
        <v>1889</v>
      </c>
      <c r="AZ39" s="42" t="s">
        <v>1889</v>
      </c>
    </row>
    <row r="40" customFormat="false" ht="15" hidden="false" customHeight="false" outlineLevel="0" collapsed="false">
      <c r="A40" s="2" t="n">
        <v>141098</v>
      </c>
      <c r="B40" s="2" t="s">
        <v>1630</v>
      </c>
      <c r="C40" s="41" t="s">
        <v>1887</v>
      </c>
      <c r="P40" s="44" t="s">
        <v>1888</v>
      </c>
      <c r="T40" s="42" t="s">
        <v>1889</v>
      </c>
      <c r="U40" s="42" t="s">
        <v>1889</v>
      </c>
      <c r="Z40" s="42" t="s">
        <v>1889</v>
      </c>
      <c r="AB40" s="44" t="s">
        <v>1888</v>
      </c>
      <c r="AF40" s="42" t="s">
        <v>1888</v>
      </c>
      <c r="AG40" s="42" t="s">
        <v>1888</v>
      </c>
      <c r="BI40" s="44" t="s">
        <v>1888</v>
      </c>
    </row>
    <row r="41" customFormat="false" ht="15" hidden="false" customHeight="false" outlineLevel="0" collapsed="false">
      <c r="A41" s="2" t="n">
        <v>130492</v>
      </c>
      <c r="B41" s="2" t="s">
        <v>1640</v>
      </c>
      <c r="C41" s="41" t="s">
        <v>1893</v>
      </c>
      <c r="D41" s="42" t="s">
        <v>1888</v>
      </c>
      <c r="F41" s="43" t="s">
        <v>273</v>
      </c>
      <c r="I41" s="42" t="s">
        <v>1889</v>
      </c>
      <c r="M41" s="42" t="s">
        <v>1888</v>
      </c>
      <c r="N41" s="44" t="s">
        <v>1888</v>
      </c>
      <c r="V41" s="42" t="s">
        <v>1889</v>
      </c>
      <c r="AA41" s="43" t="s">
        <v>273</v>
      </c>
      <c r="AK41" s="43" t="s">
        <v>273</v>
      </c>
      <c r="AL41" s="43" t="s">
        <v>273</v>
      </c>
      <c r="BG41" s="47" t="s">
        <v>273</v>
      </c>
      <c r="BH41" s="43" t="s">
        <v>273</v>
      </c>
      <c r="BM41" s="47" t="s">
        <v>273</v>
      </c>
      <c r="BN41" s="43" t="s">
        <v>273</v>
      </c>
      <c r="BQ41" s="42" t="s">
        <v>1888</v>
      </c>
      <c r="BR41" s="42" t="s">
        <v>1889</v>
      </c>
    </row>
    <row r="42" customFormat="false" ht="15" hidden="false" customHeight="false" outlineLevel="0" collapsed="false">
      <c r="A42" s="2" t="n">
        <v>140280</v>
      </c>
      <c r="B42" s="2" t="s">
        <v>1646</v>
      </c>
      <c r="C42" s="41" t="s">
        <v>1893</v>
      </c>
      <c r="D42" s="42" t="s">
        <v>1888</v>
      </c>
      <c r="F42" s="43" t="s">
        <v>273</v>
      </c>
      <c r="I42" s="42" t="s">
        <v>1889</v>
      </c>
      <c r="J42" s="42" t="s">
        <v>1889</v>
      </c>
      <c r="K42" s="42" t="s">
        <v>1889</v>
      </c>
      <c r="M42" s="42" t="s">
        <v>1888</v>
      </c>
      <c r="N42" s="42" t="s">
        <v>1888</v>
      </c>
      <c r="P42" s="42" t="s">
        <v>1888</v>
      </c>
      <c r="T42" s="42" t="s">
        <v>1889</v>
      </c>
      <c r="U42" s="42" t="s">
        <v>1889</v>
      </c>
      <c r="V42" s="42" t="s">
        <v>1889</v>
      </c>
      <c r="Z42" s="42" t="s">
        <v>1889</v>
      </c>
      <c r="AA42" s="43" t="s">
        <v>273</v>
      </c>
      <c r="AK42" s="43" t="s">
        <v>273</v>
      </c>
      <c r="AL42" s="43" t="s">
        <v>273</v>
      </c>
      <c r="AN42" s="42" t="s">
        <v>1889</v>
      </c>
      <c r="AO42" s="42" t="s">
        <v>1889</v>
      </c>
      <c r="AP42" s="42" t="s">
        <v>1889</v>
      </c>
      <c r="AQ42" s="42" t="s">
        <v>1889</v>
      </c>
      <c r="AT42" s="42" t="s">
        <v>1889</v>
      </c>
      <c r="AU42" s="42" t="s">
        <v>1888</v>
      </c>
      <c r="AV42" s="42" t="s">
        <v>1888</v>
      </c>
      <c r="AW42" s="42" t="s">
        <v>1888</v>
      </c>
      <c r="AX42" s="42" t="s">
        <v>1889</v>
      </c>
      <c r="AY42" s="42" t="s">
        <v>1889</v>
      </c>
      <c r="AZ42" s="42" t="s">
        <v>1889</v>
      </c>
      <c r="BA42" s="42" t="s">
        <v>1889</v>
      </c>
      <c r="BB42" s="42" t="s">
        <v>1889</v>
      </c>
      <c r="BG42" s="43" t="s">
        <v>273</v>
      </c>
      <c r="BH42" s="43" t="s">
        <v>273</v>
      </c>
      <c r="BM42" s="43" t="s">
        <v>273</v>
      </c>
      <c r="BN42" s="43" t="s">
        <v>273</v>
      </c>
      <c r="BO42" s="42" t="s">
        <v>1888</v>
      </c>
      <c r="BP42" s="42" t="s">
        <v>1888</v>
      </c>
      <c r="BQ42" s="42" t="s">
        <v>1888</v>
      </c>
      <c r="BR42" s="42" t="s">
        <v>1889</v>
      </c>
    </row>
    <row r="43" customFormat="false" ht="15" hidden="false" customHeight="false" outlineLevel="0" collapsed="false">
      <c r="A43" s="2" t="n">
        <v>140442</v>
      </c>
      <c r="B43" s="2" t="s">
        <v>1652</v>
      </c>
      <c r="C43" s="41" t="s">
        <v>1891</v>
      </c>
      <c r="AA43" s="43" t="s">
        <v>273</v>
      </c>
      <c r="AB43" s="43" t="s">
        <v>273</v>
      </c>
      <c r="AF43" s="46" t="s">
        <v>273</v>
      </c>
      <c r="AG43" s="43" t="s">
        <v>273</v>
      </c>
      <c r="BC43" s="45" t="s">
        <v>1888</v>
      </c>
      <c r="BD43" s="42" t="s">
        <v>1889</v>
      </c>
      <c r="BE43" s="42" t="s">
        <v>1889</v>
      </c>
      <c r="BF43" s="42" t="s">
        <v>1889</v>
      </c>
      <c r="BG43" s="47" t="s">
        <v>273</v>
      </c>
      <c r="BH43" s="43" t="s">
        <v>273</v>
      </c>
      <c r="BM43" s="43" t="s">
        <v>273</v>
      </c>
      <c r="BN43" s="43" t="s">
        <v>273</v>
      </c>
      <c r="BQ43" s="42" t="s">
        <v>1888</v>
      </c>
      <c r="BR43" s="42" t="s">
        <v>1889</v>
      </c>
    </row>
    <row r="44" customFormat="false" ht="15" hidden="false" customHeight="false" outlineLevel="0" collapsed="false">
      <c r="A44" s="2" t="n">
        <v>129333</v>
      </c>
      <c r="B44" s="2" t="s">
        <v>1659</v>
      </c>
      <c r="C44" s="41" t="s">
        <v>1892</v>
      </c>
      <c r="D44" s="42" t="s">
        <v>1888</v>
      </c>
      <c r="E44" s="43" t="s">
        <v>273</v>
      </c>
      <c r="I44" s="42" t="s">
        <v>1889</v>
      </c>
      <c r="Z44" s="42" t="s">
        <v>1889</v>
      </c>
      <c r="AA44" s="43" t="s">
        <v>273</v>
      </c>
      <c r="BG44" s="43" t="s">
        <v>273</v>
      </c>
      <c r="BH44" s="43" t="s">
        <v>273</v>
      </c>
      <c r="BI44" s="45" t="s">
        <v>1888</v>
      </c>
      <c r="BM44" s="43" t="s">
        <v>273</v>
      </c>
    </row>
    <row r="45" customFormat="false" ht="15" hidden="false" customHeight="false" outlineLevel="0" collapsed="false">
      <c r="A45" s="2" t="n">
        <v>129481</v>
      </c>
      <c r="B45" s="2" t="s">
        <v>1515</v>
      </c>
      <c r="C45" s="41" t="s">
        <v>1892</v>
      </c>
      <c r="D45" s="42" t="s">
        <v>1888</v>
      </c>
      <c r="E45" s="43" t="s">
        <v>273</v>
      </c>
      <c r="G45" s="42" t="s">
        <v>1889</v>
      </c>
      <c r="H45" s="42" t="s">
        <v>1889</v>
      </c>
      <c r="I45" s="42" t="s">
        <v>1889</v>
      </c>
      <c r="AA45" s="43" t="s">
        <v>273</v>
      </c>
      <c r="BG45" s="43" t="s">
        <v>273</v>
      </c>
      <c r="BH45" s="43" t="s">
        <v>273</v>
      </c>
      <c r="BM45" s="43" t="s">
        <v>273</v>
      </c>
    </row>
    <row r="46" customFormat="false" ht="15" hidden="false" customHeight="false" outlineLevel="0" collapsed="false">
      <c r="A46" s="2" t="n">
        <v>134411</v>
      </c>
      <c r="B46" s="2" t="s">
        <v>1668</v>
      </c>
      <c r="C46" s="41" t="s">
        <v>1892</v>
      </c>
      <c r="D46" s="42" t="s">
        <v>1888</v>
      </c>
      <c r="E46" s="46" t="s">
        <v>273</v>
      </c>
      <c r="F46" s="44" t="s">
        <v>1888</v>
      </c>
      <c r="H46" s="42" t="s">
        <v>1889</v>
      </c>
      <c r="I46" s="42" t="s">
        <v>1889</v>
      </c>
      <c r="J46" s="42" t="s">
        <v>1889</v>
      </c>
      <c r="K46" s="42" t="s">
        <v>1889</v>
      </c>
      <c r="AA46" s="43" t="s">
        <v>273</v>
      </c>
      <c r="AK46" s="44" t="s">
        <v>1888</v>
      </c>
      <c r="AL46" s="42" t="s">
        <v>1888</v>
      </c>
      <c r="AM46" s="42" t="s">
        <v>1888</v>
      </c>
      <c r="AN46" s="42" t="s">
        <v>1889</v>
      </c>
      <c r="AO46" s="42" t="s">
        <v>1889</v>
      </c>
      <c r="AP46" s="42" t="s">
        <v>1889</v>
      </c>
      <c r="AQ46" s="42" t="s">
        <v>1889</v>
      </c>
      <c r="AR46" s="42" t="s">
        <v>1889</v>
      </c>
      <c r="AS46" s="42" t="s">
        <v>1889</v>
      </c>
      <c r="AT46" s="42" t="s">
        <v>1889</v>
      </c>
      <c r="BG46" s="43" t="s">
        <v>273</v>
      </c>
      <c r="BH46" s="43" t="s">
        <v>273</v>
      </c>
      <c r="BM46" s="43" t="s">
        <v>273</v>
      </c>
    </row>
    <row r="47" customFormat="false" ht="15" hidden="false" customHeight="false" outlineLevel="0" collapsed="false">
      <c r="A47" s="2" t="n">
        <v>102120</v>
      </c>
      <c r="B47" s="2" t="s">
        <v>1674</v>
      </c>
      <c r="C47" s="41" t="s">
        <v>1887</v>
      </c>
      <c r="E47" s="42" t="s">
        <v>1888</v>
      </c>
      <c r="H47" s="42" t="s">
        <v>1889</v>
      </c>
    </row>
    <row r="48" customFormat="false" ht="15" hidden="false" customHeight="false" outlineLevel="0" collapsed="false">
      <c r="A48" s="2" t="n">
        <v>116876</v>
      </c>
      <c r="B48" s="2" t="s">
        <v>1678</v>
      </c>
      <c r="C48" s="41" t="s">
        <v>1887</v>
      </c>
      <c r="E48" s="42" t="s">
        <v>1888</v>
      </c>
      <c r="H48" s="42" t="s">
        <v>1889</v>
      </c>
    </row>
    <row r="49" customFormat="false" ht="15" hidden="false" customHeight="false" outlineLevel="0" collapsed="false">
      <c r="A49" s="2" t="n">
        <v>103850</v>
      </c>
      <c r="B49" s="2" t="s">
        <v>1683</v>
      </c>
      <c r="C49" s="41" t="s">
        <v>1890</v>
      </c>
      <c r="D49" s="42" t="s">
        <v>1888</v>
      </c>
      <c r="F49" s="43" t="s">
        <v>273</v>
      </c>
      <c r="I49" s="42" t="s">
        <v>1889</v>
      </c>
      <c r="J49" s="42" t="s">
        <v>1889</v>
      </c>
      <c r="K49" s="42" t="s">
        <v>1889</v>
      </c>
      <c r="M49" s="42" t="s">
        <v>1888</v>
      </c>
      <c r="N49" s="42" t="s">
        <v>1888</v>
      </c>
      <c r="O49" s="42" t="s">
        <v>1888</v>
      </c>
      <c r="P49" s="42" t="s">
        <v>1888</v>
      </c>
      <c r="Q49" s="42" t="s">
        <v>1888</v>
      </c>
      <c r="R49" s="42" t="s">
        <v>1888</v>
      </c>
      <c r="T49" s="42" t="s">
        <v>1889</v>
      </c>
      <c r="U49" s="42" t="s">
        <v>1889</v>
      </c>
      <c r="V49" s="42" t="s">
        <v>1889</v>
      </c>
      <c r="W49" s="42" t="s">
        <v>1889</v>
      </c>
      <c r="Z49" s="42" t="s">
        <v>1889</v>
      </c>
      <c r="AA49" s="43" t="s">
        <v>273</v>
      </c>
      <c r="AC49" s="43" t="s">
        <v>273</v>
      </c>
      <c r="AD49" s="43" t="s">
        <v>273</v>
      </c>
      <c r="AE49" s="43" t="s">
        <v>273</v>
      </c>
      <c r="AK49" s="43" t="s">
        <v>273</v>
      </c>
      <c r="AL49" s="43" t="s">
        <v>273</v>
      </c>
      <c r="AM49" s="42" t="s">
        <v>1888</v>
      </c>
      <c r="AN49" s="42" t="s">
        <v>1889</v>
      </c>
      <c r="AO49" s="42" t="s">
        <v>1889</v>
      </c>
      <c r="AP49" s="42" t="s">
        <v>1889</v>
      </c>
      <c r="AQ49" s="42" t="s">
        <v>1889</v>
      </c>
      <c r="AR49" s="42" t="s">
        <v>1889</v>
      </c>
      <c r="AS49" s="42" t="s">
        <v>1889</v>
      </c>
      <c r="AT49" s="42" t="s">
        <v>1889</v>
      </c>
      <c r="AU49" s="42" t="s">
        <v>1888</v>
      </c>
      <c r="AV49" s="42" t="s">
        <v>1888</v>
      </c>
      <c r="AW49" s="42" t="s">
        <v>1888</v>
      </c>
      <c r="AX49" s="42" t="s">
        <v>1889</v>
      </c>
      <c r="AY49" s="42" t="s">
        <v>1889</v>
      </c>
      <c r="AZ49" s="42" t="s">
        <v>1889</v>
      </c>
      <c r="BA49" s="42" t="s">
        <v>1889</v>
      </c>
      <c r="BB49" s="42" t="s">
        <v>1889</v>
      </c>
      <c r="BG49" s="43" t="s">
        <v>273</v>
      </c>
      <c r="BH49" s="43" t="s">
        <v>273</v>
      </c>
      <c r="BM49" s="43" t="s">
        <v>273</v>
      </c>
      <c r="BN49" s="43" t="s">
        <v>273</v>
      </c>
      <c r="BO49" s="42" t="s">
        <v>1888</v>
      </c>
      <c r="BP49" s="42" t="s">
        <v>1888</v>
      </c>
      <c r="BQ49" s="42" t="s">
        <v>1888</v>
      </c>
      <c r="BR49" s="42" t="s">
        <v>1889</v>
      </c>
    </row>
    <row r="50" customFormat="false" ht="15" hidden="false" customHeight="false" outlineLevel="0" collapsed="false">
      <c r="A50" s="2" t="n">
        <v>105031</v>
      </c>
      <c r="B50" s="2" t="s">
        <v>1689</v>
      </c>
      <c r="C50" s="41" t="s">
        <v>1890</v>
      </c>
      <c r="D50" s="42" t="s">
        <v>1888</v>
      </c>
      <c r="F50" s="43" t="s">
        <v>273</v>
      </c>
      <c r="I50" s="42" t="s">
        <v>1889</v>
      </c>
      <c r="J50" s="42" t="s">
        <v>1889</v>
      </c>
      <c r="K50" s="42" t="s">
        <v>1889</v>
      </c>
      <c r="M50" s="42" t="s">
        <v>1888</v>
      </c>
      <c r="N50" s="42" t="s">
        <v>1888</v>
      </c>
      <c r="O50" s="42" t="s">
        <v>1888</v>
      </c>
      <c r="P50" s="42" t="s">
        <v>1888</v>
      </c>
      <c r="Q50" s="42" t="s">
        <v>1888</v>
      </c>
      <c r="R50" s="42" t="s">
        <v>1888</v>
      </c>
      <c r="T50" s="42" t="s">
        <v>1889</v>
      </c>
      <c r="U50" s="42" t="s">
        <v>1889</v>
      </c>
      <c r="V50" s="42" t="s">
        <v>1889</v>
      </c>
      <c r="W50" s="42" t="s">
        <v>1889</v>
      </c>
      <c r="Z50" s="42" t="s">
        <v>1889</v>
      </c>
      <c r="AA50" s="43" t="s">
        <v>273</v>
      </c>
      <c r="AC50" s="43" t="s">
        <v>273</v>
      </c>
      <c r="AD50" s="43" t="s">
        <v>273</v>
      </c>
      <c r="AE50" s="43" t="s">
        <v>273</v>
      </c>
      <c r="AK50" s="43" t="s">
        <v>273</v>
      </c>
      <c r="AL50" s="43" t="s">
        <v>273</v>
      </c>
      <c r="AM50" s="42" t="s">
        <v>1888</v>
      </c>
      <c r="AN50" s="42" t="s">
        <v>1889</v>
      </c>
      <c r="AO50" s="42" t="s">
        <v>1889</v>
      </c>
      <c r="AP50" s="42" t="s">
        <v>1889</v>
      </c>
      <c r="AQ50" s="42" t="s">
        <v>1889</v>
      </c>
      <c r="AR50" s="42" t="s">
        <v>1889</v>
      </c>
      <c r="AS50" s="42" t="s">
        <v>1889</v>
      </c>
      <c r="AT50" s="42" t="s">
        <v>1889</v>
      </c>
      <c r="AU50" s="42" t="s">
        <v>1888</v>
      </c>
      <c r="AV50" s="42" t="s">
        <v>1888</v>
      </c>
      <c r="AW50" s="42" t="s">
        <v>1888</v>
      </c>
      <c r="AX50" s="42" t="s">
        <v>1889</v>
      </c>
      <c r="AY50" s="42" t="s">
        <v>1889</v>
      </c>
      <c r="AZ50" s="42" t="s">
        <v>1889</v>
      </c>
      <c r="BA50" s="42" t="s">
        <v>1889</v>
      </c>
      <c r="BB50" s="42" t="s">
        <v>1889</v>
      </c>
      <c r="BG50" s="43" t="s">
        <v>273</v>
      </c>
      <c r="BH50" s="43" t="s">
        <v>273</v>
      </c>
      <c r="BM50" s="43" t="s">
        <v>273</v>
      </c>
      <c r="BN50" s="43" t="s">
        <v>273</v>
      </c>
      <c r="BO50" s="42" t="s">
        <v>1888</v>
      </c>
      <c r="BP50" s="42" t="s">
        <v>1888</v>
      </c>
      <c r="BQ50" s="42" t="s">
        <v>1888</v>
      </c>
      <c r="BR50" s="42" t="s">
        <v>1889</v>
      </c>
    </row>
    <row r="51" customFormat="false" ht="15" hidden="false" customHeight="false" outlineLevel="0" collapsed="false">
      <c r="A51" s="2" t="n">
        <v>107819</v>
      </c>
      <c r="B51" s="2" t="s">
        <v>1692</v>
      </c>
      <c r="C51" s="41" t="s">
        <v>1890</v>
      </c>
      <c r="D51" s="42" t="s">
        <v>1888</v>
      </c>
      <c r="F51" s="43" t="s">
        <v>273</v>
      </c>
      <c r="I51" s="42" t="s">
        <v>1889</v>
      </c>
      <c r="J51" s="42" t="s">
        <v>1889</v>
      </c>
      <c r="K51" s="42" t="s">
        <v>1889</v>
      </c>
      <c r="M51" s="42" t="s">
        <v>1888</v>
      </c>
      <c r="N51" s="42" t="s">
        <v>1888</v>
      </c>
      <c r="O51" s="42" t="s">
        <v>1888</v>
      </c>
      <c r="P51" s="42" t="s">
        <v>1888</v>
      </c>
      <c r="Q51" s="42" t="s">
        <v>1888</v>
      </c>
      <c r="R51" s="42" t="s">
        <v>1888</v>
      </c>
      <c r="T51" s="42" t="s">
        <v>1889</v>
      </c>
      <c r="U51" s="42" t="s">
        <v>1889</v>
      </c>
      <c r="V51" s="42" t="s">
        <v>1889</v>
      </c>
      <c r="W51" s="42" t="s">
        <v>1889</v>
      </c>
      <c r="Z51" s="42" t="s">
        <v>1889</v>
      </c>
      <c r="AA51" s="43" t="s">
        <v>273</v>
      </c>
      <c r="AC51" s="43" t="s">
        <v>273</v>
      </c>
      <c r="AD51" s="43" t="s">
        <v>273</v>
      </c>
      <c r="AE51" s="43" t="s">
        <v>273</v>
      </c>
      <c r="AK51" s="43" t="s">
        <v>273</v>
      </c>
      <c r="AL51" s="43" t="s">
        <v>273</v>
      </c>
      <c r="AM51" s="42" t="s">
        <v>1888</v>
      </c>
      <c r="AN51" s="42" t="s">
        <v>1889</v>
      </c>
      <c r="AO51" s="42" t="s">
        <v>1889</v>
      </c>
      <c r="AP51" s="42" t="s">
        <v>1889</v>
      </c>
      <c r="AQ51" s="42" t="s">
        <v>1889</v>
      </c>
      <c r="AR51" s="42" t="s">
        <v>1889</v>
      </c>
      <c r="AS51" s="42" t="s">
        <v>1889</v>
      </c>
      <c r="AT51" s="42" t="s">
        <v>1889</v>
      </c>
      <c r="AU51" s="42" t="s">
        <v>1888</v>
      </c>
      <c r="AV51" s="42" t="s">
        <v>1888</v>
      </c>
      <c r="AW51" s="42" t="s">
        <v>1888</v>
      </c>
      <c r="AX51" s="42" t="s">
        <v>1889</v>
      </c>
      <c r="AY51" s="42" t="s">
        <v>1889</v>
      </c>
      <c r="AZ51" s="42" t="s">
        <v>1889</v>
      </c>
      <c r="BA51" s="42" t="s">
        <v>1889</v>
      </c>
      <c r="BB51" s="42" t="s">
        <v>1889</v>
      </c>
      <c r="BG51" s="43" t="s">
        <v>273</v>
      </c>
      <c r="BH51" s="43" t="s">
        <v>273</v>
      </c>
      <c r="BM51" s="43" t="s">
        <v>273</v>
      </c>
      <c r="BN51" s="43" t="s">
        <v>273</v>
      </c>
      <c r="BO51" s="42" t="s">
        <v>1888</v>
      </c>
      <c r="BP51" s="42" t="s">
        <v>1888</v>
      </c>
      <c r="BQ51" s="42" t="s">
        <v>1888</v>
      </c>
      <c r="BR51" s="42" t="s">
        <v>1889</v>
      </c>
    </row>
    <row r="52" customFormat="false" ht="15" hidden="false" customHeight="false" outlineLevel="0" collapsed="false">
      <c r="A52" s="2" t="n">
        <v>113547</v>
      </c>
      <c r="B52" s="2" t="s">
        <v>1696</v>
      </c>
      <c r="C52" s="41" t="s">
        <v>1890</v>
      </c>
      <c r="D52" s="42" t="s">
        <v>1888</v>
      </c>
      <c r="F52" s="43" t="s">
        <v>273</v>
      </c>
      <c r="I52" s="42" t="s">
        <v>1889</v>
      </c>
      <c r="J52" s="42" t="s">
        <v>1889</v>
      </c>
      <c r="K52" s="42" t="s">
        <v>1889</v>
      </c>
      <c r="M52" s="44" t="s">
        <v>1888</v>
      </c>
      <c r="N52" s="42" t="s">
        <v>1888</v>
      </c>
      <c r="O52" s="44" t="s">
        <v>1888</v>
      </c>
      <c r="P52" s="44" t="s">
        <v>1888</v>
      </c>
      <c r="Q52" s="42" t="s">
        <v>1888</v>
      </c>
      <c r="R52" s="42" t="s">
        <v>1888</v>
      </c>
      <c r="T52" s="42" t="s">
        <v>1889</v>
      </c>
      <c r="U52" s="42" t="s">
        <v>1889</v>
      </c>
      <c r="V52" s="42" t="s">
        <v>1889</v>
      </c>
      <c r="W52" s="42" t="s">
        <v>1889</v>
      </c>
      <c r="Z52" s="42" t="s">
        <v>1889</v>
      </c>
      <c r="AA52" s="43" t="s">
        <v>273</v>
      </c>
      <c r="AC52" s="43" t="s">
        <v>273</v>
      </c>
      <c r="AD52" s="43" t="s">
        <v>273</v>
      </c>
      <c r="AE52" s="43" t="s">
        <v>273</v>
      </c>
      <c r="AK52" s="47" t="s">
        <v>273</v>
      </c>
      <c r="AL52" s="43" t="s">
        <v>273</v>
      </c>
      <c r="AM52" s="42" t="s">
        <v>1888</v>
      </c>
      <c r="AN52" s="42" t="s">
        <v>1889</v>
      </c>
      <c r="AO52" s="42" t="s">
        <v>1889</v>
      </c>
      <c r="AP52" s="42" t="s">
        <v>1889</v>
      </c>
      <c r="AQ52" s="42" t="s">
        <v>1889</v>
      </c>
      <c r="AR52" s="42" t="s">
        <v>1889</v>
      </c>
      <c r="AS52" s="42" t="s">
        <v>1889</v>
      </c>
      <c r="AT52" s="42" t="s">
        <v>1889</v>
      </c>
      <c r="AU52" s="42" t="s">
        <v>1888</v>
      </c>
      <c r="AV52" s="44" t="s">
        <v>1888</v>
      </c>
      <c r="AW52" s="44" t="s">
        <v>1888</v>
      </c>
      <c r="AX52" s="42" t="s">
        <v>1889</v>
      </c>
      <c r="AY52" s="42" t="s">
        <v>1889</v>
      </c>
      <c r="AZ52" s="42" t="s">
        <v>1889</v>
      </c>
      <c r="BA52" s="42" t="s">
        <v>1889</v>
      </c>
      <c r="BB52" s="42" t="s">
        <v>1889</v>
      </c>
      <c r="BG52" s="43" t="s">
        <v>273</v>
      </c>
      <c r="BH52" s="43" t="s">
        <v>273</v>
      </c>
      <c r="BM52" s="46" t="s">
        <v>273</v>
      </c>
      <c r="BN52" s="43" t="s">
        <v>273</v>
      </c>
      <c r="BO52" s="42" t="s">
        <v>1888</v>
      </c>
      <c r="BP52" s="42" t="s">
        <v>1888</v>
      </c>
      <c r="BQ52" s="42" t="s">
        <v>1888</v>
      </c>
      <c r="BR52" s="42" t="s">
        <v>1889</v>
      </c>
    </row>
    <row r="53" customFormat="false" ht="15" hidden="false" customHeight="false" outlineLevel="0" collapsed="false">
      <c r="A53" s="2" t="n">
        <v>117080</v>
      </c>
      <c r="B53" s="2" t="s">
        <v>1701</v>
      </c>
      <c r="C53" s="41" t="s">
        <v>1890</v>
      </c>
      <c r="D53" s="42" t="s">
        <v>1888</v>
      </c>
      <c r="F53" s="43" t="s">
        <v>273</v>
      </c>
      <c r="I53" s="42" t="s">
        <v>1889</v>
      </c>
      <c r="J53" s="42" t="s">
        <v>1889</v>
      </c>
      <c r="K53" s="42" t="s">
        <v>1889</v>
      </c>
      <c r="M53" s="42" t="s">
        <v>1888</v>
      </c>
      <c r="N53" s="42" t="s">
        <v>1888</v>
      </c>
      <c r="O53" s="42" t="s">
        <v>1888</v>
      </c>
      <c r="P53" s="42" t="s">
        <v>1888</v>
      </c>
      <c r="Q53" s="42" t="s">
        <v>1888</v>
      </c>
      <c r="R53" s="42" t="s">
        <v>1888</v>
      </c>
      <c r="T53" s="42" t="s">
        <v>1889</v>
      </c>
      <c r="U53" s="42" t="s">
        <v>1889</v>
      </c>
      <c r="V53" s="42" t="s">
        <v>1889</v>
      </c>
      <c r="W53" s="42" t="s">
        <v>1889</v>
      </c>
      <c r="Z53" s="42" t="s">
        <v>1889</v>
      </c>
      <c r="AA53" s="43" t="s">
        <v>273</v>
      </c>
      <c r="AC53" s="43" t="s">
        <v>273</v>
      </c>
      <c r="AD53" s="43" t="s">
        <v>273</v>
      </c>
      <c r="AE53" s="43" t="s">
        <v>273</v>
      </c>
      <c r="AK53" s="43" t="s">
        <v>273</v>
      </c>
      <c r="AL53" s="43" t="s">
        <v>273</v>
      </c>
      <c r="AM53" s="42" t="s">
        <v>1888</v>
      </c>
      <c r="AN53" s="42" t="s">
        <v>1889</v>
      </c>
      <c r="AO53" s="42" t="s">
        <v>1889</v>
      </c>
      <c r="AP53" s="42" t="s">
        <v>1889</v>
      </c>
      <c r="AQ53" s="42" t="s">
        <v>1889</v>
      </c>
      <c r="AR53" s="42" t="s">
        <v>1889</v>
      </c>
      <c r="AS53" s="42" t="s">
        <v>1889</v>
      </c>
      <c r="AT53" s="42" t="s">
        <v>1889</v>
      </c>
      <c r="AU53" s="42" t="s">
        <v>1888</v>
      </c>
      <c r="AV53" s="42" t="s">
        <v>1888</v>
      </c>
      <c r="AW53" s="42" t="s">
        <v>1888</v>
      </c>
      <c r="AX53" s="42" t="s">
        <v>1889</v>
      </c>
      <c r="AY53" s="42" t="s">
        <v>1889</v>
      </c>
      <c r="AZ53" s="42" t="s">
        <v>1889</v>
      </c>
      <c r="BA53" s="42" t="s">
        <v>1889</v>
      </c>
      <c r="BB53" s="42" t="s">
        <v>1889</v>
      </c>
      <c r="BG53" s="43" t="s">
        <v>273</v>
      </c>
      <c r="BH53" s="43" t="s">
        <v>273</v>
      </c>
      <c r="BM53" s="43" t="s">
        <v>273</v>
      </c>
      <c r="BN53" s="43" t="s">
        <v>273</v>
      </c>
      <c r="BO53" s="42" t="s">
        <v>1888</v>
      </c>
      <c r="BP53" s="42" t="s">
        <v>1888</v>
      </c>
      <c r="BQ53" s="42" t="s">
        <v>1888</v>
      </c>
      <c r="BR53" s="42" t="s">
        <v>1889</v>
      </c>
    </row>
    <row r="54" customFormat="false" ht="15" hidden="false" customHeight="false" outlineLevel="0" collapsed="false">
      <c r="A54" s="2" t="n">
        <v>117600</v>
      </c>
      <c r="B54" s="2" t="s">
        <v>1705</v>
      </c>
      <c r="C54" s="41" t="s">
        <v>1890</v>
      </c>
      <c r="D54" s="42" t="s">
        <v>1888</v>
      </c>
      <c r="F54" s="43" t="s">
        <v>273</v>
      </c>
      <c r="I54" s="42" t="s">
        <v>1889</v>
      </c>
      <c r="J54" s="42" t="s">
        <v>1889</v>
      </c>
      <c r="K54" s="42" t="s">
        <v>1889</v>
      </c>
      <c r="M54" s="44" t="s">
        <v>1888</v>
      </c>
      <c r="N54" s="42" t="s">
        <v>1888</v>
      </c>
      <c r="O54" s="44" t="s">
        <v>1888</v>
      </c>
      <c r="P54" s="44" t="s">
        <v>1888</v>
      </c>
      <c r="Q54" s="42" t="s">
        <v>1888</v>
      </c>
      <c r="R54" s="42" t="s">
        <v>1888</v>
      </c>
      <c r="T54" s="42" t="s">
        <v>1889</v>
      </c>
      <c r="U54" s="42" t="s">
        <v>1889</v>
      </c>
      <c r="V54" s="42" t="s">
        <v>1889</v>
      </c>
      <c r="W54" s="42" t="s">
        <v>1889</v>
      </c>
      <c r="Z54" s="42" t="s">
        <v>1889</v>
      </c>
      <c r="AA54" s="43" t="s">
        <v>273</v>
      </c>
      <c r="AC54" s="43" t="s">
        <v>273</v>
      </c>
      <c r="AD54" s="43" t="s">
        <v>273</v>
      </c>
      <c r="AE54" s="43" t="s">
        <v>273</v>
      </c>
      <c r="AK54" s="47" t="s">
        <v>273</v>
      </c>
      <c r="AL54" s="43" t="s">
        <v>273</v>
      </c>
      <c r="AM54" s="42" t="s">
        <v>1888</v>
      </c>
      <c r="AN54" s="42" t="s">
        <v>1889</v>
      </c>
      <c r="AO54" s="42" t="s">
        <v>1889</v>
      </c>
      <c r="AP54" s="42" t="s">
        <v>1889</v>
      </c>
      <c r="AQ54" s="42" t="s">
        <v>1889</v>
      </c>
      <c r="AR54" s="42" t="s">
        <v>1889</v>
      </c>
      <c r="AS54" s="42" t="s">
        <v>1889</v>
      </c>
      <c r="AT54" s="42" t="s">
        <v>1889</v>
      </c>
      <c r="AU54" s="42" t="s">
        <v>1888</v>
      </c>
      <c r="AV54" s="44" t="s">
        <v>1888</v>
      </c>
      <c r="AW54" s="44" t="s">
        <v>1888</v>
      </c>
      <c r="AX54" s="42" t="s">
        <v>1889</v>
      </c>
      <c r="AY54" s="42" t="s">
        <v>1889</v>
      </c>
      <c r="AZ54" s="42" t="s">
        <v>1889</v>
      </c>
      <c r="BA54" s="42" t="s">
        <v>1889</v>
      </c>
      <c r="BB54" s="42" t="s">
        <v>1889</v>
      </c>
      <c r="BG54" s="43" t="s">
        <v>273</v>
      </c>
      <c r="BH54" s="43" t="s">
        <v>273</v>
      </c>
      <c r="BM54" s="46" t="s">
        <v>273</v>
      </c>
      <c r="BN54" s="43" t="s">
        <v>273</v>
      </c>
      <c r="BO54" s="42" t="s">
        <v>1888</v>
      </c>
      <c r="BP54" s="42" t="s">
        <v>1888</v>
      </c>
      <c r="BQ54" s="42" t="s">
        <v>1888</v>
      </c>
      <c r="BR54" s="42" t="s">
        <v>1889</v>
      </c>
    </row>
    <row r="55" customFormat="false" ht="15" hidden="false" customHeight="false" outlineLevel="0" collapsed="false">
      <c r="A55" s="2" t="n">
        <v>120055</v>
      </c>
      <c r="B55" s="2" t="s">
        <v>1708</v>
      </c>
      <c r="C55" s="41" t="s">
        <v>1890</v>
      </c>
      <c r="D55" s="42" t="s">
        <v>1888</v>
      </c>
      <c r="F55" s="43" t="s">
        <v>273</v>
      </c>
      <c r="I55" s="42" t="s">
        <v>1889</v>
      </c>
      <c r="J55" s="42" t="s">
        <v>1889</v>
      </c>
      <c r="K55" s="42" t="s">
        <v>1889</v>
      </c>
      <c r="M55" s="44" t="s">
        <v>1888</v>
      </c>
      <c r="N55" s="42" t="s">
        <v>1888</v>
      </c>
      <c r="V55" s="42" t="s">
        <v>1889</v>
      </c>
      <c r="AA55" s="43" t="s">
        <v>273</v>
      </c>
      <c r="AC55" s="43" t="s">
        <v>273</v>
      </c>
      <c r="AD55" s="43" t="s">
        <v>273</v>
      </c>
      <c r="AE55" s="43" t="s">
        <v>273</v>
      </c>
      <c r="AK55" s="47" t="s">
        <v>273</v>
      </c>
      <c r="AL55" s="43" t="s">
        <v>273</v>
      </c>
      <c r="AN55" s="42" t="s">
        <v>1889</v>
      </c>
      <c r="AO55" s="42" t="s">
        <v>1889</v>
      </c>
      <c r="AP55" s="42" t="s">
        <v>1889</v>
      </c>
      <c r="AQ55" s="42" t="s">
        <v>1889</v>
      </c>
      <c r="AT55" s="42" t="s">
        <v>1889</v>
      </c>
      <c r="AU55" s="42" t="s">
        <v>1888</v>
      </c>
      <c r="AV55" s="44" t="s">
        <v>1888</v>
      </c>
      <c r="AW55" s="44" t="s">
        <v>1888</v>
      </c>
      <c r="AX55" s="42" t="s">
        <v>1889</v>
      </c>
      <c r="AY55" s="42" t="s">
        <v>1889</v>
      </c>
      <c r="AZ55" s="42" t="s">
        <v>1889</v>
      </c>
      <c r="BA55" s="42" t="s">
        <v>1889</v>
      </c>
      <c r="BB55" s="42" t="s">
        <v>1889</v>
      </c>
      <c r="BG55" s="43" t="s">
        <v>273</v>
      </c>
      <c r="BH55" s="43" t="s">
        <v>273</v>
      </c>
      <c r="BM55" s="46" t="s">
        <v>273</v>
      </c>
      <c r="BN55" s="43" t="s">
        <v>273</v>
      </c>
      <c r="BQ55" s="42" t="s">
        <v>1888</v>
      </c>
      <c r="BR55" s="42" t="s">
        <v>1889</v>
      </c>
    </row>
    <row r="56" customFormat="false" ht="15" hidden="false" customHeight="false" outlineLevel="0" collapsed="false">
      <c r="A56" s="2" t="n">
        <v>126783</v>
      </c>
      <c r="B56" s="2" t="s">
        <v>1714</v>
      </c>
      <c r="C56" s="41" t="s">
        <v>1890</v>
      </c>
      <c r="D56" s="42" t="s">
        <v>1888</v>
      </c>
      <c r="F56" s="43" t="s">
        <v>273</v>
      </c>
      <c r="I56" s="42" t="s">
        <v>1889</v>
      </c>
      <c r="J56" s="42" t="s">
        <v>1889</v>
      </c>
      <c r="K56" s="42" t="s">
        <v>1889</v>
      </c>
      <c r="M56" s="44" t="s">
        <v>1888</v>
      </c>
      <c r="N56" s="42" t="s">
        <v>1888</v>
      </c>
      <c r="O56" s="44" t="s">
        <v>1888</v>
      </c>
      <c r="P56" s="44" t="s">
        <v>1888</v>
      </c>
      <c r="Q56" s="42" t="s">
        <v>1888</v>
      </c>
      <c r="R56" s="42" t="s">
        <v>1888</v>
      </c>
      <c r="T56" s="42" t="s">
        <v>1889</v>
      </c>
      <c r="U56" s="42" t="s">
        <v>1889</v>
      </c>
      <c r="V56" s="42" t="s">
        <v>1889</v>
      </c>
      <c r="W56" s="42" t="s">
        <v>1889</v>
      </c>
      <c r="Z56" s="42" t="s">
        <v>1889</v>
      </c>
      <c r="AA56" s="43" t="s">
        <v>273</v>
      </c>
      <c r="AC56" s="43" t="s">
        <v>273</v>
      </c>
      <c r="AD56" s="43" t="s">
        <v>273</v>
      </c>
      <c r="AE56" s="43" t="s">
        <v>273</v>
      </c>
      <c r="AK56" s="47" t="s">
        <v>273</v>
      </c>
      <c r="AL56" s="43" t="s">
        <v>273</v>
      </c>
      <c r="AM56" s="42" t="s">
        <v>1888</v>
      </c>
      <c r="AN56" s="42" t="s">
        <v>1889</v>
      </c>
      <c r="AO56" s="42" t="s">
        <v>1889</v>
      </c>
      <c r="AP56" s="42" t="s">
        <v>1889</v>
      </c>
      <c r="AQ56" s="42" t="s">
        <v>1889</v>
      </c>
      <c r="AR56" s="44" t="s">
        <v>1889</v>
      </c>
      <c r="AS56" s="44" t="s">
        <v>1889</v>
      </c>
      <c r="AT56" s="42" t="s">
        <v>1889</v>
      </c>
      <c r="AU56" s="42" t="s">
        <v>1888</v>
      </c>
      <c r="AV56" s="44" t="s">
        <v>1888</v>
      </c>
      <c r="AW56" s="44" t="s">
        <v>1888</v>
      </c>
      <c r="AX56" s="42" t="s">
        <v>1889</v>
      </c>
      <c r="AY56" s="42" t="s">
        <v>1889</v>
      </c>
      <c r="AZ56" s="42" t="s">
        <v>1889</v>
      </c>
      <c r="BA56" s="42" t="s">
        <v>1889</v>
      </c>
      <c r="BB56" s="42" t="s">
        <v>1889</v>
      </c>
      <c r="BG56" s="43" t="s">
        <v>273</v>
      </c>
      <c r="BH56" s="43" t="s">
        <v>273</v>
      </c>
      <c r="BM56" s="46" t="s">
        <v>273</v>
      </c>
      <c r="BN56" s="43" t="s">
        <v>273</v>
      </c>
      <c r="BO56" s="42" t="s">
        <v>1888</v>
      </c>
      <c r="BP56" s="42" t="s">
        <v>1888</v>
      </c>
      <c r="BQ56" s="42" t="s">
        <v>1888</v>
      </c>
      <c r="BR56" s="42" t="s">
        <v>1889</v>
      </c>
    </row>
    <row r="57" customFormat="false" ht="15" hidden="false" customHeight="false" outlineLevel="0" collapsed="false">
      <c r="A57" s="2" t="n">
        <v>140679</v>
      </c>
      <c r="B57" s="2" t="s">
        <v>1718</v>
      </c>
      <c r="C57" s="41" t="s">
        <v>1890</v>
      </c>
      <c r="D57" s="42" t="s">
        <v>1888</v>
      </c>
      <c r="F57" s="43" t="s">
        <v>273</v>
      </c>
      <c r="I57" s="42" t="s">
        <v>1889</v>
      </c>
      <c r="J57" s="42" t="s">
        <v>1889</v>
      </c>
      <c r="K57" s="42" t="s">
        <v>1889</v>
      </c>
      <c r="M57" s="44" t="s">
        <v>1888</v>
      </c>
      <c r="N57" s="42" t="s">
        <v>1888</v>
      </c>
      <c r="O57" s="44" t="s">
        <v>1888</v>
      </c>
      <c r="P57" s="44" t="s">
        <v>1888</v>
      </c>
      <c r="Q57" s="42" t="s">
        <v>1888</v>
      </c>
      <c r="R57" s="42" t="s">
        <v>1888</v>
      </c>
      <c r="T57" s="42" t="s">
        <v>1889</v>
      </c>
      <c r="U57" s="42" t="s">
        <v>1889</v>
      </c>
      <c r="V57" s="42" t="s">
        <v>1889</v>
      </c>
      <c r="W57" s="42" t="s">
        <v>1889</v>
      </c>
      <c r="Z57" s="42" t="s">
        <v>1889</v>
      </c>
      <c r="AA57" s="43" t="s">
        <v>273</v>
      </c>
      <c r="AC57" s="43" t="s">
        <v>273</v>
      </c>
      <c r="AD57" s="43" t="s">
        <v>273</v>
      </c>
      <c r="AE57" s="43" t="s">
        <v>273</v>
      </c>
      <c r="AK57" s="47" t="s">
        <v>273</v>
      </c>
      <c r="AL57" s="43" t="s">
        <v>273</v>
      </c>
      <c r="AM57" s="44" t="s">
        <v>1888</v>
      </c>
      <c r="AN57" s="42" t="s">
        <v>1889</v>
      </c>
      <c r="AO57" s="42" t="s">
        <v>1889</v>
      </c>
      <c r="AP57" s="42" t="s">
        <v>1889</v>
      </c>
      <c r="AQ57" s="42" t="s">
        <v>1889</v>
      </c>
      <c r="AR57" s="44" t="s">
        <v>1889</v>
      </c>
      <c r="AS57" s="44" t="s">
        <v>1889</v>
      </c>
      <c r="AT57" s="42" t="s">
        <v>1889</v>
      </c>
      <c r="AU57" s="42" t="s">
        <v>1888</v>
      </c>
      <c r="AV57" s="44" t="s">
        <v>1888</v>
      </c>
      <c r="AW57" s="44" t="s">
        <v>1888</v>
      </c>
      <c r="AX57" s="42" t="s">
        <v>1889</v>
      </c>
      <c r="AY57" s="42" t="s">
        <v>1889</v>
      </c>
      <c r="AZ57" s="42" t="s">
        <v>1889</v>
      </c>
      <c r="BA57" s="42" t="s">
        <v>1889</v>
      </c>
      <c r="BB57" s="42" t="s">
        <v>1889</v>
      </c>
      <c r="BG57" s="43" t="s">
        <v>273</v>
      </c>
      <c r="BH57" s="43" t="s">
        <v>273</v>
      </c>
      <c r="BM57" s="46" t="s">
        <v>273</v>
      </c>
      <c r="BN57" s="43" t="s">
        <v>273</v>
      </c>
      <c r="BO57" s="42" t="s">
        <v>1888</v>
      </c>
      <c r="BP57" s="42" t="s">
        <v>1888</v>
      </c>
      <c r="BQ57" s="42" t="s">
        <v>1888</v>
      </c>
      <c r="BR57" s="42" t="s">
        <v>1889</v>
      </c>
    </row>
    <row r="58" customFormat="false" ht="15" hidden="false" customHeight="false" outlineLevel="0" collapsed="false">
      <c r="A58" s="2" t="n">
        <v>140884</v>
      </c>
      <c r="B58" s="2" t="s">
        <v>1722</v>
      </c>
      <c r="C58" s="41" t="s">
        <v>1890</v>
      </c>
      <c r="D58" s="42" t="s">
        <v>1888</v>
      </c>
      <c r="F58" s="43" t="s">
        <v>273</v>
      </c>
      <c r="I58" s="42" t="s">
        <v>1889</v>
      </c>
      <c r="J58" s="42" t="s">
        <v>1889</v>
      </c>
      <c r="K58" s="42" t="s">
        <v>1889</v>
      </c>
      <c r="M58" s="44" t="s">
        <v>1888</v>
      </c>
      <c r="N58" s="42" t="s">
        <v>1888</v>
      </c>
      <c r="O58" s="44" t="s">
        <v>1888</v>
      </c>
      <c r="P58" s="44" t="s">
        <v>1888</v>
      </c>
      <c r="Q58" s="42" t="s">
        <v>1888</v>
      </c>
      <c r="R58" s="42" t="s">
        <v>1888</v>
      </c>
      <c r="T58" s="42" t="s">
        <v>1889</v>
      </c>
      <c r="U58" s="42" t="s">
        <v>1889</v>
      </c>
      <c r="V58" s="42" t="s">
        <v>1889</v>
      </c>
      <c r="W58" s="42" t="s">
        <v>1889</v>
      </c>
      <c r="Z58" s="42" t="s">
        <v>1889</v>
      </c>
      <c r="AA58" s="43" t="s">
        <v>273</v>
      </c>
      <c r="AC58" s="43" t="s">
        <v>273</v>
      </c>
      <c r="AD58" s="43" t="s">
        <v>273</v>
      </c>
      <c r="AE58" s="43" t="s">
        <v>273</v>
      </c>
      <c r="AK58" s="47" t="s">
        <v>273</v>
      </c>
      <c r="AL58" s="43" t="s">
        <v>273</v>
      </c>
      <c r="AM58" s="44" t="s">
        <v>1888</v>
      </c>
      <c r="AN58" s="42" t="s">
        <v>1889</v>
      </c>
      <c r="AO58" s="42" t="s">
        <v>1889</v>
      </c>
      <c r="AP58" s="42" t="s">
        <v>1889</v>
      </c>
      <c r="AQ58" s="42" t="s">
        <v>1889</v>
      </c>
      <c r="AR58" s="44" t="s">
        <v>1889</v>
      </c>
      <c r="AS58" s="44" t="s">
        <v>1889</v>
      </c>
      <c r="AT58" s="42" t="s">
        <v>1889</v>
      </c>
      <c r="AU58" s="42" t="s">
        <v>1888</v>
      </c>
      <c r="AV58" s="44" t="s">
        <v>1888</v>
      </c>
      <c r="AW58" s="44" t="s">
        <v>1888</v>
      </c>
      <c r="AX58" s="42" t="s">
        <v>1889</v>
      </c>
      <c r="AY58" s="42" t="s">
        <v>1889</v>
      </c>
      <c r="AZ58" s="42" t="s">
        <v>1889</v>
      </c>
      <c r="BA58" s="42" t="s">
        <v>1889</v>
      </c>
      <c r="BB58" s="42" t="s">
        <v>1889</v>
      </c>
      <c r="BG58" s="43" t="s">
        <v>273</v>
      </c>
      <c r="BH58" s="43" t="s">
        <v>273</v>
      </c>
      <c r="BM58" s="46" t="s">
        <v>273</v>
      </c>
      <c r="BN58" s="43" t="s">
        <v>273</v>
      </c>
      <c r="BO58" s="42" t="s">
        <v>1888</v>
      </c>
      <c r="BP58" s="42" t="s">
        <v>1888</v>
      </c>
      <c r="BQ58" s="42" t="s">
        <v>1888</v>
      </c>
      <c r="BR58" s="42" t="s">
        <v>1889</v>
      </c>
    </row>
    <row r="59" customFormat="false" ht="15" hidden="false" customHeight="false" outlineLevel="0" collapsed="false">
      <c r="A59" s="2" t="n">
        <v>141419</v>
      </c>
      <c r="B59" s="2" t="s">
        <v>1725</v>
      </c>
      <c r="C59" s="41" t="s">
        <v>1890</v>
      </c>
      <c r="D59" s="42" t="s">
        <v>1888</v>
      </c>
      <c r="F59" s="43" t="s">
        <v>273</v>
      </c>
      <c r="I59" s="42" t="s">
        <v>1889</v>
      </c>
      <c r="J59" s="42" t="s">
        <v>1889</v>
      </c>
      <c r="K59" s="42" t="s">
        <v>1889</v>
      </c>
      <c r="M59" s="42" t="s">
        <v>1888</v>
      </c>
      <c r="N59" s="42" t="s">
        <v>1888</v>
      </c>
      <c r="O59" s="42" t="s">
        <v>1888</v>
      </c>
      <c r="P59" s="42" t="s">
        <v>1888</v>
      </c>
      <c r="Q59" s="42" t="s">
        <v>1888</v>
      </c>
      <c r="R59" s="42" t="s">
        <v>1888</v>
      </c>
      <c r="T59" s="42" t="s">
        <v>1889</v>
      </c>
      <c r="U59" s="42" t="s">
        <v>1889</v>
      </c>
      <c r="V59" s="42" t="s">
        <v>1889</v>
      </c>
      <c r="W59" s="42" t="s">
        <v>1889</v>
      </c>
      <c r="Z59" s="42" t="s">
        <v>1889</v>
      </c>
      <c r="AA59" s="43" t="s">
        <v>273</v>
      </c>
      <c r="AC59" s="43" t="s">
        <v>273</v>
      </c>
      <c r="AD59" s="43" t="s">
        <v>273</v>
      </c>
      <c r="AE59" s="43" t="s">
        <v>273</v>
      </c>
      <c r="AK59" s="43" t="s">
        <v>273</v>
      </c>
      <c r="AL59" s="43" t="s">
        <v>273</v>
      </c>
      <c r="AM59" s="42" t="s">
        <v>1888</v>
      </c>
      <c r="AN59" s="42" t="s">
        <v>1889</v>
      </c>
      <c r="AO59" s="42" t="s">
        <v>1889</v>
      </c>
      <c r="AP59" s="42" t="s">
        <v>1889</v>
      </c>
      <c r="AQ59" s="42" t="s">
        <v>1889</v>
      </c>
      <c r="AR59" s="42" t="s">
        <v>1889</v>
      </c>
      <c r="AS59" s="42" t="s">
        <v>1889</v>
      </c>
      <c r="AT59" s="42" t="s">
        <v>1889</v>
      </c>
      <c r="AU59" s="42" t="s">
        <v>1888</v>
      </c>
      <c r="AV59" s="42" t="s">
        <v>1888</v>
      </c>
      <c r="AW59" s="42" t="s">
        <v>1888</v>
      </c>
      <c r="AX59" s="42" t="s">
        <v>1889</v>
      </c>
      <c r="AY59" s="42" t="s">
        <v>1889</v>
      </c>
      <c r="AZ59" s="42" t="s">
        <v>1889</v>
      </c>
      <c r="BA59" s="42" t="s">
        <v>1889</v>
      </c>
      <c r="BB59" s="42" t="s">
        <v>1889</v>
      </c>
      <c r="BG59" s="43" t="s">
        <v>273</v>
      </c>
      <c r="BH59" s="43" t="s">
        <v>273</v>
      </c>
      <c r="BM59" s="43" t="s">
        <v>273</v>
      </c>
      <c r="BN59" s="43" t="s">
        <v>273</v>
      </c>
      <c r="BO59" s="42" t="s">
        <v>1888</v>
      </c>
      <c r="BP59" s="42" t="s">
        <v>1888</v>
      </c>
      <c r="BQ59" s="42" t="s">
        <v>1888</v>
      </c>
      <c r="BR59" s="42" t="s">
        <v>1889</v>
      </c>
    </row>
    <row r="60" customFormat="false" ht="15" hidden="false" customHeight="false" outlineLevel="0" collapsed="false">
      <c r="A60" s="2" t="n">
        <v>123066</v>
      </c>
      <c r="B60" s="2" t="s">
        <v>1729</v>
      </c>
      <c r="C60" s="41" t="s">
        <v>1893</v>
      </c>
      <c r="D60" s="42" t="s">
        <v>1888</v>
      </c>
      <c r="E60" s="44" t="s">
        <v>1888</v>
      </c>
      <c r="F60" s="43" t="s">
        <v>273</v>
      </c>
      <c r="H60" s="44" t="s">
        <v>1889</v>
      </c>
      <c r="I60" s="42" t="s">
        <v>1889</v>
      </c>
      <c r="J60" s="42" t="s">
        <v>1889</v>
      </c>
      <c r="K60" s="42" t="s">
        <v>1889</v>
      </c>
      <c r="O60" s="44" t="s">
        <v>1888</v>
      </c>
      <c r="Q60" s="42" t="s">
        <v>1888</v>
      </c>
      <c r="R60" s="42" t="s">
        <v>1888</v>
      </c>
      <c r="S60" s="42" t="s">
        <v>1889</v>
      </c>
      <c r="W60" s="42" t="s">
        <v>1889</v>
      </c>
      <c r="AA60" s="43" t="s">
        <v>273</v>
      </c>
      <c r="AK60" s="47" t="s">
        <v>273</v>
      </c>
      <c r="AL60" s="43" t="s">
        <v>273</v>
      </c>
      <c r="BG60" s="43" t="s">
        <v>273</v>
      </c>
      <c r="BH60" s="43" t="s">
        <v>273</v>
      </c>
      <c r="BM60" s="43" t="s">
        <v>273</v>
      </c>
      <c r="BN60" s="43" t="s">
        <v>273</v>
      </c>
    </row>
    <row r="61" customFormat="false" ht="15" hidden="false" customHeight="false" outlineLevel="0" collapsed="false">
      <c r="A61" s="2" t="n">
        <v>140811</v>
      </c>
      <c r="B61" s="2" t="s">
        <v>1734</v>
      </c>
      <c r="C61" s="41" t="s">
        <v>1893</v>
      </c>
      <c r="D61" s="42" t="s">
        <v>1888</v>
      </c>
      <c r="F61" s="43" t="s">
        <v>273</v>
      </c>
      <c r="I61" s="42" t="s">
        <v>1889</v>
      </c>
      <c r="AA61" s="43" t="s">
        <v>273</v>
      </c>
      <c r="AK61" s="43" t="s">
        <v>273</v>
      </c>
      <c r="AL61" s="43" t="s">
        <v>273</v>
      </c>
      <c r="AU61" s="42" t="s">
        <v>1888</v>
      </c>
      <c r="AV61" s="44" t="s">
        <v>1888</v>
      </c>
      <c r="AW61" s="44" t="s">
        <v>1888</v>
      </c>
      <c r="AX61" s="42" t="s">
        <v>1889</v>
      </c>
      <c r="AY61" s="42" t="s">
        <v>1889</v>
      </c>
      <c r="AZ61" s="42" t="s">
        <v>1889</v>
      </c>
      <c r="BA61" s="42" t="s">
        <v>1889</v>
      </c>
      <c r="BB61" s="42" t="s">
        <v>1889</v>
      </c>
      <c r="BG61" s="43" t="s">
        <v>273</v>
      </c>
      <c r="BH61" s="43" t="s">
        <v>273</v>
      </c>
      <c r="BM61" s="46" t="s">
        <v>273</v>
      </c>
      <c r="BN61" s="43" t="s">
        <v>273</v>
      </c>
      <c r="BQ61" s="42" t="s">
        <v>1888</v>
      </c>
      <c r="BR61" s="42" t="s">
        <v>1889</v>
      </c>
    </row>
    <row r="62" customFormat="false" ht="15" hidden="false" customHeight="false" outlineLevel="0" collapsed="false">
      <c r="A62" s="2" t="n">
        <v>141182</v>
      </c>
      <c r="B62" s="2" t="s">
        <v>1739</v>
      </c>
      <c r="C62" s="41" t="s">
        <v>1893</v>
      </c>
      <c r="D62" s="42" t="s">
        <v>1888</v>
      </c>
      <c r="F62" s="43" t="s">
        <v>273</v>
      </c>
      <c r="I62" s="42" t="s">
        <v>1889</v>
      </c>
      <c r="M62" s="42" t="s">
        <v>1888</v>
      </c>
      <c r="N62" s="42" t="s">
        <v>1888</v>
      </c>
      <c r="V62" s="42" t="s">
        <v>1889</v>
      </c>
      <c r="AA62" s="43" t="s">
        <v>273</v>
      </c>
      <c r="AK62" s="43" t="s">
        <v>273</v>
      </c>
      <c r="AL62" s="43" t="s">
        <v>273</v>
      </c>
      <c r="AU62" s="42" t="s">
        <v>1888</v>
      </c>
      <c r="AV62" s="44" t="s">
        <v>1888</v>
      </c>
      <c r="AW62" s="44" t="s">
        <v>1888</v>
      </c>
      <c r="AX62" s="42" t="s">
        <v>1889</v>
      </c>
      <c r="AY62" s="42" t="s">
        <v>1889</v>
      </c>
      <c r="AZ62" s="42" t="s">
        <v>1889</v>
      </c>
      <c r="BA62" s="42" t="s">
        <v>1889</v>
      </c>
      <c r="BB62" s="42" t="s">
        <v>1889</v>
      </c>
      <c r="BG62" s="43" t="s">
        <v>273</v>
      </c>
      <c r="BH62" s="43" t="s">
        <v>273</v>
      </c>
      <c r="BM62" s="46" t="s">
        <v>273</v>
      </c>
      <c r="BN62" s="43" t="s">
        <v>273</v>
      </c>
      <c r="BQ62" s="42" t="s">
        <v>1888</v>
      </c>
      <c r="BR62" s="42" t="s">
        <v>1889</v>
      </c>
    </row>
    <row r="63" customFormat="false" ht="15" hidden="false" customHeight="false" outlineLevel="0" collapsed="false">
      <c r="A63" s="2" t="n">
        <v>113546</v>
      </c>
      <c r="B63" s="2" t="s">
        <v>1063</v>
      </c>
      <c r="C63" s="41" t="s">
        <v>1891</v>
      </c>
      <c r="E63" s="42" t="s">
        <v>1888</v>
      </c>
      <c r="H63" s="42" t="s">
        <v>1889</v>
      </c>
      <c r="AA63" s="43" t="s">
        <v>273</v>
      </c>
      <c r="AB63" s="43" t="s">
        <v>273</v>
      </c>
      <c r="AF63" s="43" t="s">
        <v>273</v>
      </c>
      <c r="AG63" s="43" t="s">
        <v>273</v>
      </c>
      <c r="BC63" s="45" t="s">
        <v>1888</v>
      </c>
      <c r="BD63" s="42" t="s">
        <v>1889</v>
      </c>
      <c r="BE63" s="42" t="s">
        <v>1889</v>
      </c>
      <c r="BF63" s="42" t="s">
        <v>1889</v>
      </c>
      <c r="BG63" s="43" t="s">
        <v>273</v>
      </c>
      <c r="BH63" s="43" t="s">
        <v>273</v>
      </c>
      <c r="BM63" s="43" t="s">
        <v>273</v>
      </c>
      <c r="BN63" s="43" t="s">
        <v>273</v>
      </c>
    </row>
    <row r="64" customFormat="false" ht="15" hidden="false" customHeight="false" outlineLevel="0" collapsed="false">
      <c r="A64" s="2" t="n">
        <v>141417</v>
      </c>
      <c r="B64" s="2" t="s">
        <v>1748</v>
      </c>
      <c r="C64" s="41" t="s">
        <v>1891</v>
      </c>
      <c r="AA64" s="43" t="s">
        <v>273</v>
      </c>
      <c r="AB64" s="43" t="s">
        <v>273</v>
      </c>
      <c r="AF64" s="43" t="s">
        <v>273</v>
      </c>
      <c r="AG64" s="43" t="s">
        <v>273</v>
      </c>
      <c r="BC64" s="42" t="s">
        <v>1888</v>
      </c>
      <c r="BD64" s="42" t="s">
        <v>1889</v>
      </c>
      <c r="BE64" s="42" t="s">
        <v>1889</v>
      </c>
      <c r="BF64" s="42" t="s">
        <v>1889</v>
      </c>
      <c r="BG64" s="43" t="s">
        <v>273</v>
      </c>
      <c r="BH64" s="43" t="s">
        <v>273</v>
      </c>
      <c r="BM64" s="43" t="s">
        <v>273</v>
      </c>
      <c r="BN64" s="43" t="s">
        <v>273</v>
      </c>
    </row>
    <row r="65" customFormat="false" ht="15" hidden="false" customHeight="false" outlineLevel="0" collapsed="false">
      <c r="A65" s="2" t="n">
        <v>103789</v>
      </c>
      <c r="B65" s="2" t="s">
        <v>1752</v>
      </c>
      <c r="C65" s="41" t="s">
        <v>1892</v>
      </c>
      <c r="D65" s="42" t="s">
        <v>1888</v>
      </c>
      <c r="E65" s="43" t="s">
        <v>273</v>
      </c>
      <c r="I65" s="42" t="s">
        <v>1889</v>
      </c>
      <c r="Z65" s="42" t="s">
        <v>1889</v>
      </c>
      <c r="AA65" s="43" t="s">
        <v>273</v>
      </c>
      <c r="BG65" s="43" t="s">
        <v>273</v>
      </c>
      <c r="BH65" s="43" t="s">
        <v>273</v>
      </c>
      <c r="BI65" s="42" t="s">
        <v>1888</v>
      </c>
      <c r="BM65" s="43" t="s">
        <v>273</v>
      </c>
    </row>
    <row r="66" customFormat="false" ht="15" hidden="false" customHeight="false" outlineLevel="0" collapsed="false">
      <c r="A66" s="2" t="n">
        <v>103801</v>
      </c>
      <c r="B66" s="2" t="s">
        <v>1756</v>
      </c>
      <c r="C66" s="41" t="s">
        <v>1892</v>
      </c>
      <c r="D66" s="42" t="s">
        <v>1888</v>
      </c>
      <c r="E66" s="43" t="s">
        <v>273</v>
      </c>
      <c r="I66" s="42" t="s">
        <v>1889</v>
      </c>
      <c r="L66" s="42" t="s">
        <v>1889</v>
      </c>
      <c r="AA66" s="43" t="s">
        <v>273</v>
      </c>
      <c r="BG66" s="43" t="s">
        <v>273</v>
      </c>
      <c r="BH66" s="43" t="s">
        <v>273</v>
      </c>
      <c r="BK66" s="42" t="s">
        <v>1889</v>
      </c>
      <c r="BM66" s="43" t="s">
        <v>273</v>
      </c>
    </row>
    <row r="67" customFormat="false" ht="15" hidden="false" customHeight="false" outlineLevel="0" collapsed="false">
      <c r="A67" s="2" t="n">
        <v>103851</v>
      </c>
      <c r="B67" s="2" t="s">
        <v>1761</v>
      </c>
      <c r="C67" s="41" t="s">
        <v>1892</v>
      </c>
      <c r="D67" s="42" t="s">
        <v>1888</v>
      </c>
      <c r="E67" s="43" t="s">
        <v>273</v>
      </c>
      <c r="F67" s="42" t="s">
        <v>1888</v>
      </c>
      <c r="I67" s="42" t="s">
        <v>1889</v>
      </c>
      <c r="J67" s="42" t="s">
        <v>1889</v>
      </c>
      <c r="K67" s="42" t="s">
        <v>1889</v>
      </c>
      <c r="AA67" s="43" t="s">
        <v>273</v>
      </c>
      <c r="AM67" s="42" t="s">
        <v>1888</v>
      </c>
      <c r="AQ67" s="42" t="s">
        <v>1889</v>
      </c>
      <c r="AR67" s="42" t="s">
        <v>1889</v>
      </c>
      <c r="AS67" s="42" t="s">
        <v>1889</v>
      </c>
      <c r="BG67" s="43" t="s">
        <v>273</v>
      </c>
      <c r="BH67" s="43" t="s">
        <v>273</v>
      </c>
      <c r="BK67" s="42" t="s">
        <v>1889</v>
      </c>
      <c r="BM67" s="43" t="s">
        <v>273</v>
      </c>
    </row>
    <row r="68" customFormat="false" ht="15" hidden="false" customHeight="false" outlineLevel="0" collapsed="false">
      <c r="A68" s="2" t="n">
        <v>105282</v>
      </c>
      <c r="B68" s="2" t="s">
        <v>1767</v>
      </c>
      <c r="C68" s="41" t="s">
        <v>1892</v>
      </c>
      <c r="D68" s="42" t="s">
        <v>1888</v>
      </c>
      <c r="E68" s="43" t="s">
        <v>273</v>
      </c>
      <c r="H68" s="42" t="s">
        <v>1889</v>
      </c>
      <c r="I68" s="42" t="s">
        <v>1889</v>
      </c>
      <c r="AA68" s="43" t="s">
        <v>273</v>
      </c>
      <c r="AK68" s="42" t="s">
        <v>1888</v>
      </c>
      <c r="AL68" s="42" t="s">
        <v>1888</v>
      </c>
      <c r="AN68" s="42" t="s">
        <v>1889</v>
      </c>
      <c r="AO68" s="42" t="s">
        <v>1889</v>
      </c>
      <c r="AP68" s="42" t="s">
        <v>1889</v>
      </c>
      <c r="AQ68" s="42" t="s">
        <v>1889</v>
      </c>
      <c r="AT68" s="42" t="s">
        <v>1889</v>
      </c>
      <c r="BG68" s="43" t="s">
        <v>273</v>
      </c>
      <c r="BH68" s="43" t="s">
        <v>273</v>
      </c>
      <c r="BM68" s="43" t="s">
        <v>273</v>
      </c>
    </row>
    <row r="69" customFormat="false" ht="15" hidden="false" customHeight="false" outlineLevel="0" collapsed="false">
      <c r="A69" s="2" t="n">
        <v>105381</v>
      </c>
      <c r="B69" s="2" t="s">
        <v>1772</v>
      </c>
      <c r="C69" s="41" t="s">
        <v>1892</v>
      </c>
      <c r="D69" s="42" t="s">
        <v>1888</v>
      </c>
      <c r="E69" s="43" t="s">
        <v>273</v>
      </c>
      <c r="H69" s="42" t="s">
        <v>1889</v>
      </c>
      <c r="I69" s="42" t="s">
        <v>1889</v>
      </c>
      <c r="AA69" s="43" t="s">
        <v>273</v>
      </c>
      <c r="AM69" s="42" t="s">
        <v>1888</v>
      </c>
      <c r="AQ69" s="42" t="s">
        <v>1889</v>
      </c>
      <c r="AR69" s="42" t="s">
        <v>1889</v>
      </c>
      <c r="AS69" s="42" t="s">
        <v>1889</v>
      </c>
      <c r="BG69" s="43" t="s">
        <v>273</v>
      </c>
      <c r="BH69" s="43" t="s">
        <v>273</v>
      </c>
      <c r="BM69" s="43" t="s">
        <v>273</v>
      </c>
    </row>
    <row r="70" customFormat="false" ht="15" hidden="false" customHeight="false" outlineLevel="0" collapsed="false">
      <c r="A70" s="2" t="n">
        <v>115700</v>
      </c>
      <c r="B70" s="2" t="s">
        <v>1779</v>
      </c>
      <c r="C70" s="41" t="s">
        <v>1892</v>
      </c>
      <c r="D70" s="42" t="s">
        <v>1888</v>
      </c>
      <c r="E70" s="43" t="s">
        <v>273</v>
      </c>
      <c r="H70" s="42" t="s">
        <v>1889</v>
      </c>
      <c r="I70" s="42" t="s">
        <v>1889</v>
      </c>
      <c r="O70" s="42" t="s">
        <v>1888</v>
      </c>
      <c r="Q70" s="42" t="s">
        <v>1888</v>
      </c>
      <c r="R70" s="42" t="s">
        <v>1888</v>
      </c>
      <c r="S70" s="42" t="s">
        <v>1889</v>
      </c>
      <c r="W70" s="42" t="s">
        <v>1889</v>
      </c>
      <c r="AA70" s="43" t="s">
        <v>273</v>
      </c>
      <c r="BG70" s="43" t="s">
        <v>273</v>
      </c>
      <c r="BH70" s="43" t="s">
        <v>273</v>
      </c>
      <c r="BM70" s="43" t="s">
        <v>273</v>
      </c>
    </row>
    <row r="71" customFormat="false" ht="15" hidden="false" customHeight="false" outlineLevel="0" collapsed="false">
      <c r="A71" s="2" t="n">
        <v>116875</v>
      </c>
      <c r="B71" s="2" t="s">
        <v>1785</v>
      </c>
      <c r="C71" s="41" t="s">
        <v>1892</v>
      </c>
      <c r="D71" s="42" t="s">
        <v>1888</v>
      </c>
      <c r="E71" s="43" t="s">
        <v>273</v>
      </c>
      <c r="I71" s="42" t="s">
        <v>1889</v>
      </c>
      <c r="AA71" s="43" t="s">
        <v>273</v>
      </c>
      <c r="BG71" s="43" t="s">
        <v>273</v>
      </c>
      <c r="BH71" s="43" t="s">
        <v>273</v>
      </c>
      <c r="BJ71" s="42" t="s">
        <v>1888</v>
      </c>
      <c r="BK71" s="42" t="s">
        <v>1889</v>
      </c>
      <c r="BL71" s="42" t="s">
        <v>1889</v>
      </c>
      <c r="BM71" s="43" t="s">
        <v>273</v>
      </c>
    </row>
    <row r="72" customFormat="false" ht="15" hidden="false" customHeight="false" outlineLevel="0" collapsed="false">
      <c r="A72" s="2" t="n">
        <v>140631</v>
      </c>
      <c r="B72" s="2" t="s">
        <v>1791</v>
      </c>
      <c r="C72" s="41" t="s">
        <v>1892</v>
      </c>
      <c r="D72" s="42" t="s">
        <v>1888</v>
      </c>
      <c r="E72" s="46" t="s">
        <v>273</v>
      </c>
      <c r="F72" s="42" t="s">
        <v>1888</v>
      </c>
      <c r="H72" s="44" t="s">
        <v>1889</v>
      </c>
      <c r="I72" s="42" t="s">
        <v>1889</v>
      </c>
      <c r="J72" s="42" t="s">
        <v>1889</v>
      </c>
      <c r="K72" s="42" t="s">
        <v>1889</v>
      </c>
      <c r="AA72" s="43" t="s">
        <v>273</v>
      </c>
      <c r="AM72" s="44" t="s">
        <v>1888</v>
      </c>
      <c r="AQ72" s="42" t="s">
        <v>1889</v>
      </c>
      <c r="AR72" s="44" t="s">
        <v>1889</v>
      </c>
      <c r="AS72" s="44" t="s">
        <v>1889</v>
      </c>
      <c r="BG72" s="43" t="s">
        <v>273</v>
      </c>
      <c r="BH72" s="43" t="s">
        <v>273</v>
      </c>
      <c r="BM72" s="43" t="s">
        <v>273</v>
      </c>
    </row>
    <row r="73" customFormat="false" ht="15" hidden="false" customHeight="false" outlineLevel="0" collapsed="false">
      <c r="A73" s="2" t="n">
        <v>141041</v>
      </c>
      <c r="B73" s="2" t="s">
        <v>1796</v>
      </c>
      <c r="C73" s="41" t="s">
        <v>1892</v>
      </c>
      <c r="D73" s="42" t="s">
        <v>1888</v>
      </c>
      <c r="E73" s="46" t="s">
        <v>273</v>
      </c>
      <c r="G73" s="42" t="s">
        <v>1889</v>
      </c>
      <c r="H73" s="44" t="s">
        <v>1889</v>
      </c>
      <c r="I73" s="42" t="s">
        <v>1889</v>
      </c>
      <c r="Z73" s="42" t="s">
        <v>1889</v>
      </c>
      <c r="AA73" s="43" t="s">
        <v>273</v>
      </c>
      <c r="AK73" s="45" t="s">
        <v>1888</v>
      </c>
      <c r="AL73" s="42" t="s">
        <v>1888</v>
      </c>
      <c r="AM73" s="42" t="s">
        <v>1888</v>
      </c>
      <c r="AN73" s="42" t="s">
        <v>1889</v>
      </c>
      <c r="AO73" s="42" t="s">
        <v>1889</v>
      </c>
      <c r="AP73" s="42" t="s">
        <v>1889</v>
      </c>
      <c r="AQ73" s="42" t="s">
        <v>1889</v>
      </c>
      <c r="AR73" s="44" t="s">
        <v>1889</v>
      </c>
      <c r="AS73" s="44" t="s">
        <v>1889</v>
      </c>
      <c r="AT73" s="42" t="s">
        <v>1889</v>
      </c>
      <c r="BG73" s="43" t="s">
        <v>273</v>
      </c>
      <c r="BH73" s="43" t="s">
        <v>273</v>
      </c>
      <c r="BI73" s="42" t="s">
        <v>1888</v>
      </c>
      <c r="BM73" s="46" t="s">
        <v>273</v>
      </c>
    </row>
    <row r="74" customFormat="false" ht="15" hidden="false" customHeight="false" outlineLevel="0" collapsed="false">
      <c r="A74" s="2" t="n">
        <v>141061</v>
      </c>
      <c r="B74" s="2" t="s">
        <v>1800</v>
      </c>
      <c r="C74" s="41" t="s">
        <v>1892</v>
      </c>
      <c r="D74" s="42" t="s">
        <v>1888</v>
      </c>
      <c r="E74" s="46" t="s">
        <v>273</v>
      </c>
      <c r="H74" s="44" t="s">
        <v>1889</v>
      </c>
      <c r="I74" s="42" t="s">
        <v>1889</v>
      </c>
      <c r="Z74" s="42" t="s">
        <v>1889</v>
      </c>
      <c r="AA74" s="43" t="s">
        <v>273</v>
      </c>
      <c r="BG74" s="43" t="s">
        <v>273</v>
      </c>
      <c r="BH74" s="43" t="s">
        <v>273</v>
      </c>
      <c r="BI74" s="42" t="s">
        <v>1888</v>
      </c>
      <c r="BM74" s="43" t="s">
        <v>273</v>
      </c>
    </row>
    <row r="75" customFormat="false" ht="15" hidden="false" customHeight="false" outlineLevel="0" collapsed="false">
      <c r="A75" s="2" t="n">
        <v>141120</v>
      </c>
      <c r="B75" s="2" t="s">
        <v>1806</v>
      </c>
      <c r="C75" s="41" t="s">
        <v>1892</v>
      </c>
      <c r="D75" s="42" t="s">
        <v>1888</v>
      </c>
      <c r="E75" s="46" t="s">
        <v>273</v>
      </c>
      <c r="I75" s="42" t="s">
        <v>1889</v>
      </c>
      <c r="AA75" s="43" t="s">
        <v>273</v>
      </c>
      <c r="BG75" s="43" t="s">
        <v>273</v>
      </c>
      <c r="BH75" s="43" t="s">
        <v>273</v>
      </c>
      <c r="BJ75" s="44" t="s">
        <v>1888</v>
      </c>
      <c r="BK75" s="42" t="s">
        <v>1889</v>
      </c>
      <c r="BL75" s="44" t="s">
        <v>1889</v>
      </c>
      <c r="BM75" s="46" t="s">
        <v>273</v>
      </c>
    </row>
    <row r="76" customFormat="false" ht="15" hidden="false" customHeight="false" outlineLevel="0" collapsed="false">
      <c r="A76" s="2" t="n">
        <v>141161</v>
      </c>
      <c r="B76" s="2" t="s">
        <v>1809</v>
      </c>
      <c r="C76" s="41" t="s">
        <v>1892</v>
      </c>
      <c r="E76" s="43" t="s">
        <v>273</v>
      </c>
      <c r="AA76" s="43" t="s">
        <v>273</v>
      </c>
      <c r="BG76" s="43" t="s">
        <v>273</v>
      </c>
      <c r="BH76" s="43" t="s">
        <v>273</v>
      </c>
      <c r="BJ76" s="42" t="s">
        <v>1888</v>
      </c>
      <c r="BL76" s="42" t="s">
        <v>1889</v>
      </c>
      <c r="BM76" s="43" t="s">
        <v>273</v>
      </c>
      <c r="BO76" s="42" t="s">
        <v>1888</v>
      </c>
      <c r="BP76" s="42" t="s">
        <v>1888</v>
      </c>
    </row>
    <row r="77" customFormat="false" ht="15" hidden="false" customHeight="false" outlineLevel="0" collapsed="false">
      <c r="A77" s="2" t="n">
        <v>141162</v>
      </c>
      <c r="B77" s="2" t="s">
        <v>1814</v>
      </c>
      <c r="C77" s="41" t="s">
        <v>1892</v>
      </c>
      <c r="D77" s="42" t="s">
        <v>1888</v>
      </c>
      <c r="E77" s="46" t="s">
        <v>273</v>
      </c>
      <c r="H77" s="44" t="s">
        <v>1889</v>
      </c>
      <c r="I77" s="42" t="s">
        <v>1889</v>
      </c>
      <c r="AA77" s="43" t="s">
        <v>273</v>
      </c>
      <c r="AI77" s="42" t="s">
        <v>1889</v>
      </c>
      <c r="BG77" s="43" t="s">
        <v>273</v>
      </c>
      <c r="BH77" s="43" t="s">
        <v>273</v>
      </c>
      <c r="BM77" s="43" t="s">
        <v>273</v>
      </c>
    </row>
    <row r="78" customFormat="false" ht="15" hidden="false" customHeight="false" outlineLevel="0" collapsed="false">
      <c r="A78" s="2" t="n">
        <v>141166</v>
      </c>
      <c r="B78" s="2" t="s">
        <v>1819</v>
      </c>
      <c r="C78" s="41" t="s">
        <v>1892</v>
      </c>
      <c r="D78" s="42" t="s">
        <v>1888</v>
      </c>
      <c r="E78" s="46" t="s">
        <v>273</v>
      </c>
      <c r="I78" s="42" t="s">
        <v>1889</v>
      </c>
      <c r="L78" s="45" t="s">
        <v>1889</v>
      </c>
      <c r="AA78" s="43" t="s">
        <v>273</v>
      </c>
      <c r="BG78" s="43" t="s">
        <v>273</v>
      </c>
      <c r="BH78" s="43" t="s">
        <v>273</v>
      </c>
      <c r="BK78" s="42" t="s">
        <v>1889</v>
      </c>
      <c r="BM78" s="43" t="s">
        <v>273</v>
      </c>
    </row>
    <row r="79" customFormat="false" ht="15" hidden="false" customHeight="false" outlineLevel="0" collapsed="false">
      <c r="A79" s="2" t="n">
        <v>141042</v>
      </c>
      <c r="B79" s="2" t="s">
        <v>1823</v>
      </c>
      <c r="C79" s="41" t="s">
        <v>1887</v>
      </c>
      <c r="D79" s="42" t="s">
        <v>1888</v>
      </c>
      <c r="E79" s="42" t="s">
        <v>1888</v>
      </c>
      <c r="H79" s="42" t="s">
        <v>1889</v>
      </c>
      <c r="I79" s="42" t="s">
        <v>1889</v>
      </c>
    </row>
    <row r="80" customFormat="false" ht="15" hidden="false" customHeight="false" outlineLevel="0" collapsed="false">
      <c r="B80" s="4" t="s">
        <v>1895</v>
      </c>
      <c r="D80" s="48" t="n">
        <f aca="false">COUNTIF(D4:D79,"M")+COUNTIF(D4:D79,"R")</f>
        <v>53</v>
      </c>
      <c r="E80" s="48" t="n">
        <f aca="false">COUNTIF(E4:E79,"M")+COUNTIF(E4:E79,"R")</f>
        <v>42</v>
      </c>
      <c r="F80" s="48" t="n">
        <f aca="false">COUNTIF(F4:F79,"M")+COUNTIF(F4:F79,"R")</f>
        <v>24</v>
      </c>
      <c r="G80" s="48" t="n">
        <f aca="false">COUNTIF(G4:G79,"M")+COUNTIF(G4:G79,"R")</f>
        <v>0</v>
      </c>
      <c r="H80" s="48" t="n">
        <f aca="false">COUNTIF(H4:H79,"M")+COUNTIF(H4:H79,"R")</f>
        <v>0</v>
      </c>
      <c r="I80" s="48" t="n">
        <f aca="false">COUNTIF(I4:I79,"M")+COUNTIF(I4:I79,"R")</f>
        <v>0</v>
      </c>
      <c r="J80" s="48" t="n">
        <f aca="false">COUNTIF(J4:J79,"M")+COUNTIF(J4:J79,"R")</f>
        <v>0</v>
      </c>
      <c r="K80" s="48" t="n">
        <f aca="false">COUNTIF(K4:K79,"M")+COUNTIF(K4:K79,"R")</f>
        <v>0</v>
      </c>
      <c r="L80" s="48" t="n">
        <f aca="false">COUNTIF(L4:L79,"M")+COUNTIF(L4:L79,"R")</f>
        <v>0</v>
      </c>
      <c r="M80" s="48" t="n">
        <f aca="false">COUNTIF(M4:M79,"M")+COUNTIF(M4:M79,"R")</f>
        <v>17</v>
      </c>
      <c r="N80" s="48" t="n">
        <f aca="false">COUNTIF(N4:N79,"M")+COUNTIF(N4:N79,"R")</f>
        <v>17</v>
      </c>
      <c r="O80" s="48" t="n">
        <f aca="false">COUNTIF(O4:O79,"M")+COUNTIF(O4:O79,"R")</f>
        <v>14</v>
      </c>
      <c r="P80" s="48" t="n">
        <f aca="false">COUNTIF(P4:P79,"M")+COUNTIF(P4:P79,"R")</f>
        <v>20</v>
      </c>
      <c r="Q80" s="48" t="n">
        <f aca="false">COUNTIF(Q4:Q79,"M")+COUNTIF(Q4:Q79,"R")</f>
        <v>14</v>
      </c>
      <c r="R80" s="48" t="n">
        <f aca="false">COUNTIF(R4:R79,"M")+COUNTIF(R4:R79,"R")</f>
        <v>14</v>
      </c>
      <c r="S80" s="48" t="n">
        <f aca="false">COUNTIF(S4:S79,"M")+COUNTIF(S4:S79,"R")</f>
        <v>0</v>
      </c>
      <c r="T80" s="48" t="n">
        <f aca="false">COUNTIF(T4:T79,"M")+COUNTIF(T4:T79,"R")</f>
        <v>0</v>
      </c>
      <c r="U80" s="48" t="n">
        <f aca="false">COUNTIF(U4:U79,"M")+COUNTIF(U4:U79,"R")</f>
        <v>0</v>
      </c>
      <c r="V80" s="48" t="n">
        <f aca="false">COUNTIF(V4:V79,"M")+COUNTIF(V4:V79,"R")</f>
        <v>0</v>
      </c>
      <c r="W80" s="48" t="n">
        <f aca="false">COUNTIF(W4:W79,"M")+COUNTIF(W4:W79,"R")</f>
        <v>0</v>
      </c>
      <c r="X80" s="48" t="n">
        <f aca="false">COUNTIF(X4:X79,"M")+COUNTIF(X4:X79,"R")</f>
        <v>0</v>
      </c>
      <c r="Y80" s="48" t="n">
        <f aca="false">COUNTIF(Y4:Y79,"M")+COUNTIF(Y4:Y79,"R")</f>
        <v>0</v>
      </c>
      <c r="Z80" s="48" t="n">
        <f aca="false">COUNTIF(Z4:Z79,"M")+COUNTIF(Z4:Z79,"R")</f>
        <v>0</v>
      </c>
      <c r="AA80" s="48" t="n">
        <f aca="false">COUNTIF(AA4:AA79,"M")+COUNTIF(AA4:AA79,"R")</f>
        <v>60</v>
      </c>
      <c r="AB80" s="48" t="n">
        <f aca="false">COUNTIF(AB4:AB79,"M")+COUNTIF(AB4:AB79,"R")</f>
        <v>12</v>
      </c>
      <c r="AC80" s="48" t="n">
        <f aca="false">COUNTIF(AC4:AC79,"M")+COUNTIF(AC4:AC79,"R")</f>
        <v>15</v>
      </c>
      <c r="AD80" s="48" t="n">
        <f aca="false">COUNTIF(AD4:AD79,"M")+COUNTIF(AD4:AD79,"R")</f>
        <v>15</v>
      </c>
      <c r="AE80" s="48" t="n">
        <f aca="false">COUNTIF(AE4:AE79,"M")+COUNTIF(AE4:AE79,"R")</f>
        <v>15</v>
      </c>
      <c r="AF80" s="48" t="n">
        <f aca="false">COUNTIF(AF4:AF79,"M")+COUNTIF(AF4:AF79,"R")</f>
        <v>12</v>
      </c>
      <c r="AG80" s="48" t="n">
        <f aca="false">COUNTIF(AG4:AG79,"M")+COUNTIF(AG4:AG79,"R")</f>
        <v>12</v>
      </c>
      <c r="AH80" s="48" t="n">
        <f aca="false">COUNTIF(AH4:AH79,"M")+COUNTIF(AH4:AH79,"R")</f>
        <v>8</v>
      </c>
      <c r="AI80" s="48" t="n">
        <f aca="false">COUNTIF(AI4:AI79,"M")+COUNTIF(AI4:AI79,"R")</f>
        <v>0</v>
      </c>
      <c r="AJ80" s="48" t="n">
        <f aca="false">COUNTIF(AJ4:AJ79,"M")+COUNTIF(AJ4:AJ79,"R")</f>
        <v>0</v>
      </c>
      <c r="AK80" s="48" t="n">
        <f aca="false">COUNTIF(AK4:AK79,"M")+COUNTIF(AK4:AK79,"R")</f>
        <v>26</v>
      </c>
      <c r="AL80" s="48" t="n">
        <f aca="false">COUNTIF(AL4:AL79,"M")+COUNTIF(AL4:AL79,"R")</f>
        <v>26</v>
      </c>
      <c r="AM80" s="48" t="n">
        <f aca="false">COUNTIF(AM4:AM79,"M")+COUNTIF(AM4:AM79,"R")</f>
        <v>16</v>
      </c>
      <c r="AN80" s="48" t="n">
        <f aca="false">COUNTIF(AN4:AN79,"M")+COUNTIF(AN4:AN79,"R")</f>
        <v>0</v>
      </c>
      <c r="AO80" s="48" t="n">
        <f aca="false">COUNTIF(AO4:AO79,"M")+COUNTIF(AO4:AO79,"R")</f>
        <v>0</v>
      </c>
      <c r="AP80" s="48" t="n">
        <f aca="false">COUNTIF(AP4:AP79,"M")+COUNTIF(AP4:AP79,"R")</f>
        <v>0</v>
      </c>
      <c r="AQ80" s="48" t="n">
        <f aca="false">COUNTIF(AQ4:AQ79,"M")+COUNTIF(AQ4:AQ79,"R")</f>
        <v>0</v>
      </c>
      <c r="AR80" s="48" t="n">
        <f aca="false">COUNTIF(AR4:AR79,"M")+COUNTIF(AR4:AR79,"R")</f>
        <v>0</v>
      </c>
      <c r="AS80" s="48" t="n">
        <f aca="false">COUNTIF(AS4:AS79,"M")+COUNTIF(AS4:AS79,"R")</f>
        <v>0</v>
      </c>
      <c r="AT80" s="48" t="n">
        <f aca="false">COUNTIF(AT4:AT79,"M")+COUNTIF(AT4:AT79,"R")</f>
        <v>0</v>
      </c>
      <c r="AU80" s="48" t="n">
        <f aca="false">COUNTIF(AU4:AU79,"M")+COUNTIF(AU4:AU79,"R")</f>
        <v>18</v>
      </c>
      <c r="AV80" s="48" t="n">
        <f aca="false">COUNTIF(AV4:AV79,"M")+COUNTIF(AV4:AV79,"R")</f>
        <v>21</v>
      </c>
      <c r="AW80" s="48" t="n">
        <f aca="false">COUNTIF(AW4:AW79,"M")+COUNTIF(AW4:AW79,"R")</f>
        <v>21</v>
      </c>
      <c r="AX80" s="48" t="n">
        <f aca="false">COUNTIF(AX4:AX79,"M")+COUNTIF(AX4:AX79,"R")</f>
        <v>0</v>
      </c>
      <c r="AY80" s="48" t="n">
        <f aca="false">COUNTIF(AY4:AY79,"M")+COUNTIF(AY4:AY79,"R")</f>
        <v>0</v>
      </c>
      <c r="AZ80" s="48" t="n">
        <f aca="false">COUNTIF(AZ4:AZ79,"M")+COUNTIF(AZ4:AZ79,"R")</f>
        <v>0</v>
      </c>
      <c r="BA80" s="48" t="n">
        <f aca="false">COUNTIF(BA4:BA79,"M")+COUNTIF(BA4:BA79,"R")</f>
        <v>0</v>
      </c>
      <c r="BB80" s="48" t="n">
        <f aca="false">COUNTIF(BB4:BB79,"M")+COUNTIF(BB4:BB79,"R")</f>
        <v>0</v>
      </c>
      <c r="BC80" s="48" t="n">
        <f aca="false">COUNTIF(BC4:BC79,"M")+COUNTIF(BC4:BC79,"R")</f>
        <v>3</v>
      </c>
      <c r="BD80" s="48" t="n">
        <f aca="false">COUNTIF(BD4:BD79,"M")+COUNTIF(BD4:BD79,"R")</f>
        <v>0</v>
      </c>
      <c r="BE80" s="48" t="n">
        <f aca="false">COUNTIF(BE4:BE79,"M")+COUNTIF(BE4:BE79,"R")</f>
        <v>0</v>
      </c>
      <c r="BF80" s="48" t="n">
        <f aca="false">COUNTIF(BF4:BF79,"M")+COUNTIF(BF4:BF79,"R")</f>
        <v>0</v>
      </c>
      <c r="BG80" s="48" t="n">
        <f aca="false">COUNTIF(BG4:BG79,"M")+COUNTIF(BG4:BG79,"R")</f>
        <v>60</v>
      </c>
      <c r="BH80" s="48" t="n">
        <f aca="false">COUNTIF(BH4:BH79,"M")+COUNTIF(BH4:BH79,"R")</f>
        <v>60</v>
      </c>
      <c r="BI80" s="48" t="n">
        <f aca="false">COUNTIF(BI4:BI79,"M")+COUNTIF(BI4:BI79,"R")</f>
        <v>9</v>
      </c>
      <c r="BJ80" s="48" t="n">
        <f aca="false">COUNTIF(BJ4:BJ79,"M")+COUNTIF(BJ4:BJ79,"R")</f>
        <v>3</v>
      </c>
      <c r="BK80" s="48" t="n">
        <f aca="false">COUNTIF(BK4:BK79,"M")+COUNTIF(BK4:BK79,"R")</f>
        <v>0</v>
      </c>
      <c r="BL80" s="48" t="n">
        <f aca="false">COUNTIF(BL4:BL79,"M")+COUNTIF(BL4:BL79,"R")</f>
        <v>0</v>
      </c>
      <c r="BM80" s="48" t="n">
        <f aca="false">COUNTIF(BM4:BM79,"M")+COUNTIF(BM4:BM79,"R")</f>
        <v>60</v>
      </c>
      <c r="BN80" s="48" t="n">
        <f aca="false">COUNTIF(BN4:BN79,"M")+COUNTIF(BN4:BN79,"R")</f>
        <v>30</v>
      </c>
      <c r="BO80" s="48" t="n">
        <f aca="false">COUNTIF(BO4:BO79,"M")+COUNTIF(BO4:BO79,"R")</f>
        <v>12</v>
      </c>
      <c r="BP80" s="48" t="n">
        <f aca="false">COUNTIF(BP4:BP79,"M")+COUNTIF(BP4:BP79,"R")</f>
        <v>12</v>
      </c>
      <c r="BQ80" s="48" t="n">
        <f aca="false">COUNTIF(BQ4:BQ79,"M")+COUNTIF(BQ4:BQ79,"R")</f>
        <v>21</v>
      </c>
      <c r="BR80" s="48" t="n">
        <f aca="false">COUNTIF(BR4:BR79,"M")+COUNTIF(BR4:BR79,"R")</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2026-10-30T17:55:56Z</dcterms:created>
  <dc:creator>openpyxl</dc:creator>
  <dc:description/>
  <dc:language>en-US</dc:language>
  <cp:lastModifiedBy/>
  <dcterms:modified xsi:type="dcterms:W3CDTF">2026-10-30T17:55:57Z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