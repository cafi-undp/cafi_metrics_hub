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drack.kafuti\Downloads\"/>
    </mc:Choice>
  </mc:AlternateContent>
  <xr:revisionPtr revIDLastSave="0" documentId="13_ncr:1_{6E49838E-82B9-427A-BB3B-D4375D411E49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MPTF CAFI &amp; FONAREDD Projects" sheetId="1" r:id="rId1"/>
  </sheets>
  <definedNames>
    <definedName name="_xlnm._FilterDatabase" localSheetId="0" hidden="1">'MPTF CAFI &amp; FONAREDD Projects'!$C$8:$N$89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1" i="1" l="1"/>
  <c r="K91" i="1"/>
  <c r="L91" i="1"/>
  <c r="I91" i="1"/>
</calcChain>
</file>

<file path=xl/sharedStrings.xml><?xml version="1.0" encoding="utf-8"?>
<sst xmlns="http://schemas.openxmlformats.org/spreadsheetml/2006/main" count="458" uniqueCount="138">
  <si>
    <t>Project</t>
  </si>
  <si>
    <t>Project id</t>
  </si>
  <si>
    <t>Project status</t>
  </si>
  <si>
    <t>Organization</t>
  </si>
  <si>
    <t>Approved Budget (real-time)</t>
  </si>
  <si>
    <t>Transfers</t>
  </si>
  <si>
    <t>Refunds</t>
  </si>
  <si>
    <t>Expenditures</t>
  </si>
  <si>
    <t>Project Start date</t>
  </si>
  <si>
    <t>Project End date</t>
  </si>
  <si>
    <t>Finalisation et mise en oeuvre du systeme national de surveillance des Forets (SNSF)</t>
  </si>
  <si>
    <t>Financially Closed</t>
  </si>
  <si>
    <t>FAO (Food and Agriculture Organization)</t>
  </si>
  <si>
    <t>Programme d'appui a la Societe Civile</t>
  </si>
  <si>
    <t>Operationally Closed</t>
  </si>
  <si>
    <t>UNDP (United Nations Development Programme)</t>
  </si>
  <si>
    <t>Programme Integre REDD+ du Mai-Ndombe (PIREDD Mai-Ndombe)/ World Bank (TF071553)</t>
  </si>
  <si>
    <t>World Bank-IBRD (International Bank for Reconstruction and Development)</t>
  </si>
  <si>
    <t>Promouvoir la gestion durable des forets par le renforcement des droits des Peuples Autochtones et de leur participation a REDD+ / World Bank (TF071553)</t>
  </si>
  <si>
    <t>Programme Integre REDD+ du Sud</t>
  </si>
  <si>
    <t>Project Closed</t>
  </si>
  <si>
    <t>Appui a la reforme de l'amenagement du territoire</t>
  </si>
  <si>
    <t>Programme d'appui a la reforme fonciere (ONU-HABITAT)</t>
  </si>
  <si>
    <t>UN-HABITAT (United Nations Human Settlements Programme)</t>
  </si>
  <si>
    <t>Programme Integre Oriental (Ituri Tshop et Bas-Uele)</t>
  </si>
  <si>
    <t>Energie</t>
  </si>
  <si>
    <t>UNCDF (United Nations Capital Development Fund)</t>
  </si>
  <si>
    <t>Piredd Kwilu</t>
  </si>
  <si>
    <t>JICA (Japan International Cooperation Agency)</t>
  </si>
  <si>
    <t>Programme d-Appui a la Gestion</t>
  </si>
  <si>
    <t>Programme d-Appui à la Mise en Euvre du Plan Stratégique National à Vision Multisectorielle de Planning Familiale</t>
  </si>
  <si>
    <t>UNOPS (United Nations Office for Project Services)</t>
  </si>
  <si>
    <t>PI REDD Mongala</t>
  </si>
  <si>
    <t>Enabel (Belgian Development Agency)</t>
  </si>
  <si>
    <t>PIREDD Equateur</t>
  </si>
  <si>
    <t>On Going</t>
  </si>
  <si>
    <t>Secretariat Programme</t>
  </si>
  <si>
    <t>Programme d-appui à la mise en valeur durable des Savanes et des Forêts Dégradées (PSFD)</t>
  </si>
  <si>
    <t>AFD (Agence Française de Développement)</t>
  </si>
  <si>
    <t>Programme de Gestion Durable des Forets(PGDF)</t>
  </si>
  <si>
    <t>PIREDD Maniema - Programme Intégré REDD+ dans la province du Maniema République Démocratique du Congo</t>
  </si>
  <si>
    <t>Deutsche Gesellschaft für Internationale Zusammenarbeit - GIZ</t>
  </si>
  <si>
    <t>PARFII</t>
  </si>
  <si>
    <t>PIREDD/Plateau UNOPS</t>
  </si>
  <si>
    <t>Projet d'Appui à l'Agriculture Familiale Durable (PAAD)</t>
  </si>
  <si>
    <t>PIREDD Kasaï Oriental et Lomami (KORLOM)</t>
  </si>
  <si>
    <t>Programmes d'Appui ? l'Atteinte des Jalons</t>
  </si>
  <si>
    <t>Projet d'Appui aux Entit?s Nationales - Don de pr?paration</t>
  </si>
  <si>
    <t>PROJET APPUI ACCES MARCHE CARBONE</t>
  </si>
  <si>
    <t>PROMIS II</t>
  </si>
  <si>
    <t>PRSS - INFRASTRUCTURES</t>
  </si>
  <si>
    <t>Projet Normes (DISMII)</t>
  </si>
  <si>
    <t>Projet d'Appui de la soci?t? civile II</t>
  </si>
  <si>
    <t>CIFOR - Center for Internation</t>
  </si>
  <si>
    <t>Agriculture Paysanne en Savanne dans le Kongo Central</t>
  </si>
  <si>
    <t>One Acre Fund</t>
  </si>
  <si>
    <t>ENERGIE DURABLE II</t>
  </si>
  <si>
    <t>PIREDD SUD UBANGI</t>
  </si>
  <si>
    <t>Trust Fund</t>
  </si>
  <si>
    <t>FONAREDD</t>
  </si>
  <si>
    <t>CAFI: Direct Cost - Technical</t>
  </si>
  <si>
    <t>CONGO/World Bank (TF071553): CAFI Preparatory Funding</t>
  </si>
  <si>
    <t>CAR/World Bank (TF071553): CAFI Preparatory Funding</t>
  </si>
  <si>
    <t>CAMEROON/World Bank (TF071553) -AFD: CAFI Preparatory Funding</t>
  </si>
  <si>
    <t>EQ. GUINEA/FAO- Desarrollo del Plan Nacional de Inversion REDD+ (PNI-REDD+) de Guinea Ecuatorial</t>
  </si>
  <si>
    <t>Disbursement to DRC National Fund REDD+ MPTF in accordance with the LOI and instructions from the CAFI Executive Board</t>
  </si>
  <si>
    <t>CAFI: Support the DRC National REDD+ Fund - Direct Cost</t>
  </si>
  <si>
    <t>GABON AFD-National Planning</t>
  </si>
  <si>
    <t>Preparatory grant</t>
  </si>
  <si>
    <t>Expansion des aires protégées</t>
  </si>
  <si>
    <t>Assessment of deforestation and forest degradation and related direct drivers using SEPAL</t>
  </si>
  <si>
    <t>Central African Republic Preparatory Feasibility study grant</t>
  </si>
  <si>
    <t>Opérationnalisatîon du Système national de mesure de notification et de vérification (SYNA-MNV) de la République du Congo</t>
  </si>
  <si>
    <t>Projet d'Appui à la Coordination (PAC) de la mise en oeuvre de la Lettre d'intention</t>
  </si>
  <si>
    <t>Projet de renforcement du potentiel en bois energie durable en République du Congo - PROREP Bois-Energie</t>
  </si>
  <si>
    <t>IUCN - CPIC Conservation Finance Initiative - scaling up and demonstrating the value of blended finance in conservation (Nature+ Accelerator Fund)</t>
  </si>
  <si>
    <t>Farm Africa</t>
  </si>
  <si>
    <t>TNC CAFI GABON: Réduire les émissions grâce à une meilleure gestion forestière</t>
  </si>
  <si>
    <t>Renforcement des institutions de coordination et de mise en œuvre des programmes et politiques climatiques/ Coordination_CAFI 3</t>
  </si>
  <si>
    <t>Safeguarding and Expanding Gabon-s Protected Area Network / Protected Areas_CAFI 3</t>
  </si>
  <si>
    <t>Providing Education and Access Opportunities of Urban Populations to Forested Gardens and City Parks / CAFI 3</t>
  </si>
  <si>
    <t>Projet d-appui pour la mise en oeuvre de la Contribution Déterminée (CDN) en République Démocratique du Congo/ NDC_DRC</t>
  </si>
  <si>
    <t>Reducing Emissions Through Improved Forestry Management: Implementation of a National Scale Certification and Community Forestry Program in Gabon/ Forestry_CAFI 3_TNC</t>
  </si>
  <si>
    <t>Gabon Forest Ecosystem Research and Monitoring Program / CAFI 3_TNC</t>
  </si>
  <si>
    <t>Scaling-up Commercial investme</t>
  </si>
  <si>
    <t>PUDT de la République du Congo</t>
  </si>
  <si>
    <t>Programme d'Investissements du Programme d-utilisation durable des terres (en sigle Kopekoba)</t>
  </si>
  <si>
    <t>Preparatory Grant UNDP-MINEPAT Coordination support</t>
  </si>
  <si>
    <t>Lituka – Projet de lutte contre la déforestation par la diffusion de foyers améliorés à Brazzaville et Pointe-Noire</t>
  </si>
  <si>
    <t>Regional Technical Assistance Facility</t>
  </si>
  <si>
    <t>IFAD-FODECC Preparatory Grant</t>
  </si>
  <si>
    <t>Feasibility Grant CAR</t>
  </si>
  <si>
    <t>Scaling-up Commercial investment in Deforestation-Free Central African Commodity Supply Chains</t>
  </si>
  <si>
    <t>Agriculture sans déforestation de petites exploitations au Kongo Central</t>
  </si>
  <si>
    <t>Cocoa and Coffee Development Fund Pilot Project in Cameroon</t>
  </si>
  <si>
    <t>Building a South-South cooperation initiative on payments for environmental services</t>
  </si>
  <si>
    <t>Preparatory Grant - Shaping deforestation-free agricultural value chains in the Congo Basin region</t>
  </si>
  <si>
    <t>reVive Central Africa</t>
  </si>
  <si>
    <t>Coexistence pacifique entre l'homme et l'?l?phant au Gabon</t>
  </si>
  <si>
    <t>HIFOR Preparatory Grant</t>
  </si>
  <si>
    <t>Prep Grant PIREDD Bangui</t>
  </si>
  <si>
    <t>PRO-CONGO: Catalytic Private Sector Investment in Congo Basin Natural Capital</t>
  </si>
  <si>
    <t>Sustainable intensification of smallholder palm oil production in southwest Cameroon (PAMOL)</t>
  </si>
  <si>
    <t>Projet d?Appui ? la Coordination Intersectorielle et Multi-Niveaux dans le Cadre du Partenariat entre CAFI et le Cameroun</t>
  </si>
  <si>
    <t>Projet de gestion int?gr?e du paysage Grand Mbam ? PGIP-GM</t>
  </si>
  <si>
    <t>Projet de Renforcement des capacit?s en mati?re d?am?nagement du territoire</t>
  </si>
  <si>
    <t>Canopy Trust Project</t>
  </si>
  <si>
    <t>CAFI</t>
  </si>
  <si>
    <t>DRC National Fund REDD+</t>
  </si>
  <si>
    <t>IUCN (International Union for Conservation of Nature)</t>
  </si>
  <si>
    <t>The Nature Conservancy</t>
  </si>
  <si>
    <t>Initiative Developpement</t>
  </si>
  <si>
    <t>IFAD (International Fund for Agricultural Development)</t>
  </si>
  <si>
    <t>andgreen.fund</t>
  </si>
  <si>
    <t>CFC - Common Fund for Commodities</t>
  </si>
  <si>
    <t>IDH - Stichting IDH</t>
  </si>
  <si>
    <t>Wildlife Conservation Society</t>
  </si>
  <si>
    <t>KFW - KfW Bankengruppe</t>
  </si>
  <si>
    <t>Catalytic - Catalytic Finance</t>
  </si>
  <si>
    <t>UNESCO and UNDP</t>
  </si>
  <si>
    <t>UNCDF and UNEP</t>
  </si>
  <si>
    <t>UNCDF and UNDP</t>
  </si>
  <si>
    <t>UNFPA and UNOPS</t>
  </si>
  <si>
    <t>Country</t>
  </si>
  <si>
    <t>Global and Interregional</t>
  </si>
  <si>
    <t>Congo (the)</t>
  </si>
  <si>
    <t>Central African Republic (the)</t>
  </si>
  <si>
    <t>Cameroon</t>
  </si>
  <si>
    <t>Equatorial Guinea</t>
  </si>
  <si>
    <t>Congo (the Democratic Republic of the)</t>
  </si>
  <si>
    <t>Gabon</t>
  </si>
  <si>
    <t>Type</t>
  </si>
  <si>
    <t>Research and monitoring</t>
  </si>
  <si>
    <t>Direct drivers</t>
  </si>
  <si>
    <t>Private Sector</t>
  </si>
  <si>
    <t>Reform</t>
  </si>
  <si>
    <t>Governance</t>
  </si>
  <si>
    <t>Preparatory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</si>
</sst>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8:N91"/>
  <sheetViews>
    <sheetView showGridLines="0" tabSelected="1" zoomScale="70" zoomScaleNormal="70" workbookViewId="0">
      <selection activeCell="A25" sqref="A25"/>
    </sheetView>
  </sheetViews>
  <sheetFormatPr defaultColWidth="8.75" defaultRowHeight="15.75" x14ac:dyDescent="0.25"/>
  <cols>
    <col min="1" max="1" width="8.75" style="2"/>
    <col min="2" max="2" width="10" style="2" bestFit="1" customWidth="1"/>
    <col min="3" max="3" width="102.75" style="2" customWidth="1"/>
    <col min="4" max="5" width="16.25" style="2" customWidth="1"/>
    <col min="6" max="6" width="18.25" style="2" bestFit="1" customWidth="1"/>
    <col min="7" max="7" width="18.25" style="2" customWidth="1"/>
    <col min="8" max="8" width="63.625" style="2" bestFit="1" customWidth="1"/>
    <col min="9" max="9" width="24.5" style="2" bestFit="1" customWidth="1"/>
    <col min="10" max="10" width="17.75" style="2" customWidth="1"/>
    <col min="11" max="11" width="14.5" style="2" bestFit="1" customWidth="1"/>
    <col min="12" max="12" width="15.625" style="2" bestFit="1" customWidth="1"/>
    <col min="13" max="13" width="15.125" style="2" bestFit="1" customWidth="1"/>
    <col min="14" max="14" width="14.25" style="2" bestFit="1" customWidth="1"/>
    <col min="15" max="16384" width="8.75" style="2"/>
  </cols>
  <sheetData>
    <row r="8" spans="1:14" s="19" customFormat="1" x14ac:dyDescent="0.25">
      <c r="A8" s="2"/>
      <c r="B8" s="18" t="s">
        <v>58</v>
      </c>
      <c r="C8" s="18" t="s">
        <v>0</v>
      </c>
      <c r="D8" s="18" t="s">
        <v>1</v>
      </c>
      <c r="E8" s="18" t="s">
        <v>131</v>
      </c>
      <c r="F8" s="18" t="s">
        <v>2</v>
      </c>
      <c r="G8" s="18" t="s">
        <v>123</v>
      </c>
      <c r="H8" s="18" t="s">
        <v>3</v>
      </c>
      <c r="I8" s="18" t="s">
        <v>4</v>
      </c>
      <c r="J8" s="18" t="s">
        <v>5</v>
      </c>
      <c r="K8" s="18" t="s">
        <v>6</v>
      </c>
      <c r="L8" s="18" t="s">
        <v>7</v>
      </c>
      <c r="M8" s="18" t="s">
        <v>8</v>
      </c>
      <c r="N8" s="18" t="s">
        <v>9</v>
      </c>
    </row>
    <row r="9" spans="1:14" hidden="1" x14ac:dyDescent="0.25">
      <c r="B9" s="1" t="s">
        <v>107</v>
      </c>
      <c r="C9" s="3" t="s">
        <v>60</v>
      </c>
      <c r="D9" s="3">
        <v>97460</v>
      </c>
      <c r="E9" s="3"/>
      <c r="F9" s="3" t="s">
        <v>14</v>
      </c>
      <c r="G9" s="3" t="s">
        <v>124</v>
      </c>
      <c r="H9" s="3" t="s">
        <v>15</v>
      </c>
      <c r="I9" s="4">
        <v>10634390.5</v>
      </c>
      <c r="J9" s="4">
        <v>10634390.5</v>
      </c>
      <c r="K9" s="4">
        <v>-1883095.08</v>
      </c>
      <c r="L9" s="4">
        <v>8751295.4100000001</v>
      </c>
      <c r="M9" s="5">
        <v>42352</v>
      </c>
      <c r="N9" s="5">
        <v>44561</v>
      </c>
    </row>
    <row r="10" spans="1:14" hidden="1" x14ac:dyDescent="0.25">
      <c r="B10" s="1" t="s">
        <v>107</v>
      </c>
      <c r="C10" s="3" t="s">
        <v>61</v>
      </c>
      <c r="D10" s="3">
        <v>102120</v>
      </c>
      <c r="E10" s="3"/>
      <c r="F10" s="3" t="s">
        <v>14</v>
      </c>
      <c r="G10" s="3" t="s">
        <v>125</v>
      </c>
      <c r="H10" s="3" t="s">
        <v>17</v>
      </c>
      <c r="I10" s="4">
        <v>698000</v>
      </c>
      <c r="J10" s="4">
        <v>698000</v>
      </c>
      <c r="K10" s="4">
        <v>0</v>
      </c>
      <c r="L10" s="4">
        <v>698000</v>
      </c>
      <c r="M10" s="5">
        <v>42635</v>
      </c>
      <c r="N10" s="5">
        <v>43830</v>
      </c>
    </row>
    <row r="11" spans="1:14" hidden="1" x14ac:dyDescent="0.25">
      <c r="B11" s="1" t="s">
        <v>107</v>
      </c>
      <c r="C11" s="3" t="s">
        <v>62</v>
      </c>
      <c r="D11" s="3">
        <v>102121</v>
      </c>
      <c r="E11" s="3"/>
      <c r="F11" s="3" t="s">
        <v>14</v>
      </c>
      <c r="G11" s="3" t="s">
        <v>126</v>
      </c>
      <c r="H11" s="3" t="s">
        <v>17</v>
      </c>
      <c r="I11" s="4">
        <v>1000000</v>
      </c>
      <c r="J11" s="4">
        <v>1000000</v>
      </c>
      <c r="K11" s="4">
        <v>0</v>
      </c>
      <c r="L11" s="4">
        <v>1000000</v>
      </c>
      <c r="M11" s="5">
        <v>42635</v>
      </c>
      <c r="N11" s="5">
        <v>44012</v>
      </c>
    </row>
    <row r="12" spans="1:14" hidden="1" x14ac:dyDescent="0.25">
      <c r="B12" s="1" t="s">
        <v>107</v>
      </c>
      <c r="C12" s="3" t="s">
        <v>63</v>
      </c>
      <c r="D12" s="3">
        <v>102312</v>
      </c>
      <c r="E12" s="3"/>
      <c r="F12" s="3" t="s">
        <v>14</v>
      </c>
      <c r="G12" s="3" t="s">
        <v>127</v>
      </c>
      <c r="H12" s="3" t="s">
        <v>17</v>
      </c>
      <c r="I12" s="4">
        <v>542000</v>
      </c>
      <c r="J12" s="4">
        <v>542000</v>
      </c>
      <c r="K12" s="4">
        <v>0</v>
      </c>
      <c r="L12" s="4">
        <v>542000</v>
      </c>
      <c r="M12" s="5">
        <v>42641</v>
      </c>
      <c r="N12" s="5">
        <v>43830</v>
      </c>
    </row>
    <row r="13" spans="1:14" hidden="1" x14ac:dyDescent="0.25">
      <c r="B13" s="1" t="s">
        <v>107</v>
      </c>
      <c r="C13" s="3" t="s">
        <v>63</v>
      </c>
      <c r="D13" s="3">
        <v>102312</v>
      </c>
      <c r="E13" s="3"/>
      <c r="F13" s="3" t="s">
        <v>14</v>
      </c>
      <c r="G13" s="3" t="s">
        <v>127</v>
      </c>
      <c r="H13" s="3" t="s">
        <v>38</v>
      </c>
      <c r="I13" s="4">
        <v>474010</v>
      </c>
      <c r="J13" s="4">
        <v>474010</v>
      </c>
      <c r="K13" s="4">
        <v>-474010</v>
      </c>
      <c r="L13" s="4">
        <v>0</v>
      </c>
      <c r="M13" s="5">
        <v>42641</v>
      </c>
      <c r="N13" s="5">
        <v>43830</v>
      </c>
    </row>
    <row r="14" spans="1:14" hidden="1" x14ac:dyDescent="0.25">
      <c r="B14" s="1" t="s">
        <v>107</v>
      </c>
      <c r="C14" s="3" t="s">
        <v>64</v>
      </c>
      <c r="D14" s="3">
        <v>103594</v>
      </c>
      <c r="E14" s="3"/>
      <c r="F14" s="3" t="s">
        <v>11</v>
      </c>
      <c r="G14" s="3" t="s">
        <v>128</v>
      </c>
      <c r="H14" s="3" t="s">
        <v>12</v>
      </c>
      <c r="I14" s="4">
        <v>1087500</v>
      </c>
      <c r="J14" s="4">
        <v>1087500</v>
      </c>
      <c r="K14" s="4">
        <v>-174.31</v>
      </c>
      <c r="L14" s="4">
        <v>1087325.69</v>
      </c>
      <c r="M14" s="5">
        <v>42711</v>
      </c>
      <c r="N14" s="5">
        <v>43921</v>
      </c>
    </row>
    <row r="15" spans="1:14" hidden="1" x14ac:dyDescent="0.25">
      <c r="B15" s="1" t="s">
        <v>107</v>
      </c>
      <c r="C15" s="3" t="s">
        <v>65</v>
      </c>
      <c r="D15" s="3">
        <v>103702</v>
      </c>
      <c r="E15" s="3"/>
      <c r="F15" s="3" t="s">
        <v>20</v>
      </c>
      <c r="G15" s="3" t="s">
        <v>129</v>
      </c>
      <c r="H15" s="3" t="s">
        <v>108</v>
      </c>
      <c r="I15" s="4">
        <v>333974769</v>
      </c>
      <c r="J15" s="4">
        <v>391880828.99000001</v>
      </c>
      <c r="K15" s="4">
        <v>0</v>
      </c>
      <c r="L15" s="4">
        <v>231785465.77000001</v>
      </c>
      <c r="M15" s="5">
        <v>42720</v>
      </c>
      <c r="N15" s="5">
        <v>46112</v>
      </c>
    </row>
    <row r="16" spans="1:14" hidden="1" x14ac:dyDescent="0.25">
      <c r="B16" s="1" t="s">
        <v>107</v>
      </c>
      <c r="C16" s="3" t="s">
        <v>66</v>
      </c>
      <c r="D16" s="3">
        <v>105662</v>
      </c>
      <c r="E16" s="3"/>
      <c r="F16" s="3" t="s">
        <v>11</v>
      </c>
      <c r="G16" s="3" t="s">
        <v>129</v>
      </c>
      <c r="H16" s="3" t="s">
        <v>15</v>
      </c>
      <c r="I16" s="4">
        <v>289970</v>
      </c>
      <c r="J16" s="4">
        <v>289970</v>
      </c>
      <c r="K16" s="4">
        <v>-11571.88</v>
      </c>
      <c r="L16" s="4">
        <v>278398.12</v>
      </c>
      <c r="M16" s="5">
        <v>42873</v>
      </c>
      <c r="N16" s="5">
        <v>43100</v>
      </c>
    </row>
    <row r="17" spans="2:14" hidden="1" x14ac:dyDescent="0.25">
      <c r="B17" s="1" t="s">
        <v>107</v>
      </c>
      <c r="C17" s="3" t="s">
        <v>67</v>
      </c>
      <c r="D17" s="3">
        <v>111269</v>
      </c>
      <c r="E17" s="3"/>
      <c r="F17" s="3" t="s">
        <v>20</v>
      </c>
      <c r="G17" s="3" t="s">
        <v>130</v>
      </c>
      <c r="H17" s="3" t="s">
        <v>38</v>
      </c>
      <c r="I17" s="4">
        <v>18428689</v>
      </c>
      <c r="J17" s="4">
        <v>18428689</v>
      </c>
      <c r="K17" s="4">
        <v>0</v>
      </c>
      <c r="L17" s="4">
        <v>13848766.98</v>
      </c>
      <c r="M17" s="5">
        <v>43363</v>
      </c>
      <c r="N17" s="5">
        <v>45928</v>
      </c>
    </row>
    <row r="18" spans="2:14" hidden="1" x14ac:dyDescent="0.25">
      <c r="B18" s="1" t="s">
        <v>107</v>
      </c>
      <c r="C18" s="3" t="s">
        <v>68</v>
      </c>
      <c r="D18" s="3">
        <v>116876</v>
      </c>
      <c r="E18" s="3"/>
      <c r="F18" s="3" t="s">
        <v>11</v>
      </c>
      <c r="G18" s="3" t="s">
        <v>125</v>
      </c>
      <c r="H18" s="3" t="s">
        <v>12</v>
      </c>
      <c r="I18" s="4">
        <v>314173</v>
      </c>
      <c r="J18" s="4">
        <v>314173</v>
      </c>
      <c r="K18" s="4">
        <v>-4022.79</v>
      </c>
      <c r="L18" s="4">
        <v>310150.21000000002</v>
      </c>
      <c r="M18" s="5">
        <v>43663</v>
      </c>
      <c r="N18" s="5">
        <v>43951</v>
      </c>
    </row>
    <row r="19" spans="2:14" hidden="1" x14ac:dyDescent="0.25">
      <c r="B19" s="1" t="s">
        <v>107</v>
      </c>
      <c r="C19" s="3" t="s">
        <v>69</v>
      </c>
      <c r="D19" s="3">
        <v>122613</v>
      </c>
      <c r="E19" s="3"/>
      <c r="F19" s="3" t="s">
        <v>20</v>
      </c>
      <c r="G19" s="3" t="s">
        <v>130</v>
      </c>
      <c r="H19" s="3" t="s">
        <v>15</v>
      </c>
      <c r="I19" s="4">
        <v>5000000</v>
      </c>
      <c r="J19" s="4">
        <v>5000000</v>
      </c>
      <c r="K19" s="4">
        <v>0</v>
      </c>
      <c r="L19" s="4">
        <v>3124614.08</v>
      </c>
      <c r="M19" s="5">
        <v>44014</v>
      </c>
      <c r="N19" s="5">
        <v>45839</v>
      </c>
    </row>
    <row r="20" spans="2:14" hidden="1" x14ac:dyDescent="0.25">
      <c r="B20" s="1" t="s">
        <v>107</v>
      </c>
      <c r="C20" s="3" t="s">
        <v>70</v>
      </c>
      <c r="D20" s="3">
        <v>123542</v>
      </c>
      <c r="E20" s="3"/>
      <c r="F20" s="3" t="s">
        <v>14</v>
      </c>
      <c r="G20" s="3" t="s">
        <v>124</v>
      </c>
      <c r="H20" s="3" t="s">
        <v>12</v>
      </c>
      <c r="I20" s="4">
        <v>2442000</v>
      </c>
      <c r="J20" s="4">
        <v>2442000</v>
      </c>
      <c r="K20" s="4">
        <v>0</v>
      </c>
      <c r="L20" s="4">
        <v>2401172.4</v>
      </c>
      <c r="M20" s="5">
        <v>44068</v>
      </c>
      <c r="N20" s="5">
        <v>45746</v>
      </c>
    </row>
    <row r="21" spans="2:14" hidden="1" x14ac:dyDescent="0.25">
      <c r="B21" s="1" t="s">
        <v>107</v>
      </c>
      <c r="C21" s="3" t="s">
        <v>71</v>
      </c>
      <c r="D21" s="3">
        <v>127867</v>
      </c>
      <c r="E21" s="3"/>
      <c r="F21" s="3" t="s">
        <v>11</v>
      </c>
      <c r="G21" s="3" t="s">
        <v>126</v>
      </c>
      <c r="H21" s="3" t="s">
        <v>38</v>
      </c>
      <c r="I21" s="4">
        <v>700000</v>
      </c>
      <c r="J21" s="4">
        <v>700000</v>
      </c>
      <c r="K21" s="4">
        <v>-994.61</v>
      </c>
      <c r="L21" s="4">
        <v>699005.39</v>
      </c>
      <c r="M21" s="5">
        <v>44390</v>
      </c>
      <c r="N21" s="5">
        <v>44754</v>
      </c>
    </row>
    <row r="22" spans="2:14" x14ac:dyDescent="0.25">
      <c r="B22" s="1" t="s">
        <v>107</v>
      </c>
      <c r="C22" s="3" t="s">
        <v>72</v>
      </c>
      <c r="D22" s="3">
        <v>129333</v>
      </c>
      <c r="E22" s="10" t="s">
        <v>132</v>
      </c>
      <c r="F22" s="3" t="s">
        <v>35</v>
      </c>
      <c r="G22" s="3" t="s">
        <v>125</v>
      </c>
      <c r="H22" s="3" t="s">
        <v>12</v>
      </c>
      <c r="I22" s="4">
        <v>2000000</v>
      </c>
      <c r="J22" s="4">
        <v>2000000</v>
      </c>
      <c r="K22" s="4">
        <v>0</v>
      </c>
      <c r="L22" s="4">
        <v>1356453.88</v>
      </c>
      <c r="M22" s="5">
        <v>44517</v>
      </c>
      <c r="N22" s="5">
        <v>46203</v>
      </c>
    </row>
    <row r="23" spans="2:14" hidden="1" x14ac:dyDescent="0.25">
      <c r="B23" s="1" t="s">
        <v>107</v>
      </c>
      <c r="C23" s="3" t="s">
        <v>73</v>
      </c>
      <c r="D23" s="3">
        <v>129481</v>
      </c>
      <c r="E23" s="11"/>
      <c r="F23" s="3" t="s">
        <v>20</v>
      </c>
      <c r="G23" s="3" t="s">
        <v>125</v>
      </c>
      <c r="H23" s="3" t="s">
        <v>15</v>
      </c>
      <c r="I23" s="4">
        <v>1455890.3</v>
      </c>
      <c r="J23" s="4">
        <v>1455890.3</v>
      </c>
      <c r="K23" s="4">
        <v>0</v>
      </c>
      <c r="L23" s="4">
        <v>1215525.3400000001</v>
      </c>
      <c r="M23" s="5">
        <v>44544</v>
      </c>
      <c r="N23" s="5">
        <v>45747</v>
      </c>
    </row>
    <row r="24" spans="2:14" x14ac:dyDescent="0.25">
      <c r="B24" s="1" t="s">
        <v>107</v>
      </c>
      <c r="C24" s="3" t="s">
        <v>74</v>
      </c>
      <c r="D24" s="3">
        <v>130492</v>
      </c>
      <c r="E24" s="10" t="s">
        <v>133</v>
      </c>
      <c r="F24" s="3" t="s">
        <v>35</v>
      </c>
      <c r="G24" s="3" t="s">
        <v>125</v>
      </c>
      <c r="H24" s="3" t="s">
        <v>12</v>
      </c>
      <c r="I24" s="4">
        <v>7000000</v>
      </c>
      <c r="J24" s="4">
        <v>4510000</v>
      </c>
      <c r="K24" s="4">
        <v>0</v>
      </c>
      <c r="L24" s="4">
        <v>5421145.1299999999</v>
      </c>
      <c r="M24" s="5">
        <v>44610</v>
      </c>
      <c r="N24" s="5">
        <v>46387</v>
      </c>
    </row>
    <row r="25" spans="2:14" x14ac:dyDescent="0.25">
      <c r="B25" s="1" t="s">
        <v>107</v>
      </c>
      <c r="C25" s="3" t="s">
        <v>75</v>
      </c>
      <c r="D25" s="3">
        <v>131425</v>
      </c>
      <c r="E25" s="10" t="s">
        <v>134</v>
      </c>
      <c r="F25" s="3" t="s">
        <v>35</v>
      </c>
      <c r="G25" s="3" t="s">
        <v>124</v>
      </c>
      <c r="H25" s="3" t="s">
        <v>109</v>
      </c>
      <c r="I25" s="4">
        <v>7500000</v>
      </c>
      <c r="J25" s="4">
        <v>3750000</v>
      </c>
      <c r="K25" s="4">
        <v>0</v>
      </c>
      <c r="L25" s="4">
        <v>2817875.82</v>
      </c>
      <c r="M25" s="5">
        <v>44679</v>
      </c>
      <c r="N25" s="5">
        <v>46399</v>
      </c>
    </row>
    <row r="26" spans="2:14" hidden="1" x14ac:dyDescent="0.25">
      <c r="B26" s="1" t="s">
        <v>107</v>
      </c>
      <c r="C26" s="3" t="s">
        <v>55</v>
      </c>
      <c r="D26" s="3">
        <v>131426</v>
      </c>
      <c r="E26" s="12"/>
      <c r="F26" s="3" t="s">
        <v>11</v>
      </c>
      <c r="G26" s="3" t="s">
        <v>124</v>
      </c>
      <c r="H26" s="3" t="s">
        <v>55</v>
      </c>
      <c r="I26" s="4">
        <v>1491461</v>
      </c>
      <c r="J26" s="4">
        <v>1491461</v>
      </c>
      <c r="K26" s="4">
        <v>0</v>
      </c>
      <c r="L26" s="4">
        <v>1491461</v>
      </c>
      <c r="M26" s="5">
        <v>44662</v>
      </c>
      <c r="N26" s="5">
        <v>45565</v>
      </c>
    </row>
    <row r="27" spans="2:14" hidden="1" x14ac:dyDescent="0.25">
      <c r="B27" s="1" t="s">
        <v>107</v>
      </c>
      <c r="C27" s="3" t="s">
        <v>76</v>
      </c>
      <c r="D27" s="3">
        <v>131427</v>
      </c>
      <c r="E27" s="13"/>
      <c r="F27" s="3" t="s">
        <v>11</v>
      </c>
      <c r="G27" s="3" t="s">
        <v>124</v>
      </c>
      <c r="H27" s="3" t="s">
        <v>76</v>
      </c>
      <c r="I27" s="4">
        <v>431001</v>
      </c>
      <c r="J27" s="4">
        <v>431001</v>
      </c>
      <c r="K27" s="4">
        <v>-1794.29</v>
      </c>
      <c r="L27" s="4">
        <v>429206.71</v>
      </c>
      <c r="M27" s="5">
        <v>44662</v>
      </c>
      <c r="N27" s="5">
        <v>44985</v>
      </c>
    </row>
    <row r="28" spans="2:14" x14ac:dyDescent="0.25">
      <c r="B28" s="1" t="s">
        <v>107</v>
      </c>
      <c r="C28" s="3" t="s">
        <v>77</v>
      </c>
      <c r="D28" s="3">
        <v>132798</v>
      </c>
      <c r="E28" s="10" t="s">
        <v>135</v>
      </c>
      <c r="F28" s="3" t="s">
        <v>35</v>
      </c>
      <c r="G28" s="3" t="s">
        <v>130</v>
      </c>
      <c r="H28" s="3" t="s">
        <v>110</v>
      </c>
      <c r="I28" s="4">
        <v>6999833</v>
      </c>
      <c r="J28" s="4">
        <v>4473391</v>
      </c>
      <c r="K28" s="4">
        <v>0</v>
      </c>
      <c r="L28" s="4">
        <v>770665.02</v>
      </c>
      <c r="M28" s="5">
        <v>44782</v>
      </c>
      <c r="N28" s="5">
        <v>46237</v>
      </c>
    </row>
    <row r="29" spans="2:14" x14ac:dyDescent="0.25">
      <c r="B29" s="1" t="s">
        <v>107</v>
      </c>
      <c r="C29" s="3" t="s">
        <v>78</v>
      </c>
      <c r="D29" s="3">
        <v>133375</v>
      </c>
      <c r="E29" s="10" t="s">
        <v>136</v>
      </c>
      <c r="F29" s="3" t="s">
        <v>35</v>
      </c>
      <c r="G29" s="3" t="s">
        <v>130</v>
      </c>
      <c r="H29" s="3" t="s">
        <v>15</v>
      </c>
      <c r="I29" s="4">
        <v>1489468</v>
      </c>
      <c r="J29" s="4">
        <v>1489468</v>
      </c>
      <c r="K29" s="4">
        <v>0</v>
      </c>
      <c r="L29" s="4">
        <v>508298.71</v>
      </c>
      <c r="M29" s="5">
        <v>44845</v>
      </c>
      <c r="N29" s="5">
        <v>46649</v>
      </c>
    </row>
    <row r="30" spans="2:14" hidden="1" x14ac:dyDescent="0.25">
      <c r="B30" s="1" t="s">
        <v>107</v>
      </c>
      <c r="C30" s="3" t="s">
        <v>79</v>
      </c>
      <c r="D30" s="3">
        <v>133386</v>
      </c>
      <c r="E30" s="11"/>
      <c r="F30" s="3" t="s">
        <v>20</v>
      </c>
      <c r="G30" s="3" t="s">
        <v>130</v>
      </c>
      <c r="H30" s="3" t="s">
        <v>15</v>
      </c>
      <c r="I30" s="4">
        <v>9025878</v>
      </c>
      <c r="J30" s="4">
        <v>9025878</v>
      </c>
      <c r="K30" s="4">
        <v>0</v>
      </c>
      <c r="L30" s="4">
        <v>2608119.34</v>
      </c>
      <c r="M30" s="5">
        <v>44845</v>
      </c>
      <c r="N30" s="5">
        <v>45839</v>
      </c>
    </row>
    <row r="31" spans="2:14" x14ac:dyDescent="0.25">
      <c r="B31" s="1" t="s">
        <v>107</v>
      </c>
      <c r="C31" s="3" t="s">
        <v>80</v>
      </c>
      <c r="D31" s="3">
        <v>133387</v>
      </c>
      <c r="E31" s="10" t="s">
        <v>133</v>
      </c>
      <c r="F31" s="3" t="s">
        <v>35</v>
      </c>
      <c r="G31" s="3" t="s">
        <v>130</v>
      </c>
      <c r="H31" s="3" t="s">
        <v>119</v>
      </c>
      <c r="I31" s="4">
        <v>1974047</v>
      </c>
      <c r="J31" s="4">
        <v>1974046.83</v>
      </c>
      <c r="K31" s="4">
        <v>0</v>
      </c>
      <c r="L31" s="4">
        <v>834401.32000000007</v>
      </c>
      <c r="M31" s="5">
        <v>44845</v>
      </c>
      <c r="N31" s="5">
        <v>46649</v>
      </c>
    </row>
    <row r="32" spans="2:14" hidden="1" x14ac:dyDescent="0.25">
      <c r="B32" s="1" t="s">
        <v>107</v>
      </c>
      <c r="C32" s="3" t="s">
        <v>81</v>
      </c>
      <c r="D32" s="3">
        <v>133419</v>
      </c>
      <c r="E32" s="11"/>
      <c r="F32" s="3" t="s">
        <v>14</v>
      </c>
      <c r="G32" s="3" t="s">
        <v>129</v>
      </c>
      <c r="H32" s="3" t="s">
        <v>15</v>
      </c>
      <c r="I32" s="4">
        <v>500000</v>
      </c>
      <c r="J32" s="4">
        <v>500000</v>
      </c>
      <c r="K32" s="4">
        <v>-307464.2</v>
      </c>
      <c r="L32" s="4">
        <v>192497.1</v>
      </c>
      <c r="M32" s="5">
        <v>44830</v>
      </c>
      <c r="N32" s="5">
        <v>45010</v>
      </c>
    </row>
    <row r="33" spans="2:14" x14ac:dyDescent="0.25">
      <c r="B33" s="1" t="s">
        <v>107</v>
      </c>
      <c r="C33" s="3" t="s">
        <v>82</v>
      </c>
      <c r="D33" s="3">
        <v>133560</v>
      </c>
      <c r="E33" s="10" t="s">
        <v>135</v>
      </c>
      <c r="F33" s="3" t="s">
        <v>35</v>
      </c>
      <c r="G33" s="3" t="s">
        <v>130</v>
      </c>
      <c r="H33" s="3" t="s">
        <v>110</v>
      </c>
      <c r="I33" s="4">
        <v>2935096.31</v>
      </c>
      <c r="J33" s="4">
        <v>2935096.31</v>
      </c>
      <c r="K33" s="4">
        <v>0</v>
      </c>
      <c r="L33" s="4">
        <v>1299162.54</v>
      </c>
      <c r="M33" s="5">
        <v>44847</v>
      </c>
      <c r="N33" s="5">
        <v>46448</v>
      </c>
    </row>
    <row r="34" spans="2:14" x14ac:dyDescent="0.25">
      <c r="B34" s="1" t="s">
        <v>107</v>
      </c>
      <c r="C34" s="3" t="s">
        <v>83</v>
      </c>
      <c r="D34" s="3">
        <v>133561</v>
      </c>
      <c r="E34" s="10" t="s">
        <v>132</v>
      </c>
      <c r="F34" s="3" t="s">
        <v>35</v>
      </c>
      <c r="G34" s="3" t="s">
        <v>130</v>
      </c>
      <c r="H34" s="3" t="s">
        <v>110</v>
      </c>
      <c r="I34" s="4">
        <v>2492310</v>
      </c>
      <c r="J34" s="4">
        <v>2492310</v>
      </c>
      <c r="K34" s="4">
        <v>0</v>
      </c>
      <c r="L34" s="4">
        <v>1093892.6499999999</v>
      </c>
      <c r="M34" s="5">
        <v>44847</v>
      </c>
      <c r="N34" s="5">
        <v>46448</v>
      </c>
    </row>
    <row r="35" spans="2:14" hidden="1" x14ac:dyDescent="0.25">
      <c r="B35" s="1" t="s">
        <v>107</v>
      </c>
      <c r="C35" s="3" t="s">
        <v>84</v>
      </c>
      <c r="D35" s="3">
        <v>133946</v>
      </c>
      <c r="E35" s="11"/>
      <c r="F35" s="3" t="s">
        <v>14</v>
      </c>
      <c r="G35" s="3" t="s">
        <v>124</v>
      </c>
      <c r="H35" s="3" t="s">
        <v>26</v>
      </c>
      <c r="I35" s="4">
        <v>53000000</v>
      </c>
      <c r="J35" s="4">
        <v>53000000</v>
      </c>
      <c r="K35" s="4">
        <v>-51254592.640000001</v>
      </c>
      <c r="L35" s="4">
        <v>1745407.36</v>
      </c>
      <c r="M35" s="5">
        <v>44887</v>
      </c>
      <c r="N35" s="5">
        <v>45747</v>
      </c>
    </row>
    <row r="36" spans="2:14" x14ac:dyDescent="0.25">
      <c r="B36" s="1" t="s">
        <v>107</v>
      </c>
      <c r="C36" s="3" t="s">
        <v>85</v>
      </c>
      <c r="D36" s="3">
        <v>134411</v>
      </c>
      <c r="E36" s="10" t="s">
        <v>133</v>
      </c>
      <c r="F36" s="3" t="s">
        <v>35</v>
      </c>
      <c r="G36" s="3" t="s">
        <v>125</v>
      </c>
      <c r="H36" s="3" t="s">
        <v>38</v>
      </c>
      <c r="I36" s="4">
        <v>18472150</v>
      </c>
      <c r="J36" s="4">
        <v>10852865</v>
      </c>
      <c r="K36" s="4">
        <v>0</v>
      </c>
      <c r="L36" s="4">
        <v>5027635.01</v>
      </c>
      <c r="M36" s="5">
        <v>44917</v>
      </c>
      <c r="N36" s="5">
        <v>46704</v>
      </c>
    </row>
    <row r="37" spans="2:14" x14ac:dyDescent="0.25">
      <c r="B37" s="1" t="s">
        <v>107</v>
      </c>
      <c r="C37" s="3" t="s">
        <v>86</v>
      </c>
      <c r="D37" s="3">
        <v>140280</v>
      </c>
      <c r="E37" s="10" t="s">
        <v>133</v>
      </c>
      <c r="F37" s="3" t="s">
        <v>35</v>
      </c>
      <c r="G37" s="3" t="s">
        <v>125</v>
      </c>
      <c r="H37" s="3" t="s">
        <v>38</v>
      </c>
      <c r="I37" s="4">
        <v>16527850</v>
      </c>
      <c r="J37" s="4">
        <v>2000000</v>
      </c>
      <c r="K37" s="4">
        <v>0</v>
      </c>
      <c r="L37" s="4">
        <v>327999.96000000002</v>
      </c>
      <c r="M37" s="5">
        <v>45176</v>
      </c>
      <c r="N37" s="5">
        <v>46996</v>
      </c>
    </row>
    <row r="38" spans="2:14" x14ac:dyDescent="0.25">
      <c r="B38" s="1" t="s">
        <v>107</v>
      </c>
      <c r="C38" s="3" t="s">
        <v>87</v>
      </c>
      <c r="D38" s="3">
        <v>140410</v>
      </c>
      <c r="E38" s="10" t="s">
        <v>137</v>
      </c>
      <c r="F38" s="3" t="s">
        <v>35</v>
      </c>
      <c r="G38" s="3" t="s">
        <v>127</v>
      </c>
      <c r="H38" s="3" t="s">
        <v>15</v>
      </c>
      <c r="I38" s="4">
        <v>4010290</v>
      </c>
      <c r="J38" s="4">
        <v>4010290</v>
      </c>
      <c r="K38" s="4">
        <v>0</v>
      </c>
      <c r="L38" s="4">
        <v>1918139.95</v>
      </c>
      <c r="M38" s="5">
        <v>45238</v>
      </c>
      <c r="N38" s="5">
        <v>46387</v>
      </c>
    </row>
    <row r="39" spans="2:14" x14ac:dyDescent="0.25">
      <c r="B39" s="1" t="s">
        <v>107</v>
      </c>
      <c r="C39" s="3" t="s">
        <v>88</v>
      </c>
      <c r="D39" s="3">
        <v>140442</v>
      </c>
      <c r="E39" s="10" t="s">
        <v>133</v>
      </c>
      <c r="F39" s="3" t="s">
        <v>35</v>
      </c>
      <c r="G39" s="3" t="s">
        <v>125</v>
      </c>
      <c r="H39" s="3" t="s">
        <v>111</v>
      </c>
      <c r="I39" s="4">
        <v>1000000</v>
      </c>
      <c r="J39" s="4">
        <v>1000000</v>
      </c>
      <c r="K39" s="4">
        <v>0</v>
      </c>
      <c r="L39" s="4">
        <v>587141.65</v>
      </c>
      <c r="M39" s="5">
        <v>45257</v>
      </c>
      <c r="N39" s="5">
        <v>46295</v>
      </c>
    </row>
    <row r="40" spans="2:14" x14ac:dyDescent="0.25">
      <c r="B40" s="1" t="s">
        <v>107</v>
      </c>
      <c r="C40" s="3" t="s">
        <v>89</v>
      </c>
      <c r="D40" s="3">
        <v>140486</v>
      </c>
      <c r="E40" s="10" t="s">
        <v>136</v>
      </c>
      <c r="F40" s="3" t="s">
        <v>35</v>
      </c>
      <c r="G40" s="3" t="s">
        <v>124</v>
      </c>
      <c r="H40" s="3" t="s">
        <v>31</v>
      </c>
      <c r="I40" s="4">
        <v>26570000</v>
      </c>
      <c r="J40" s="4">
        <v>21187889</v>
      </c>
      <c r="K40" s="4">
        <v>0</v>
      </c>
      <c r="L40" s="4">
        <v>10481007.310000001</v>
      </c>
      <c r="M40" s="5">
        <v>45279</v>
      </c>
      <c r="N40" s="5">
        <v>46357</v>
      </c>
    </row>
    <row r="41" spans="2:14" hidden="1" x14ac:dyDescent="0.25">
      <c r="B41" s="1" t="s">
        <v>107</v>
      </c>
      <c r="C41" s="3" t="s">
        <v>90</v>
      </c>
      <c r="D41" s="3">
        <v>140520</v>
      </c>
      <c r="E41" s="12"/>
      <c r="F41" s="3" t="s">
        <v>20</v>
      </c>
      <c r="G41" s="3" t="s">
        <v>127</v>
      </c>
      <c r="H41" s="3" t="s">
        <v>112</v>
      </c>
      <c r="I41" s="4">
        <v>499315.5</v>
      </c>
      <c r="J41" s="4">
        <v>499315.5</v>
      </c>
      <c r="K41" s="4">
        <v>0</v>
      </c>
      <c r="L41" s="4">
        <v>367851.16</v>
      </c>
      <c r="M41" s="5">
        <v>45279</v>
      </c>
      <c r="N41" s="5">
        <v>45992</v>
      </c>
    </row>
    <row r="42" spans="2:14" hidden="1" x14ac:dyDescent="0.25">
      <c r="B42" s="1" t="s">
        <v>107</v>
      </c>
      <c r="C42" s="3" t="s">
        <v>91</v>
      </c>
      <c r="D42" s="3">
        <v>140619</v>
      </c>
      <c r="E42" s="13"/>
      <c r="F42" s="3" t="s">
        <v>20</v>
      </c>
      <c r="G42" s="3" t="s">
        <v>126</v>
      </c>
      <c r="H42" s="3" t="s">
        <v>15</v>
      </c>
      <c r="I42" s="4">
        <v>600000</v>
      </c>
      <c r="J42" s="4">
        <v>600000</v>
      </c>
      <c r="K42" s="4">
        <v>0</v>
      </c>
      <c r="L42" s="4">
        <v>398806.06</v>
      </c>
      <c r="M42" s="5">
        <v>45349</v>
      </c>
      <c r="N42" s="5">
        <v>45688</v>
      </c>
    </row>
    <row r="43" spans="2:14" x14ac:dyDescent="0.25">
      <c r="B43" s="1" t="s">
        <v>107</v>
      </c>
      <c r="C43" s="3" t="s">
        <v>92</v>
      </c>
      <c r="D43" s="3">
        <v>140783</v>
      </c>
      <c r="E43" s="10" t="s">
        <v>134</v>
      </c>
      <c r="F43" s="3" t="s">
        <v>35</v>
      </c>
      <c r="G43" s="3" t="s">
        <v>124</v>
      </c>
      <c r="H43" s="3" t="s">
        <v>113</v>
      </c>
      <c r="I43" s="4">
        <v>51106348</v>
      </c>
      <c r="J43" s="4">
        <v>43821269</v>
      </c>
      <c r="K43" s="4">
        <v>0</v>
      </c>
      <c r="L43" s="4">
        <v>1405620.34</v>
      </c>
      <c r="M43" s="5">
        <v>45519</v>
      </c>
      <c r="N43" s="5">
        <v>46934</v>
      </c>
    </row>
    <row r="44" spans="2:14" hidden="1" x14ac:dyDescent="0.25">
      <c r="B44" s="1" t="s">
        <v>107</v>
      </c>
      <c r="C44" s="3" t="s">
        <v>93</v>
      </c>
      <c r="D44" s="3">
        <v>140885</v>
      </c>
      <c r="E44" s="11"/>
      <c r="F44" s="3" t="s">
        <v>20</v>
      </c>
      <c r="G44" s="3" t="s">
        <v>129</v>
      </c>
      <c r="H44" s="3" t="s">
        <v>55</v>
      </c>
      <c r="I44" s="4">
        <v>2104534</v>
      </c>
      <c r="J44" s="4">
        <v>2104534</v>
      </c>
      <c r="K44" s="4">
        <v>0</v>
      </c>
      <c r="L44" s="4">
        <v>1456074.54</v>
      </c>
      <c r="M44" s="5">
        <v>45636</v>
      </c>
      <c r="N44" s="5">
        <v>46112</v>
      </c>
    </row>
    <row r="45" spans="2:14" x14ac:dyDescent="0.25">
      <c r="B45" s="1" t="s">
        <v>107</v>
      </c>
      <c r="C45" s="3" t="s">
        <v>94</v>
      </c>
      <c r="D45" s="3">
        <v>140915</v>
      </c>
      <c r="E45" s="10" t="s">
        <v>134</v>
      </c>
      <c r="F45" s="3" t="s">
        <v>35</v>
      </c>
      <c r="G45" s="3" t="s">
        <v>127</v>
      </c>
      <c r="H45" s="3" t="s">
        <v>112</v>
      </c>
      <c r="I45" s="4">
        <v>20512743</v>
      </c>
      <c r="J45" s="4">
        <v>19000147.16</v>
      </c>
      <c r="K45" s="4">
        <v>0</v>
      </c>
      <c r="L45" s="4">
        <v>20032748.280000001</v>
      </c>
      <c r="M45" s="5">
        <v>45614</v>
      </c>
      <c r="N45" s="5">
        <v>46708</v>
      </c>
    </row>
    <row r="46" spans="2:14" hidden="1" x14ac:dyDescent="0.25">
      <c r="B46" s="1" t="s">
        <v>107</v>
      </c>
      <c r="C46" s="3" t="s">
        <v>95</v>
      </c>
      <c r="D46" s="3">
        <v>141031</v>
      </c>
      <c r="E46" s="12"/>
      <c r="F46" s="3" t="s">
        <v>20</v>
      </c>
      <c r="G46" s="3" t="s">
        <v>124</v>
      </c>
      <c r="H46" s="3" t="s">
        <v>15</v>
      </c>
      <c r="I46" s="4">
        <v>130076</v>
      </c>
      <c r="J46" s="4">
        <v>130076</v>
      </c>
      <c r="K46" s="4">
        <v>0</v>
      </c>
      <c r="L46" s="4">
        <v>115997.88</v>
      </c>
      <c r="M46" s="5">
        <v>45693</v>
      </c>
      <c r="N46" s="5">
        <v>46022</v>
      </c>
    </row>
    <row r="47" spans="2:14" hidden="1" x14ac:dyDescent="0.25">
      <c r="B47" s="1" t="s">
        <v>107</v>
      </c>
      <c r="C47" s="3" t="s">
        <v>96</v>
      </c>
      <c r="D47" s="3">
        <v>141054</v>
      </c>
      <c r="E47" s="10"/>
      <c r="F47" s="3" t="s">
        <v>20</v>
      </c>
      <c r="G47" s="3" t="s">
        <v>124</v>
      </c>
      <c r="H47" s="3" t="s">
        <v>114</v>
      </c>
      <c r="I47" s="4">
        <v>500000</v>
      </c>
      <c r="J47" s="4">
        <v>500000</v>
      </c>
      <c r="K47" s="4">
        <v>0</v>
      </c>
      <c r="L47" s="4">
        <v>495846.85</v>
      </c>
      <c r="M47" s="5">
        <v>45708</v>
      </c>
      <c r="N47" s="5">
        <v>46023</v>
      </c>
    </row>
    <row r="48" spans="2:14" hidden="1" x14ac:dyDescent="0.25">
      <c r="B48" s="1" t="s">
        <v>107</v>
      </c>
      <c r="C48" s="3" t="s">
        <v>97</v>
      </c>
      <c r="D48" s="3">
        <v>141057</v>
      </c>
      <c r="E48" s="13"/>
      <c r="F48" s="3" t="s">
        <v>20</v>
      </c>
      <c r="G48" s="3" t="s">
        <v>124</v>
      </c>
      <c r="H48" s="3" t="s">
        <v>115</v>
      </c>
      <c r="I48" s="4">
        <v>499542</v>
      </c>
      <c r="J48" s="4">
        <v>499542</v>
      </c>
      <c r="K48" s="4">
        <v>0</v>
      </c>
      <c r="L48" s="4">
        <v>475253.45</v>
      </c>
      <c r="M48" s="5">
        <v>45962</v>
      </c>
      <c r="N48" s="5">
        <v>46022</v>
      </c>
    </row>
    <row r="49" spans="2:14" x14ac:dyDescent="0.25">
      <c r="B49" s="1" t="s">
        <v>107</v>
      </c>
      <c r="C49" s="3" t="s">
        <v>98</v>
      </c>
      <c r="D49" s="3">
        <v>141081</v>
      </c>
      <c r="E49" s="10" t="s">
        <v>133</v>
      </c>
      <c r="F49" s="3" t="s">
        <v>35</v>
      </c>
      <c r="G49" s="3" t="s">
        <v>130</v>
      </c>
      <c r="H49" s="3" t="s">
        <v>116</v>
      </c>
      <c r="I49" s="4">
        <v>10000003</v>
      </c>
      <c r="J49" s="4">
        <v>4843653</v>
      </c>
      <c r="K49" s="4">
        <v>0</v>
      </c>
      <c r="L49" s="4">
        <v>2081597.25</v>
      </c>
      <c r="M49" s="5">
        <v>45733</v>
      </c>
      <c r="N49" s="5">
        <v>46402</v>
      </c>
    </row>
    <row r="50" spans="2:14" x14ac:dyDescent="0.25">
      <c r="B50" s="1" t="s">
        <v>107</v>
      </c>
      <c r="C50" s="3" t="s">
        <v>99</v>
      </c>
      <c r="D50" s="3">
        <v>141098</v>
      </c>
      <c r="E50" s="10" t="s">
        <v>137</v>
      </c>
      <c r="F50" s="3" t="s">
        <v>35</v>
      </c>
      <c r="G50" s="3" t="s">
        <v>124</v>
      </c>
      <c r="H50" s="3" t="s">
        <v>116</v>
      </c>
      <c r="I50" s="4">
        <v>467836</v>
      </c>
      <c r="J50" s="4">
        <v>467836</v>
      </c>
      <c r="K50" s="4">
        <v>0</v>
      </c>
      <c r="L50" s="4">
        <v>170868.85</v>
      </c>
      <c r="M50" s="5">
        <v>45744</v>
      </c>
      <c r="N50" s="5">
        <v>46235</v>
      </c>
    </row>
    <row r="51" spans="2:14" hidden="1" x14ac:dyDescent="0.25">
      <c r="B51" s="1" t="s">
        <v>107</v>
      </c>
      <c r="C51" s="3" t="s">
        <v>100</v>
      </c>
      <c r="D51" s="3">
        <v>141105</v>
      </c>
      <c r="E51" s="11"/>
      <c r="F51" s="3" t="s">
        <v>20</v>
      </c>
      <c r="G51" s="3" t="s">
        <v>126</v>
      </c>
      <c r="H51" s="3" t="s">
        <v>15</v>
      </c>
      <c r="I51" s="4">
        <v>300000</v>
      </c>
      <c r="J51" s="4">
        <v>300000</v>
      </c>
      <c r="K51" s="4">
        <v>0</v>
      </c>
      <c r="L51" s="4">
        <v>274454.44</v>
      </c>
      <c r="M51" s="5">
        <v>45755</v>
      </c>
      <c r="N51" s="5">
        <v>45908</v>
      </c>
    </row>
    <row r="52" spans="2:14" x14ac:dyDescent="0.25">
      <c r="B52" s="1" t="s">
        <v>107</v>
      </c>
      <c r="C52" s="3" t="s">
        <v>101</v>
      </c>
      <c r="D52" s="3">
        <v>141114</v>
      </c>
      <c r="E52" s="10" t="s">
        <v>134</v>
      </c>
      <c r="F52" s="3" t="s">
        <v>35</v>
      </c>
      <c r="G52" s="3" t="s">
        <v>124</v>
      </c>
      <c r="H52" s="3" t="s">
        <v>120</v>
      </c>
      <c r="I52" s="4">
        <v>14996738</v>
      </c>
      <c r="J52" s="4">
        <v>12000000</v>
      </c>
      <c r="K52" s="4">
        <v>0</v>
      </c>
      <c r="L52" s="4">
        <v>224821.61</v>
      </c>
      <c r="M52" s="5">
        <v>45758</v>
      </c>
      <c r="N52" s="5">
        <v>46722</v>
      </c>
    </row>
    <row r="53" spans="2:14" x14ac:dyDescent="0.25">
      <c r="B53" s="1" t="s">
        <v>107</v>
      </c>
      <c r="C53" s="3" t="s">
        <v>102</v>
      </c>
      <c r="D53" s="3">
        <v>141291</v>
      </c>
      <c r="E53" s="10" t="s">
        <v>137</v>
      </c>
      <c r="F53" s="3" t="s">
        <v>35</v>
      </c>
      <c r="G53" s="3" t="s">
        <v>127</v>
      </c>
      <c r="H53" s="3" t="s">
        <v>117</v>
      </c>
      <c r="I53" s="4">
        <v>400000</v>
      </c>
      <c r="J53" s="4">
        <v>400000</v>
      </c>
      <c r="K53" s="4">
        <v>0</v>
      </c>
      <c r="L53" s="4">
        <v>0</v>
      </c>
      <c r="M53" s="5">
        <v>45935</v>
      </c>
      <c r="N53" s="5">
        <v>46239</v>
      </c>
    </row>
    <row r="54" spans="2:14" x14ac:dyDescent="0.25">
      <c r="B54" s="1" t="s">
        <v>107</v>
      </c>
      <c r="C54" s="3" t="s">
        <v>103</v>
      </c>
      <c r="D54" s="3">
        <v>141297</v>
      </c>
      <c r="E54" s="10" t="s">
        <v>136</v>
      </c>
      <c r="F54" s="3" t="s">
        <v>35</v>
      </c>
      <c r="G54" s="3" t="s">
        <v>127</v>
      </c>
      <c r="H54" s="3" t="s">
        <v>41</v>
      </c>
      <c r="I54" s="4">
        <v>11100000</v>
      </c>
      <c r="J54" s="4">
        <v>5700000</v>
      </c>
      <c r="K54" s="4">
        <v>0</v>
      </c>
      <c r="L54" s="4">
        <v>2194.86</v>
      </c>
      <c r="M54" s="5">
        <v>45962</v>
      </c>
      <c r="N54" s="5">
        <v>47057</v>
      </c>
    </row>
    <row r="55" spans="2:14" x14ac:dyDescent="0.25">
      <c r="B55" s="1" t="s">
        <v>107</v>
      </c>
      <c r="C55" s="3" t="s">
        <v>104</v>
      </c>
      <c r="D55" s="3">
        <v>141300</v>
      </c>
      <c r="E55" s="10" t="s">
        <v>133</v>
      </c>
      <c r="F55" s="3" t="s">
        <v>35</v>
      </c>
      <c r="G55" s="3" t="s">
        <v>127</v>
      </c>
      <c r="H55" s="3" t="s">
        <v>117</v>
      </c>
      <c r="I55" s="4">
        <v>20000000</v>
      </c>
      <c r="J55" s="4">
        <v>15477585</v>
      </c>
      <c r="K55" s="4">
        <v>0</v>
      </c>
      <c r="L55" s="4">
        <v>2273176.29</v>
      </c>
      <c r="M55" s="5">
        <v>45942</v>
      </c>
      <c r="N55" s="5">
        <v>47403</v>
      </c>
    </row>
    <row r="56" spans="2:14" x14ac:dyDescent="0.25">
      <c r="B56" s="1" t="s">
        <v>107</v>
      </c>
      <c r="C56" s="3" t="s">
        <v>105</v>
      </c>
      <c r="D56" s="3">
        <v>141343</v>
      </c>
      <c r="E56" s="10" t="s">
        <v>135</v>
      </c>
      <c r="F56" s="3" t="s">
        <v>35</v>
      </c>
      <c r="G56" s="3" t="s">
        <v>127</v>
      </c>
      <c r="H56" s="3" t="s">
        <v>41</v>
      </c>
      <c r="I56" s="4">
        <v>7300000</v>
      </c>
      <c r="J56" s="4">
        <v>4623709</v>
      </c>
      <c r="K56" s="4">
        <v>0</v>
      </c>
      <c r="L56" s="4">
        <v>1798.15</v>
      </c>
      <c r="M56" s="5">
        <v>45992</v>
      </c>
      <c r="N56" s="5">
        <v>47087</v>
      </c>
    </row>
    <row r="57" spans="2:14" x14ac:dyDescent="0.25">
      <c r="B57" s="1" t="s">
        <v>107</v>
      </c>
      <c r="C57" s="3" t="s">
        <v>106</v>
      </c>
      <c r="D57" s="3">
        <v>141415</v>
      </c>
      <c r="E57" s="10" t="s">
        <v>134</v>
      </c>
      <c r="F57" s="3" t="s">
        <v>35</v>
      </c>
      <c r="G57" s="3" t="s">
        <v>124</v>
      </c>
      <c r="H57" s="3" t="s">
        <v>118</v>
      </c>
      <c r="I57" s="4">
        <v>9919392</v>
      </c>
      <c r="J57" s="4">
        <v>5548192</v>
      </c>
      <c r="K57" s="4">
        <v>0</v>
      </c>
      <c r="L57" s="4">
        <v>0</v>
      </c>
      <c r="M57" s="5">
        <v>46011</v>
      </c>
      <c r="N57" s="5">
        <v>47837</v>
      </c>
    </row>
    <row r="58" spans="2:14" hidden="1" x14ac:dyDescent="0.25">
      <c r="B58" s="1" t="s">
        <v>59</v>
      </c>
      <c r="C58" s="1" t="s">
        <v>10</v>
      </c>
      <c r="D58" s="1">
        <v>103789</v>
      </c>
      <c r="E58" s="14"/>
      <c r="F58" s="1" t="s">
        <v>11</v>
      </c>
      <c r="G58" s="3" t="s">
        <v>129</v>
      </c>
      <c r="H58" s="1" t="s">
        <v>12</v>
      </c>
      <c r="I58" s="6">
        <v>10000003</v>
      </c>
      <c r="J58" s="6">
        <v>10000003</v>
      </c>
      <c r="K58" s="6">
        <v>-32607.09</v>
      </c>
      <c r="L58" s="6">
        <v>9967395.9100000001</v>
      </c>
      <c r="M58" s="7">
        <v>42723</v>
      </c>
      <c r="N58" s="7">
        <v>44197</v>
      </c>
    </row>
    <row r="59" spans="2:14" hidden="1" x14ac:dyDescent="0.25">
      <c r="B59" s="1" t="s">
        <v>59</v>
      </c>
      <c r="C59" s="1" t="s">
        <v>13</v>
      </c>
      <c r="D59" s="1">
        <v>103801</v>
      </c>
      <c r="E59" s="15"/>
      <c r="F59" s="1" t="s">
        <v>14</v>
      </c>
      <c r="G59" s="3" t="s">
        <v>129</v>
      </c>
      <c r="H59" s="1" t="s">
        <v>15</v>
      </c>
      <c r="I59" s="6">
        <v>3300000</v>
      </c>
      <c r="J59" s="6">
        <v>3300000</v>
      </c>
      <c r="K59" s="6">
        <v>0</v>
      </c>
      <c r="L59" s="6">
        <v>3283198.29</v>
      </c>
      <c r="M59" s="7">
        <v>42724</v>
      </c>
      <c r="N59" s="7">
        <v>45291</v>
      </c>
    </row>
    <row r="60" spans="2:14" hidden="1" x14ac:dyDescent="0.25">
      <c r="B60" s="1" t="s">
        <v>59</v>
      </c>
      <c r="C60" s="1" t="s">
        <v>16</v>
      </c>
      <c r="D60" s="1">
        <v>103850</v>
      </c>
      <c r="E60" s="15"/>
      <c r="F60" s="1" t="s">
        <v>14</v>
      </c>
      <c r="G60" s="3" t="s">
        <v>129</v>
      </c>
      <c r="H60" s="1" t="s">
        <v>17</v>
      </c>
      <c r="I60" s="6">
        <v>30000000</v>
      </c>
      <c r="J60" s="6">
        <v>30000000</v>
      </c>
      <c r="K60" s="6">
        <v>0</v>
      </c>
      <c r="L60" s="6">
        <v>29847430.77</v>
      </c>
      <c r="M60" s="7">
        <v>42830</v>
      </c>
      <c r="N60" s="7">
        <v>45657</v>
      </c>
    </row>
    <row r="61" spans="2:14" hidden="1" x14ac:dyDescent="0.25">
      <c r="B61" s="1" t="s">
        <v>59</v>
      </c>
      <c r="C61" s="1" t="s">
        <v>18</v>
      </c>
      <c r="D61" s="1">
        <v>103851</v>
      </c>
      <c r="E61" s="15"/>
      <c r="F61" s="1" t="s">
        <v>14</v>
      </c>
      <c r="G61" s="3" t="s">
        <v>129</v>
      </c>
      <c r="H61" s="1" t="s">
        <v>17</v>
      </c>
      <c r="I61" s="6">
        <v>2000000</v>
      </c>
      <c r="J61" s="6">
        <v>2000000</v>
      </c>
      <c r="K61" s="6">
        <v>0</v>
      </c>
      <c r="L61" s="6">
        <v>1550000.19</v>
      </c>
      <c r="M61" s="7">
        <v>42727</v>
      </c>
      <c r="N61" s="7">
        <v>45138</v>
      </c>
    </row>
    <row r="62" spans="2:14" hidden="1" x14ac:dyDescent="0.25">
      <c r="B62" s="1" t="s">
        <v>59</v>
      </c>
      <c r="C62" s="1" t="s">
        <v>19</v>
      </c>
      <c r="D62" s="1">
        <v>105031</v>
      </c>
      <c r="E62" s="15"/>
      <c r="F62" s="1" t="s">
        <v>14</v>
      </c>
      <c r="G62" s="3" t="s">
        <v>129</v>
      </c>
      <c r="H62" s="1" t="s">
        <v>17</v>
      </c>
      <c r="I62" s="6">
        <v>7000000</v>
      </c>
      <c r="J62" s="6">
        <v>4000000</v>
      </c>
      <c r="K62" s="6">
        <v>0</v>
      </c>
      <c r="L62" s="6">
        <v>2500000</v>
      </c>
      <c r="M62" s="7">
        <v>42830</v>
      </c>
      <c r="N62" s="7">
        <v>44742</v>
      </c>
    </row>
    <row r="63" spans="2:14" hidden="1" x14ac:dyDescent="0.25">
      <c r="B63" s="1" t="s">
        <v>59</v>
      </c>
      <c r="C63" s="1" t="s">
        <v>21</v>
      </c>
      <c r="D63" s="1">
        <v>105282</v>
      </c>
      <c r="E63" s="15"/>
      <c r="F63" s="1" t="s">
        <v>20</v>
      </c>
      <c r="G63" s="3" t="s">
        <v>129</v>
      </c>
      <c r="H63" s="1" t="s">
        <v>15</v>
      </c>
      <c r="I63" s="6">
        <v>8000000</v>
      </c>
      <c r="J63" s="6">
        <v>8000000</v>
      </c>
      <c r="K63" s="6">
        <v>0</v>
      </c>
      <c r="L63" s="6">
        <v>7983938.21</v>
      </c>
      <c r="M63" s="7">
        <v>42844</v>
      </c>
      <c r="N63" s="7">
        <v>45657</v>
      </c>
    </row>
    <row r="64" spans="2:14" hidden="1" x14ac:dyDescent="0.25">
      <c r="B64" s="1" t="s">
        <v>59</v>
      </c>
      <c r="C64" s="1" t="s">
        <v>22</v>
      </c>
      <c r="D64" s="1">
        <v>105381</v>
      </c>
      <c r="E64" s="15"/>
      <c r="F64" s="1" t="s">
        <v>11</v>
      </c>
      <c r="G64" s="3" t="s">
        <v>129</v>
      </c>
      <c r="H64" s="1" t="s">
        <v>23</v>
      </c>
      <c r="I64" s="6">
        <v>6999490</v>
      </c>
      <c r="J64" s="6">
        <v>6999490</v>
      </c>
      <c r="K64" s="6">
        <v>-114015.55</v>
      </c>
      <c r="L64" s="6">
        <v>6885497.2300000004</v>
      </c>
      <c r="M64" s="7">
        <v>42849</v>
      </c>
      <c r="N64" s="7">
        <v>45291</v>
      </c>
    </row>
    <row r="65" spans="2:14" hidden="1" x14ac:dyDescent="0.25">
      <c r="B65" s="1" t="s">
        <v>59</v>
      </c>
      <c r="C65" s="1" t="s">
        <v>24</v>
      </c>
      <c r="D65" s="1">
        <v>107819</v>
      </c>
      <c r="E65" s="15"/>
      <c r="F65" s="1" t="s">
        <v>20</v>
      </c>
      <c r="G65" s="3" t="s">
        <v>129</v>
      </c>
      <c r="H65" s="1" t="s">
        <v>15</v>
      </c>
      <c r="I65" s="6">
        <v>33000000</v>
      </c>
      <c r="J65" s="6">
        <v>26036247</v>
      </c>
      <c r="K65" s="6">
        <v>0</v>
      </c>
      <c r="L65" s="6">
        <v>25692978.32</v>
      </c>
      <c r="M65" s="7">
        <v>43059</v>
      </c>
      <c r="N65" s="7">
        <v>45657</v>
      </c>
    </row>
    <row r="66" spans="2:14" hidden="1" x14ac:dyDescent="0.25">
      <c r="B66" s="1" t="s">
        <v>59</v>
      </c>
      <c r="C66" s="1" t="s">
        <v>25</v>
      </c>
      <c r="D66" s="1">
        <v>113546</v>
      </c>
      <c r="E66" s="15"/>
      <c r="F66" s="1" t="s">
        <v>20</v>
      </c>
      <c r="G66" s="3" t="s">
        <v>129</v>
      </c>
      <c r="H66" s="1" t="s">
        <v>121</v>
      </c>
      <c r="I66" s="6">
        <v>18000000</v>
      </c>
      <c r="J66" s="6">
        <v>18000000</v>
      </c>
      <c r="K66" s="6">
        <v>0</v>
      </c>
      <c r="L66" s="6">
        <v>14573635.620000001</v>
      </c>
      <c r="M66" s="7">
        <v>43454</v>
      </c>
      <c r="N66" s="7">
        <v>46022</v>
      </c>
    </row>
    <row r="67" spans="2:14" hidden="1" x14ac:dyDescent="0.25">
      <c r="B67" s="1" t="s">
        <v>59</v>
      </c>
      <c r="C67" s="1" t="s">
        <v>27</v>
      </c>
      <c r="D67" s="1">
        <v>113547</v>
      </c>
      <c r="E67" s="15"/>
      <c r="F67" s="1" t="s">
        <v>20</v>
      </c>
      <c r="G67" s="3" t="s">
        <v>129</v>
      </c>
      <c r="H67" s="1" t="s">
        <v>28</v>
      </c>
      <c r="I67" s="6">
        <v>8999601</v>
      </c>
      <c r="J67" s="6">
        <v>8999601</v>
      </c>
      <c r="K67" s="6">
        <v>0</v>
      </c>
      <c r="L67" s="6">
        <v>8728209.8699999992</v>
      </c>
      <c r="M67" s="7">
        <v>43454</v>
      </c>
      <c r="N67" s="7">
        <v>46022</v>
      </c>
    </row>
    <row r="68" spans="2:14" hidden="1" x14ac:dyDescent="0.25">
      <c r="B68" s="1" t="s">
        <v>59</v>
      </c>
      <c r="C68" s="1" t="s">
        <v>29</v>
      </c>
      <c r="D68" s="1">
        <v>115700</v>
      </c>
      <c r="E68" s="15"/>
      <c r="F68" s="1" t="s">
        <v>11</v>
      </c>
      <c r="G68" s="3" t="s">
        <v>129</v>
      </c>
      <c r="H68" s="1" t="s">
        <v>12</v>
      </c>
      <c r="I68" s="6">
        <v>3000000</v>
      </c>
      <c r="J68" s="6">
        <v>2299913</v>
      </c>
      <c r="K68" s="6">
        <v>-13724.07</v>
      </c>
      <c r="L68" s="6">
        <v>2286188.9300000002</v>
      </c>
      <c r="M68" s="7">
        <v>43525</v>
      </c>
      <c r="N68" s="7">
        <v>44925</v>
      </c>
    </row>
    <row r="69" spans="2:14" hidden="1" x14ac:dyDescent="0.25">
      <c r="B69" s="1" t="s">
        <v>59</v>
      </c>
      <c r="C69" s="1" t="s">
        <v>30</v>
      </c>
      <c r="D69" s="1">
        <v>116875</v>
      </c>
      <c r="E69" s="15"/>
      <c r="F69" s="1" t="s">
        <v>14</v>
      </c>
      <c r="G69" s="3" t="s">
        <v>129</v>
      </c>
      <c r="H69" s="1" t="s">
        <v>122</v>
      </c>
      <c r="I69" s="6">
        <v>43000000</v>
      </c>
      <c r="J69" s="6">
        <v>43000000</v>
      </c>
      <c r="K69" s="6">
        <v>-109962.11</v>
      </c>
      <c r="L69" s="6">
        <v>41242090.760000005</v>
      </c>
      <c r="M69" s="7">
        <v>43663</v>
      </c>
      <c r="N69" s="7">
        <v>45291</v>
      </c>
    </row>
    <row r="70" spans="2:14" hidden="1" x14ac:dyDescent="0.25">
      <c r="B70" s="1" t="s">
        <v>59</v>
      </c>
      <c r="C70" s="1" t="s">
        <v>32</v>
      </c>
      <c r="D70" s="1">
        <v>117080</v>
      </c>
      <c r="E70" s="16"/>
      <c r="F70" s="1" t="s">
        <v>14</v>
      </c>
      <c r="G70" s="3" t="s">
        <v>129</v>
      </c>
      <c r="H70" s="1" t="s">
        <v>33</v>
      </c>
      <c r="I70" s="6">
        <v>12000000</v>
      </c>
      <c r="J70" s="6">
        <v>12000000</v>
      </c>
      <c r="K70" s="6">
        <v>-568079.80000000005</v>
      </c>
      <c r="L70" s="6">
        <v>11431920.619999999</v>
      </c>
      <c r="M70" s="7">
        <v>43685</v>
      </c>
      <c r="N70" s="7">
        <v>45838</v>
      </c>
    </row>
    <row r="71" spans="2:14" x14ac:dyDescent="0.25">
      <c r="B71" s="1" t="s">
        <v>59</v>
      </c>
      <c r="C71" s="1" t="s">
        <v>34</v>
      </c>
      <c r="D71" s="1">
        <v>117600</v>
      </c>
      <c r="E71" s="10" t="s">
        <v>133</v>
      </c>
      <c r="F71" s="1" t="s">
        <v>35</v>
      </c>
      <c r="G71" s="3" t="s">
        <v>129</v>
      </c>
      <c r="H71" s="1" t="s">
        <v>12</v>
      </c>
      <c r="I71" s="6">
        <v>25200000</v>
      </c>
      <c r="J71" s="6">
        <v>16000000</v>
      </c>
      <c r="K71" s="6">
        <v>0</v>
      </c>
      <c r="L71" s="6">
        <v>15058926.539999999</v>
      </c>
      <c r="M71" s="7">
        <v>43705</v>
      </c>
      <c r="N71" s="7">
        <v>47054</v>
      </c>
    </row>
    <row r="72" spans="2:14" hidden="1" x14ac:dyDescent="0.25">
      <c r="B72" s="1" t="s">
        <v>59</v>
      </c>
      <c r="C72" s="1" t="s">
        <v>36</v>
      </c>
      <c r="D72" s="1">
        <v>117920</v>
      </c>
      <c r="E72" s="17"/>
      <c r="F72" s="1" t="s">
        <v>20</v>
      </c>
      <c r="G72" s="3" t="s">
        <v>129</v>
      </c>
      <c r="H72" s="1" t="s">
        <v>15</v>
      </c>
      <c r="I72" s="6">
        <v>5445605</v>
      </c>
      <c r="J72" s="6">
        <v>5445605</v>
      </c>
      <c r="K72" s="6">
        <v>0</v>
      </c>
      <c r="L72" s="6">
        <v>5453270.0800000001</v>
      </c>
      <c r="M72" s="7">
        <v>43734</v>
      </c>
      <c r="N72" s="7">
        <v>46081</v>
      </c>
    </row>
    <row r="73" spans="2:14" x14ac:dyDescent="0.25">
      <c r="B73" s="1" t="s">
        <v>59</v>
      </c>
      <c r="C73" s="1" t="s">
        <v>37</v>
      </c>
      <c r="D73" s="1">
        <v>120055</v>
      </c>
      <c r="E73" s="10" t="s">
        <v>133</v>
      </c>
      <c r="F73" s="1" t="s">
        <v>35</v>
      </c>
      <c r="G73" s="3" t="s">
        <v>129</v>
      </c>
      <c r="H73" s="1" t="s">
        <v>38</v>
      </c>
      <c r="I73" s="6">
        <v>14999378</v>
      </c>
      <c r="J73" s="6">
        <v>14999378</v>
      </c>
      <c r="K73" s="6">
        <v>0</v>
      </c>
      <c r="L73" s="6">
        <v>14607114.01</v>
      </c>
      <c r="M73" s="7">
        <v>43872</v>
      </c>
      <c r="N73" s="7">
        <v>46477</v>
      </c>
    </row>
    <row r="74" spans="2:14" x14ac:dyDescent="0.25">
      <c r="B74" s="1" t="s">
        <v>59</v>
      </c>
      <c r="C74" s="1" t="s">
        <v>39</v>
      </c>
      <c r="D74" s="1">
        <v>123066</v>
      </c>
      <c r="E74" s="10" t="s">
        <v>133</v>
      </c>
      <c r="F74" s="1" t="s">
        <v>35</v>
      </c>
      <c r="G74" s="3" t="s">
        <v>129</v>
      </c>
      <c r="H74" s="1" t="s">
        <v>38</v>
      </c>
      <c r="I74" s="6">
        <v>12000000</v>
      </c>
      <c r="J74" s="6">
        <v>6000000</v>
      </c>
      <c r="K74" s="6">
        <v>0</v>
      </c>
      <c r="L74" s="6">
        <v>4945187.6100000003</v>
      </c>
      <c r="M74" s="7">
        <v>44035</v>
      </c>
      <c r="N74" s="7">
        <v>46477</v>
      </c>
    </row>
    <row r="75" spans="2:14" hidden="1" x14ac:dyDescent="0.25">
      <c r="B75" s="1" t="s">
        <v>59</v>
      </c>
      <c r="C75" s="1" t="s">
        <v>40</v>
      </c>
      <c r="D75" s="1">
        <v>126783</v>
      </c>
      <c r="E75" s="17"/>
      <c r="F75" s="1" t="s">
        <v>20</v>
      </c>
      <c r="G75" s="3" t="s">
        <v>129</v>
      </c>
      <c r="H75" s="1" t="s">
        <v>41</v>
      </c>
      <c r="I75" s="6">
        <v>30000000</v>
      </c>
      <c r="J75" s="6">
        <v>30000000</v>
      </c>
      <c r="K75" s="6">
        <v>0</v>
      </c>
      <c r="L75" s="6">
        <v>28242157.899999999</v>
      </c>
      <c r="M75" s="7">
        <v>44312</v>
      </c>
      <c r="N75" s="7">
        <v>46138</v>
      </c>
    </row>
    <row r="76" spans="2:14" x14ac:dyDescent="0.25">
      <c r="B76" s="1" t="s">
        <v>59</v>
      </c>
      <c r="C76" s="1" t="s">
        <v>42</v>
      </c>
      <c r="D76" s="1">
        <v>140631</v>
      </c>
      <c r="E76" s="10" t="s">
        <v>135</v>
      </c>
      <c r="F76" s="1" t="s">
        <v>35</v>
      </c>
      <c r="G76" s="3" t="s">
        <v>129</v>
      </c>
      <c r="H76" s="1" t="s">
        <v>23</v>
      </c>
      <c r="I76" s="6">
        <v>15000000</v>
      </c>
      <c r="J76" s="6">
        <v>9965000</v>
      </c>
      <c r="K76" s="6">
        <v>0</v>
      </c>
      <c r="L76" s="6">
        <v>2076341.3</v>
      </c>
      <c r="M76" s="7">
        <v>45364</v>
      </c>
      <c r="N76" s="7">
        <v>46823</v>
      </c>
    </row>
    <row r="77" spans="2:14" x14ac:dyDescent="0.25">
      <c r="B77" s="1" t="s">
        <v>59</v>
      </c>
      <c r="C77" s="1" t="s">
        <v>43</v>
      </c>
      <c r="D77" s="1">
        <v>140679</v>
      </c>
      <c r="E77" s="10" t="s">
        <v>133</v>
      </c>
      <c r="F77" s="1" t="s">
        <v>35</v>
      </c>
      <c r="G77" s="3" t="s">
        <v>129</v>
      </c>
      <c r="H77" s="1" t="s">
        <v>31</v>
      </c>
      <c r="I77" s="6">
        <v>10993775</v>
      </c>
      <c r="J77" s="6">
        <v>7849000</v>
      </c>
      <c r="K77" s="6">
        <v>0</v>
      </c>
      <c r="L77" s="6">
        <v>5673380.4500000002</v>
      </c>
      <c r="M77" s="7">
        <v>45415</v>
      </c>
      <c r="N77" s="7">
        <v>46388</v>
      </c>
    </row>
    <row r="78" spans="2:14" x14ac:dyDescent="0.25">
      <c r="B78" s="1" t="s">
        <v>59</v>
      </c>
      <c r="C78" s="1" t="s">
        <v>44</v>
      </c>
      <c r="D78" s="1">
        <v>140811</v>
      </c>
      <c r="E78" s="10" t="s">
        <v>133</v>
      </c>
      <c r="F78" s="1" t="s">
        <v>35</v>
      </c>
      <c r="G78" s="3" t="s">
        <v>129</v>
      </c>
      <c r="H78" s="1" t="s">
        <v>15</v>
      </c>
      <c r="I78" s="6">
        <v>45000000</v>
      </c>
      <c r="J78" s="6">
        <v>15000000</v>
      </c>
      <c r="K78" s="6">
        <v>0</v>
      </c>
      <c r="L78" s="6">
        <v>801286.51</v>
      </c>
      <c r="M78" s="7">
        <v>45575</v>
      </c>
      <c r="N78" s="7">
        <v>46628</v>
      </c>
    </row>
    <row r="79" spans="2:14" x14ac:dyDescent="0.25">
      <c r="B79" s="1" t="s">
        <v>59</v>
      </c>
      <c r="C79" s="1" t="s">
        <v>45</v>
      </c>
      <c r="D79" s="1">
        <v>140884</v>
      </c>
      <c r="E79" s="10" t="s">
        <v>133</v>
      </c>
      <c r="F79" s="1" t="s">
        <v>35</v>
      </c>
      <c r="G79" s="3" t="s">
        <v>129</v>
      </c>
      <c r="H79" s="1" t="s">
        <v>33</v>
      </c>
      <c r="I79" s="6">
        <v>35000000</v>
      </c>
      <c r="J79" s="6">
        <v>10000000</v>
      </c>
      <c r="K79" s="6">
        <v>0</v>
      </c>
      <c r="L79" s="6">
        <v>3512499.52</v>
      </c>
      <c r="M79" s="7">
        <v>45593</v>
      </c>
      <c r="N79" s="7">
        <v>47236</v>
      </c>
    </row>
    <row r="80" spans="2:14" x14ac:dyDescent="0.25">
      <c r="B80" s="1" t="s">
        <v>59</v>
      </c>
      <c r="C80" s="1" t="s">
        <v>46</v>
      </c>
      <c r="D80" s="1">
        <v>141041</v>
      </c>
      <c r="E80" s="10" t="s">
        <v>135</v>
      </c>
      <c r="F80" s="1" t="s">
        <v>35</v>
      </c>
      <c r="G80" s="3" t="s">
        <v>129</v>
      </c>
      <c r="H80" s="1" t="s">
        <v>15</v>
      </c>
      <c r="I80" s="6">
        <v>8000000</v>
      </c>
      <c r="J80" s="6">
        <v>4000000</v>
      </c>
      <c r="K80" s="6">
        <v>0</v>
      </c>
      <c r="L80" s="6">
        <v>0</v>
      </c>
      <c r="M80" s="7">
        <v>45706</v>
      </c>
      <c r="N80" s="7">
        <v>46244</v>
      </c>
    </row>
    <row r="81" spans="2:14" x14ac:dyDescent="0.25">
      <c r="B81" s="1" t="s">
        <v>59</v>
      </c>
      <c r="C81" s="1" t="s">
        <v>47</v>
      </c>
      <c r="D81" s="1">
        <v>141042</v>
      </c>
      <c r="E81" s="10" t="s">
        <v>137</v>
      </c>
      <c r="F81" s="1" t="s">
        <v>35</v>
      </c>
      <c r="G81" s="3" t="s">
        <v>129</v>
      </c>
      <c r="H81" s="1" t="s">
        <v>15</v>
      </c>
      <c r="I81" s="6">
        <v>2000000</v>
      </c>
      <c r="J81" s="6">
        <v>2000000</v>
      </c>
      <c r="K81" s="6">
        <v>0</v>
      </c>
      <c r="L81" s="6">
        <v>0</v>
      </c>
      <c r="M81" s="7">
        <v>45706</v>
      </c>
      <c r="N81" s="7">
        <v>46244</v>
      </c>
    </row>
    <row r="82" spans="2:14" x14ac:dyDescent="0.25">
      <c r="B82" s="1" t="s">
        <v>59</v>
      </c>
      <c r="C82" s="1" t="s">
        <v>48</v>
      </c>
      <c r="D82" s="1">
        <v>141061</v>
      </c>
      <c r="E82" s="10" t="s">
        <v>135</v>
      </c>
      <c r="F82" s="1" t="s">
        <v>35</v>
      </c>
      <c r="G82" s="3" t="s">
        <v>129</v>
      </c>
      <c r="H82" s="1" t="s">
        <v>15</v>
      </c>
      <c r="I82" s="6">
        <v>3000000</v>
      </c>
      <c r="J82" s="6">
        <v>1500000</v>
      </c>
      <c r="K82" s="6">
        <v>0</v>
      </c>
      <c r="L82" s="6">
        <v>0</v>
      </c>
      <c r="M82" s="7">
        <v>45714</v>
      </c>
      <c r="N82" s="7">
        <v>46777</v>
      </c>
    </row>
    <row r="83" spans="2:14" x14ac:dyDescent="0.25">
      <c r="B83" s="1" t="s">
        <v>59</v>
      </c>
      <c r="C83" s="1" t="s">
        <v>49</v>
      </c>
      <c r="D83" s="1">
        <v>141120</v>
      </c>
      <c r="E83" s="10" t="s">
        <v>133</v>
      </c>
      <c r="F83" s="1" t="s">
        <v>35</v>
      </c>
      <c r="G83" s="3" t="s">
        <v>129</v>
      </c>
      <c r="H83" s="1" t="s">
        <v>122</v>
      </c>
      <c r="I83" s="6">
        <v>58000000</v>
      </c>
      <c r="J83" s="6">
        <v>22500000</v>
      </c>
      <c r="K83" s="6">
        <v>0</v>
      </c>
      <c r="L83" s="6">
        <v>10483051.15</v>
      </c>
      <c r="M83" s="7">
        <v>45761</v>
      </c>
      <c r="N83" s="7">
        <v>47221</v>
      </c>
    </row>
    <row r="84" spans="2:14" x14ac:dyDescent="0.25">
      <c r="B84" s="1" t="s">
        <v>59</v>
      </c>
      <c r="C84" s="1" t="s">
        <v>50</v>
      </c>
      <c r="D84" s="1">
        <v>141161</v>
      </c>
      <c r="E84" s="10" t="s">
        <v>133</v>
      </c>
      <c r="F84" s="1" t="s">
        <v>35</v>
      </c>
      <c r="G84" s="3" t="s">
        <v>129</v>
      </c>
      <c r="H84" s="1" t="s">
        <v>31</v>
      </c>
      <c r="I84" s="6">
        <v>3500000</v>
      </c>
      <c r="J84" s="6">
        <v>2000000</v>
      </c>
      <c r="K84" s="6">
        <v>0</v>
      </c>
      <c r="L84" s="6">
        <v>0</v>
      </c>
      <c r="M84" s="7">
        <v>45798</v>
      </c>
      <c r="N84" s="7">
        <v>46863</v>
      </c>
    </row>
    <row r="85" spans="2:14" x14ac:dyDescent="0.25">
      <c r="B85" s="1" t="s">
        <v>59</v>
      </c>
      <c r="C85" s="1" t="s">
        <v>51</v>
      </c>
      <c r="D85" s="1">
        <v>141162</v>
      </c>
      <c r="E85" s="10" t="s">
        <v>135</v>
      </c>
      <c r="F85" s="1" t="s">
        <v>35</v>
      </c>
      <c r="G85" s="3" t="s">
        <v>129</v>
      </c>
      <c r="H85" s="1" t="s">
        <v>41</v>
      </c>
      <c r="I85" s="6">
        <v>6000000</v>
      </c>
      <c r="J85" s="6">
        <v>3000000</v>
      </c>
      <c r="K85" s="6">
        <v>0</v>
      </c>
      <c r="L85" s="6">
        <v>346503.17</v>
      </c>
      <c r="M85" s="7">
        <v>45798</v>
      </c>
      <c r="N85" s="7">
        <v>47258</v>
      </c>
    </row>
    <row r="86" spans="2:14" x14ac:dyDescent="0.25">
      <c r="B86" s="1" t="s">
        <v>59</v>
      </c>
      <c r="C86" s="1" t="s">
        <v>52</v>
      </c>
      <c r="D86" s="1">
        <v>141166</v>
      </c>
      <c r="E86" s="10" t="s">
        <v>136</v>
      </c>
      <c r="F86" s="1" t="s">
        <v>35</v>
      </c>
      <c r="G86" s="3" t="s">
        <v>129</v>
      </c>
      <c r="H86" s="1" t="s">
        <v>53</v>
      </c>
      <c r="I86" s="6">
        <v>5500000</v>
      </c>
      <c r="J86" s="6">
        <v>3000000</v>
      </c>
      <c r="K86" s="6">
        <v>0</v>
      </c>
      <c r="L86" s="6">
        <v>812329.26</v>
      </c>
      <c r="M86" s="7">
        <v>45769</v>
      </c>
      <c r="N86" s="7">
        <v>46864</v>
      </c>
    </row>
    <row r="87" spans="2:14" x14ac:dyDescent="0.25">
      <c r="B87" s="1" t="s">
        <v>59</v>
      </c>
      <c r="C87" s="1" t="s">
        <v>54</v>
      </c>
      <c r="D87" s="1">
        <v>141182</v>
      </c>
      <c r="E87" s="10" t="s">
        <v>133</v>
      </c>
      <c r="F87" s="1" t="s">
        <v>35</v>
      </c>
      <c r="G87" s="3" t="s">
        <v>129</v>
      </c>
      <c r="H87" s="1" t="s">
        <v>55</v>
      </c>
      <c r="I87" s="6">
        <v>30000000</v>
      </c>
      <c r="J87" s="6">
        <v>15000000</v>
      </c>
      <c r="K87" s="6">
        <v>0</v>
      </c>
      <c r="L87" s="6">
        <v>816278.84</v>
      </c>
      <c r="M87" s="7">
        <v>45833</v>
      </c>
      <c r="N87" s="7">
        <v>46928</v>
      </c>
    </row>
    <row r="88" spans="2:14" x14ac:dyDescent="0.25">
      <c r="B88" s="1" t="s">
        <v>59</v>
      </c>
      <c r="C88" s="1" t="s">
        <v>56</v>
      </c>
      <c r="D88" s="1">
        <v>141417</v>
      </c>
      <c r="E88" s="10" t="s">
        <v>133</v>
      </c>
      <c r="F88" s="1" t="s">
        <v>35</v>
      </c>
      <c r="G88" s="3" t="s">
        <v>129</v>
      </c>
      <c r="H88" s="1" t="s">
        <v>26</v>
      </c>
      <c r="I88" s="6">
        <v>50000000</v>
      </c>
      <c r="J88" s="6">
        <v>20000000</v>
      </c>
      <c r="K88" s="6">
        <v>0</v>
      </c>
      <c r="L88" s="6">
        <v>0</v>
      </c>
      <c r="M88" s="7">
        <v>46013</v>
      </c>
      <c r="N88" s="7">
        <v>47839</v>
      </c>
    </row>
    <row r="89" spans="2:14" x14ac:dyDescent="0.25">
      <c r="B89" s="1" t="s">
        <v>59</v>
      </c>
      <c r="C89" s="1" t="s">
        <v>57</v>
      </c>
      <c r="D89" s="1">
        <v>141419</v>
      </c>
      <c r="E89" s="10" t="s">
        <v>133</v>
      </c>
      <c r="F89" s="1" t="s">
        <v>35</v>
      </c>
      <c r="G89" s="3" t="s">
        <v>129</v>
      </c>
      <c r="H89" s="1" t="s">
        <v>33</v>
      </c>
      <c r="I89" s="6">
        <v>25000000</v>
      </c>
      <c r="J89" s="6">
        <v>10000000</v>
      </c>
      <c r="K89" s="6">
        <v>0</v>
      </c>
      <c r="L89" s="6">
        <v>0</v>
      </c>
      <c r="M89" s="7">
        <v>46016</v>
      </c>
      <c r="N89" s="7">
        <v>47842</v>
      </c>
    </row>
    <row r="91" spans="2:14" s="8" customFormat="1" x14ac:dyDescent="0.25">
      <c r="I91" s="9">
        <f>SUM(I9:I89)</f>
        <v>1260835155.6100001</v>
      </c>
      <c r="J91" s="9">
        <f t="shared" ref="J91:L91" si="0">SUM(J9:J89)</f>
        <v>1051481243.59</v>
      </c>
      <c r="K91" s="9">
        <f t="shared" si="0"/>
        <v>-54776108.419999994</v>
      </c>
      <c r="L91" s="9">
        <f t="shared" si="0"/>
        <v>593230150.91999984</v>
      </c>
    </row>
  </sheetData>
  <autoFilter ref="C8:N89" xr:uid="{00000000-0001-0000-0000-000000000000}">
    <filterColumn colId="3">
      <filters>
        <filter val="On Going"/>
      </filters>
    </filterColumn>
  </autoFilter>
  <pageMargins left="0.7" right="0.7" top="0.75" bottom="0.75" header="0.3" footer="0.3"/>
  <ignoredErrors>
    <ignoredError sqref="C2:C6 H84:N90 H1:N3 M4:N5 H6:N8 H58:N62 H67:N68 H70:N82 F70:F82 F67:F68 F58:F62 F84:F91 F1:F8 H91 M91:N91 C84:D91 C1:D1 C58:D62 C67:D68 C70:D82 C7:D8 H63:N65 F63:F65 C63:D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MPTF CAFI &amp; FONAREDD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Alves</dc:creator>
  <cp:lastModifiedBy>Chadrack Kafuti</cp:lastModifiedBy>
  <dcterms:created xsi:type="dcterms:W3CDTF">2026-04-27T21:50:51Z</dcterms:created>
  <dcterms:modified xsi:type="dcterms:W3CDTF">2026-10-29T14:29:44Z</dcterms:modified>
</cp:coreProperties>
</file>