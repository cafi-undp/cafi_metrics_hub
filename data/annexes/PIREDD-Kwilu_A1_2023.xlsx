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34407\Downloads\CAFI Annual report\最終版\提出版\"/>
    </mc:Choice>
  </mc:AlternateContent>
  <xr:revisionPtr revIDLastSave="0" documentId="13_ncr:1_{EFA17E6C-9114-4B36-B3BF-C9B5B8DF4939}" xr6:coauthVersionLast="47" xr6:coauthVersionMax="47" xr10:uidLastSave="{00000000-0000-0000-0000-000000000000}"/>
  <bookViews>
    <workbookView xWindow="-110" yWindow="-110" windowWidth="19420" windowHeight="10560" firstSheet="2" activeTab="6"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B4K9WIH4ffqwh+Js8GpToMxhwS2Cmki5Y8tYWj4lmkk="/>
    </ext>
  </extLst>
</workbook>
</file>

<file path=xl/calcChain.xml><?xml version="1.0" encoding="utf-8"?>
<calcChain xmlns="http://schemas.openxmlformats.org/spreadsheetml/2006/main">
  <c r="K5" i="6" l="1"/>
  <c r="L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family val="2"/>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family val="2"/>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i7+xdC/2mHeus1tslaD9xcS3L0Dw=="/>
    </ext>
  </extLst>
</comments>
</file>

<file path=xl/sharedStrings.xml><?xml version="1.0" encoding="utf-8"?>
<sst xmlns="http://schemas.openxmlformats.org/spreadsheetml/2006/main" count="742" uniqueCount="198">
  <si>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</si>
  <si>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</si>
  <si>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</si>
  <si>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</si>
  <si>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</si>
  <si>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</si>
  <si>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</si>
  <si>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</si>
  <si>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</si>
  <si>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</si>
  <si>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</si>
  <si>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</si>
  <si>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</si>
  <si>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</si>
  <si>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</si>
  <si>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</si>
  <si>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</si>
  <si>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</si>
  <si>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</si>
  <si>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</si>
  <si>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</si>
  <si>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</si>
  <si>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</si>
  <si>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</si>
  <si>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</si>
  <si>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</si>
  <si>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2 </t>
  </si>
  <si>
    <r>
      <rPr>
        <sz val="8"/>
        <color theme="1"/>
        <rFont val="Avenir"/>
      </rP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</si>
  <si>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</si>
  <si>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</si>
  <si>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</si>
  <si>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</si>
  <si>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rPr>
        <sz val="8"/>
        <color theme="1"/>
        <rFont val="Avenir"/>
      </rPr>
      <t>(Augmentation des) Revenus monétaires directs pour les bénéficiaires directs</t>
    </r>
    <r>
      <rPr>
        <i/>
        <sz val="8"/>
        <color theme="1"/>
        <rFont val="Arial"/>
        <family val="2"/>
      </rPr>
      <t> </t>
    </r>
    <r>
      <rPr>
        <sz val="8"/>
        <color theme="1"/>
        <rFont val="Arial"/>
        <family val="2"/>
      </rPr>
      <t> </t>
    </r>
  </si>
  <si>
    <t>$ </t>
  </si>
  <si>
    <r>
      <rPr>
        <sz val="8"/>
        <color theme="1"/>
        <rFont val="Avenir"/>
      </rPr>
      <t xml:space="preserve">(Augmentation de la )production vivrière des ménages bénéficiaires, </t>
    </r>
    <r>
      <rPr>
        <i/>
        <sz val="8"/>
        <color theme="1"/>
        <rFont val="Avenir"/>
      </rPr>
      <t>ventilé par type de culture clé</t>
    </r>
    <r>
      <rPr>
        <sz val="8"/>
        <color theme="1"/>
        <rFont val="Arial"/>
        <family val="2"/>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</si>
  <si>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</si>
  <si>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</si>
  <si>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rPr>
        <sz val="8"/>
        <color rgb="FF4472C4"/>
        <rFont val="Avenir"/>
      </rP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rial"/>
        <family val="2"/>
      </rPr>
      <t xml:space="preserve"> 
</t>
    </r>
  </si>
  <si>
    <t>Fournir une brève description  ou hyperlien</t>
  </si>
  <si>
    <r>
      <rPr>
        <sz val="8"/>
        <color rgb="FF4472C4"/>
        <rFont val="Avenir"/>
      </rP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</si>
  <si>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</si>
  <si>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</si>
  <si>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Indicateurs de produits (4)</t>
  </si>
  <si>
    <t>G.1 </t>
  </si>
  <si>
    <r>
      <rPr>
        <sz val="8"/>
        <color rgb="FF4472C4"/>
        <rFont val="Avenir"/>
      </rPr>
      <t xml:space="preserve">
</t>
    </r>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</si>
  <si>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</si>
  <si>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r>
      <rPr>
        <sz val="8"/>
        <color rgb="FF4472C4"/>
        <rFont val="Avenir"/>
      </rPr>
      <t xml:space="preserve">
</t>
    </r>
    <r>
      <rPr>
        <sz val="8"/>
        <color rgb="FF000000"/>
        <rFont val="Avenir"/>
      </rPr>
      <t>Nb de personnes participant activement à ces structures de gouvernance décisionnaires, ventilé par type (CLD, CARG, CCPF, CCPA, etc), par genre et par groupe vulnérable (PA) </t>
    </r>
  </si>
  <si>
    <t>G.3 </t>
  </si>
  <si>
    <r>
      <rPr>
        <sz val="8"/>
        <color rgb="FF4472C4"/>
        <rFont val="Avenir"/>
      </rPr>
      <t xml:space="preserve">
</t>
    </r>
    <r>
      <rPr>
        <sz val="8"/>
        <color rgb="FF000000"/>
        <rFont val="Avenir"/>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</si>
  <si>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</si>
  <si>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</si>
  <si>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</si>
  <si>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rPr>
      <t>Les plateformes multi-acteurs s’impliquent activement dans la GRN</t>
    </r>
    <r>
      <rPr>
        <sz val="8"/>
        <color rgb="FF4472C4"/>
        <rFont val="Avenir"/>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</si>
  <si>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</si>
  <si>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</si>
  <si>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</si>
  <si>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</si>
  <si>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</si>
  <si>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</si>
  <si>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</si>
  <si>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</si>
  <si>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</si>
  <si>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</si>
  <si>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</si>
  <si>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family val="2"/>
      </rPr>
      <t>ventilé par type (Agence, ALE, services techniques par type)</t>
    </r>
    <r>
      <rPr>
        <sz val="8"/>
        <color theme="1"/>
        <rFont val="Avenir Next LT Pro"/>
        <family val="2"/>
      </rPr>
      <t> </t>
    </r>
  </si>
  <si>
    <t>Nb</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</si>
  <si>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</si>
  <si>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</si>
  <si>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</si>
  <si>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</si>
  <si>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</si>
  <si>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finale (tsur base du prodoc)</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</si>
  <si>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</si>
  <si>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</si>
  <si>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</si>
  <si>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</si>
  <si>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</si>
  <si>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</si>
  <si>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</si>
  <si>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</si>
  <si>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</si>
  <si>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</si>
  <si>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</si>
  <si>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</si>
  <si>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</si>
  <si>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</si>
  <si>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</si>
  <si>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</si>
  <si>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</si>
  <si>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</si>
  <si>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</si>
  <si>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</si>
  <si>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</si>
  <si>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</si>
  <si>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</si>
  <si>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</si>
  <si>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</si>
  <si>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</si>
  <si>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</si>
  <si>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</si>
  <si>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</si>
  <si>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FON.3 </t>
  </si>
  <si>
    <r>
      <rPr>
        <sz val="9"/>
        <color theme="1"/>
        <rFont val="Avenir"/>
      </rPr>
      <t xml:space="preserve">Superficies de terres sécurisées au niveau foncier, </t>
    </r>
    <r>
      <rPr>
        <i/>
        <sz val="9"/>
        <color theme="1"/>
        <rFont val="Avenir"/>
      </rPr>
      <t>ventilées par type de sécurisation foncière (individuelle ou collective)</t>
    </r>
    <r>
      <rPr>
        <sz val="9"/>
        <color theme="1"/>
        <rFont val="Avenir"/>
      </rPr>
      <t> </t>
    </r>
  </si>
  <si>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</si>
  <si>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</si>
  <si>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</si>
  <si>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</si>
  <si>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</si>
  <si>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</si>
  <si>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</si>
  <si>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</si>
  <si>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</si>
  <si>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</si>
  <si>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AG.3 </t>
  </si>
  <si>
    <r>
      <rPr>
        <sz val="8"/>
        <color theme="1"/>
        <rFont val="Avenir"/>
      </rPr>
      <t xml:space="preserve">Superficies d’agriculture durable réalisées, totales et </t>
    </r>
    <r>
      <rPr>
        <i/>
        <sz val="8"/>
        <color theme="1"/>
        <rFont val="Arial"/>
        <family val="2"/>
      </rPr>
      <t>ventilées par :</t>
    </r>
    <r>
      <rPr>
        <sz val="8"/>
        <color theme="1"/>
        <rFont val="Arial"/>
        <family val="2"/>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</si>
  <si>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</si>
  <si>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</si>
  <si>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</si>
  <si>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family val="2"/>
      </rPr>
      <t> </t>
    </r>
  </si>
  <si>
    <r>
      <rPr>
        <sz val="8"/>
        <color theme="1"/>
        <rFont val="Avenir"/>
      </rPr>
      <t>​​​Dont ​​</t>
    </r>
    <r>
      <rPr>
        <sz val="8"/>
        <color rgb="FF881798"/>
        <rFont val="Avenir Next LT Pro"/>
        <family val="2"/>
      </rPr>
      <t> </t>
    </r>
    <r>
      <rPr>
        <sz val="8"/>
        <color theme="1"/>
        <rFont val="Avenir Next LT Pro"/>
        <family val="2"/>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</si>
  <si>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</si>
  <si>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</si>
  <si>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</si>
  <si>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</si>
  <si>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</si>
  <si>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</si>
  <si>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</si>
  <si>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</si>
  <si>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</si>
  <si>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E.2 </t>
  </si>
  <si>
    <t>Superficie de plantations à vocation totale ou partielle bois-énergie / bois d’œuvre </t>
  </si>
  <si>
    <t>E.3 </t>
  </si>
  <si>
    <r>
      <rPr>
        <sz val="9"/>
        <color theme="1"/>
        <rFont val="Avenir"/>
      </rPr>
      <t xml:space="preserve">Nombre de bénéficiaires directs / indirects, </t>
    </r>
    <r>
      <rPr>
        <i/>
        <sz val="9"/>
        <color theme="1"/>
        <rFont val="Avenir"/>
      </rPr>
      <t>ventilé par genre et type (minorité)) dont :</t>
    </r>
    <r>
      <rPr>
        <sz val="9"/>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</si>
  <si>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</si>
  <si>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</si>
  <si>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</si>
  <si>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</si>
  <si>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rPr>
      <t xml:space="preserve">Taux de survie des plantations et mises en défens appuyées par le projet 
</t>
    </r>
    <r>
      <rPr>
        <sz val="9"/>
        <color rgb="FF000000"/>
        <rFont val="Avenir"/>
      </rPr>
      <t>Superficies ventilées par type de</t>
    </r>
  </si>
  <si>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</si>
  <si>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</si>
  <si>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</si>
  <si>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</si>
  <si>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</si>
  <si>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FOR.2 </t>
  </si>
  <si>
    <t>Nombre de personnes habitant dans les zones de foresterie communautaire formalisées (en RDC : sous CFCL) </t>
  </si>
  <si>
    <t>FOR.3 </t>
  </si>
  <si>
    <t>​​​Superficies effectivement protégées par les pare-feux ​​​​ </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</si>
  <si>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</si>
  <si>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</si>
  <si>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</si>
  <si>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</si>
  <si>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</si>
  <si>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</si>
  <si>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</si>
  <si>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</si>
  <si>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</si>
  <si>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</si>
  <si>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</si>
  <si>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</si>
  <si>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</si>
  <si>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</si>
  <si>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</si>
  <si>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</si>
  <si>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</si>
  <si>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</si>
  <si>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</si>
  <si>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</si>
  <si>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</si>
  <si>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</si>
  <si>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</si>
  <si>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</si>
  <si>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</si>
  <si>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</si>
  <si>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</si>
  <si>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t>
  </si>
  <si>
    <r>
      <t xml:space="preserve">Fournir également, via un hyperlien, le(s) shapefile(s) des PSAT ou PSG des CFCL mettant en exergue les différentes catégories d'affectation des terres définies collectivement avec les communautés
</t>
    </r>
    <r>
      <rPr>
        <sz val="9"/>
        <color theme="4"/>
        <rFont val="Calibri"/>
        <family val="2"/>
        <scheme val="minor"/>
      </rPr>
      <t>https://drive.google.com/drive/folders/1mmD8Wl1WOK4gskkZaQYQqNPKiiTmF5DB?usp=drive_link</t>
    </r>
  </si>
  <si>
    <t>Pas de foresterie communautaires mise en place</t>
  </si>
  <si>
    <t>Pas des pare feux installé pour les forêts</t>
  </si>
  <si>
    <t>Mission de suivi des cativités sur terrain par les techniciens des ALE et de l'équipe du projet, ainsi que des MRV de la province</t>
  </si>
  <si>
    <t>62 Plans élaborés et validés au niveau des terroirs villageois, 85 dont la validation des cartes participatives</t>
  </si>
  <si>
    <t>135257,4ha des PSAT Validés, 424243 ha des plan élaborés</t>
  </si>
  <si>
    <t>Pas d'infrastructure construite</t>
  </si>
  <si>
    <t>Non encore publié, seulement les conventions qui ont été signées</t>
  </si>
  <si>
    <r>
      <t xml:space="preserve">Les shapefiles des plantations agroforetiers au profit des CLD sont renseigné en lien, sont des espaces obtenues au profits des communautés
</t>
    </r>
    <r>
      <rPr>
        <sz val="9"/>
        <color theme="4"/>
        <rFont val="Calibri"/>
        <family val="2"/>
        <scheme val="minor"/>
      </rPr>
      <t>https://drive.google.com/drive/folders/1ebNwzgdecnEt5dvYWCENrTq5u5URGmF0?usp=drive_link</t>
    </r>
  </si>
  <si>
    <t>14319 ménages direct dont 54% des femmes 46% des hommes</t>
  </si>
  <si>
    <r>
      <t xml:space="preserve">Fournir également, via un hyperlien, le(s) shapefile(s) mettant en exergue les zones sous agriculture vivrière avec variétés améliorées dans le complexe rural
</t>
    </r>
    <r>
      <rPr>
        <sz val="9"/>
        <color theme="4"/>
        <rFont val="Calibri"/>
        <family val="2"/>
        <scheme val="minor"/>
      </rPr>
      <t>https://drive.google.com/drive/folders/1ebNwzgdecnEt5dvYWCENrTq5u5URGmF0?usp=drive_link</t>
    </r>
  </si>
  <si>
    <t>Activité non réalisée</t>
  </si>
  <si>
    <r>
      <t xml:space="preserve">Fournir également, via un hyperlien, le(s) shapefile(s) mettant en exergue les limites des zones sous culture pérennes sans déforestation
</t>
    </r>
    <r>
      <rPr>
        <sz val="9"/>
        <color rgb="FF00B0F0"/>
        <rFont val="Calibri"/>
        <family val="2"/>
        <scheme val="minor"/>
      </rPr>
      <t>https://drive.google.com/drive/folders/1ebNwzgdecnEt5dvYWCENrTq5u5URGmF0?usp=drive_link</t>
    </r>
  </si>
  <si>
    <r>
      <t xml:space="preserve">Fournir également, via un hyperlien, le(s) shapefile(s) mettant en exergue les limites des zones sous plantations agroforestières
</t>
    </r>
    <r>
      <rPr>
        <sz val="9"/>
        <color rgb="FF00B0F0"/>
        <rFont val="Calibri"/>
        <family val="2"/>
        <scheme val="minor"/>
      </rPr>
      <t>https://drive.google.com/drive/folders/1ebNwzgdecnEt5dvYWCENrTq5u5URGmF0?usp=drive_link</t>
    </r>
  </si>
  <si>
    <r>
      <t xml:space="preserve">Fournir également, via un hyperlien, le(s) shapefile(s) mettant en exergue les limites des plantations à vocation totale ou partielle bois-énergie ou bois d'oeuvre 
</t>
    </r>
    <r>
      <rPr>
        <sz val="9"/>
        <color rgb="FF00B0F0"/>
        <rFont val="Calibri"/>
        <family val="2"/>
        <scheme val="minor"/>
      </rPr>
      <t>https://drive.google.com/drive/folders/1ebNwzgdecnEt5dvYWCENrTq5u5URGmF0?usp=drive_link</t>
    </r>
  </si>
  <si>
    <r>
      <t xml:space="preserve">Fournir également, via un hyperlien,  le(s) shapefile(s) mettant en exergue les limites des savanes mise en defens
</t>
    </r>
    <r>
      <rPr>
        <sz val="9"/>
        <color rgb="FF00B0F0"/>
        <rFont val="Calibri"/>
        <family val="2"/>
        <scheme val="minor"/>
      </rPr>
      <t>https://drive.google.com/drive/folders/1r32UJKNOAXfNgowtIEno524CimgdrPPg?usp=drive_link</t>
    </r>
  </si>
  <si>
    <t>pas de mesure de suivi de mise en œuvre du PSAT</t>
  </si>
  <si>
    <t>62 PSAT validés</t>
  </si>
  <si>
    <t>Bénéficiaires pour les PSAT</t>
  </si>
  <si>
    <t>-</t>
    <phoneticPr fontId="43"/>
  </si>
  <si>
    <t>N/A</t>
    <phoneticPr fontId="43"/>
  </si>
  <si>
    <t>le nombre des femmes et hommes bénéficiaires direct de l'appui à l'agroforesterie</t>
  </si>
  <si>
    <t>Au moins 3 personnes par ménages participent aux activité agroforestière appuyé par le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</si>
</sst>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scheme val="minor"/>
    </font>
    <font>
      <sz val="11"/>
      <color theme="1"/>
      <name val="Calibri"/>
      <family val="2"/>
      <scheme val="minor"/>
    </font>
    <font>
      <sz val="11"/>
      <color theme="1"/>
      <name val="Avenir"/>
    </font>
    <font>
      <sz val="11"/>
      <color rgb="FF0000FF"/>
      <name val="Avenir"/>
    </font>
    <font>
      <sz val="11"/>
      <color rgb="FFFF0000"/>
      <name val="Avenir"/>
    </font>
    <font>
      <sz val="11"/>
      <color theme="1"/>
      <name val="Calibri"/>
      <family val="2"/>
    </font>
    <font>
      <sz val="9"/>
      <color rgb="FF000000"/>
      <name val="Avenir"/>
    </font>
    <font>
      <sz val="11"/>
      <name val="Calibri"/>
      <family val="2"/>
    </font>
    <font>
      <b/>
      <sz val="8"/>
      <color theme="1"/>
      <name val="Avenir"/>
    </font>
    <font>
      <b/>
      <sz val="8"/>
      <color rgb="FFFFFFFF"/>
      <name val="Avenir"/>
    </font>
    <font>
      <b/>
      <sz val="8"/>
      <color rgb="FF4472C4"/>
      <name val="Avenir"/>
    </font>
    <font>
      <sz val="8"/>
      <color theme="1"/>
      <name val="Avenir"/>
    </font>
    <font>
      <sz val="8"/>
      <color theme="1"/>
      <name val="Calibri"/>
      <family val="2"/>
    </font>
    <font>
      <sz val="8"/>
      <color rgb="FF000000"/>
      <name val="Avenir"/>
    </font>
    <font>
      <sz val="8"/>
      <color rgb="FF4472C4"/>
      <name val="Avenir"/>
    </font>
    <font>
      <b/>
      <sz val="11"/>
      <color rgb="FF000000"/>
      <name val="Avenir"/>
    </font>
    <font>
      <b/>
      <sz val="11"/>
      <color theme="1"/>
      <name val="Calibri"/>
      <family val="2"/>
    </font>
    <font>
      <b/>
      <sz val="10"/>
      <color rgb="FF000000"/>
      <name val="Avenir"/>
    </font>
    <font>
      <b/>
      <sz val="10"/>
      <color theme="1"/>
      <name val="Calibri"/>
      <family val="2"/>
    </font>
    <font>
      <sz val="8"/>
      <color rgb="FFFF0000"/>
      <name val="Avenir"/>
    </font>
    <font>
      <sz val="11"/>
      <color theme="1"/>
      <name val="Avenir"/>
    </font>
    <font>
      <sz val="11"/>
      <color theme="1"/>
      <name val="Calibri"/>
      <family val="2"/>
      <scheme val="minor"/>
    </font>
    <font>
      <b/>
      <sz val="9"/>
      <color theme="1"/>
      <name val="Avenir"/>
    </font>
    <font>
      <b/>
      <sz val="9"/>
      <color rgb="FFFFFFFF"/>
      <name val="Avenir"/>
    </font>
    <font>
      <sz val="9"/>
      <color theme="1"/>
      <name val="Avenir"/>
    </font>
    <font>
      <sz val="9"/>
      <color theme="1"/>
      <name val="Calibri"/>
      <family val="2"/>
    </font>
    <font>
      <sz val="9"/>
      <color theme="1"/>
      <name val="Calibri"/>
      <family val="2"/>
      <scheme val="minor"/>
    </font>
    <font>
      <sz val="9"/>
      <color rgb="FF4472C4"/>
      <name val="Avenir"/>
    </font>
    <font>
      <sz val="9"/>
      <color rgb="FF2E75B5"/>
      <name val="Avenir"/>
    </font>
    <font>
      <b/>
      <sz val="11"/>
      <color theme="1"/>
      <name val="Avenir"/>
    </font>
    <font>
      <i/>
      <sz val="8"/>
      <color theme="1"/>
      <name val="Avenir"/>
    </font>
    <font>
      <i/>
      <sz val="8"/>
      <color theme="1"/>
      <name val="Arial"/>
      <family val="2"/>
    </font>
    <font>
      <sz val="8"/>
      <color theme="1"/>
      <name val="Arial"/>
      <family val="2"/>
    </font>
    <font>
      <sz val="8"/>
      <color rgb="FF4472C4"/>
      <name val="Arial"/>
      <family val="2"/>
    </font>
    <font>
      <i/>
      <sz val="8"/>
      <color theme="1"/>
      <name val="Avenir Next LT Pro"/>
      <family val="2"/>
    </font>
    <font>
      <sz val="8"/>
      <color theme="1"/>
      <name val="Avenir Next LT Pro"/>
      <family val="2"/>
    </font>
    <font>
      <i/>
      <sz val="9"/>
      <color theme="1"/>
      <name val="Avenir"/>
    </font>
    <font>
      <sz val="8"/>
      <color rgb="FF881798"/>
      <name val="Avenir Next LT Pro"/>
      <family val="2"/>
    </font>
    <font>
      <sz val="11"/>
      <color rgb="FFFF0000"/>
      <name val="Calibri"/>
      <family val="2"/>
      <scheme val="minor"/>
    </font>
    <font>
      <sz val="9"/>
      <color theme="4"/>
      <name val="Calibri"/>
      <family val="2"/>
      <scheme val="minor"/>
    </font>
    <font>
      <sz val="9"/>
      <color theme="1"/>
      <name val="Calibri"/>
      <family val="2"/>
      <scheme val="minor"/>
    </font>
    <font>
      <sz val="8"/>
      <color theme="1"/>
      <name val="Calibri"/>
      <family val="2"/>
      <scheme val="minor"/>
    </font>
    <font>
      <sz val="9"/>
      <color rgb="FF00B0F0"/>
      <name val="Calibri"/>
      <family val="2"/>
      <scheme val="minor"/>
    </font>
    <font>
      <sz val="6"/>
      <name val="Calibri"/>
      <family val="3"/>
      <charset val="128"/>
      <scheme val="minor"/>
    </font>
    <font>
      <u/>
      <sz val="8"/>
      <color theme="1"/>
      <name val="Calibri"/>
      <family val="2"/>
    </font>
    <font>
      <sz val="8"/>
      <color theme="8" tint="-0.499984740745262"/>
      <name val="Calibri"/>
      <family val="2"/>
    </font>
    <font>
      <sz val="10"/>
      <color rgb="FFFF0000"/>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indexed="64"/>
      </bottom>
      <diagonal/>
    </border>
    <border>
      <left style="medium">
        <color rgb="FF000000"/>
      </left>
      <right style="medium">
        <color rgb="FF000000"/>
      </right>
      <top style="thin">
        <color rgb="FF000000"/>
      </top>
      <bottom style="thin">
        <color indexed="64"/>
      </bottom>
      <diagonal/>
    </border>
    <border>
      <left style="medium">
        <color rgb="FF000000"/>
      </left>
      <right style="thin">
        <color rgb="FF000000"/>
      </right>
      <top style="thin">
        <color rgb="FF000000"/>
      </top>
      <bottom style="thin">
        <color indexed="64"/>
      </bottom>
      <diagonal/>
    </border>
  </borders>
  <cellStyleXfs count="1">
    <xf numFmtId="0" fontId="0" fillId="0" borderId="0"/>
  </cellStyleXfs>
  <cellXfs count="100">
    <xf numFmtId="0" fontId="0" fillId="0" borderId="0" xfId="0"/>
    <xf numFmtId="0" fontId="2" fillId="0" borderId="0" xfId="0" applyFont="1"/>
    <xf numFmtId="0" fontId="3" fillId="0" borderId="0" xfId="0" applyFont="1"/>
    <xf numFmtId="0" fontId="4" fillId="2" borderId="0" xfId="0" applyFont="1" applyFill="1"/>
    <xf numFmtId="0" fontId="2" fillId="2" borderId="0" xfId="0" applyFont="1" applyFill="1"/>
    <xf numFmtId="0" fontId="2" fillId="2" borderId="1" xfId="0" applyFont="1" applyFill="1" applyBorder="1"/>
    <xf numFmtId="0" fontId="5" fillId="2" borderId="1" xfId="0" applyFont="1" applyFill="1" applyBorder="1"/>
    <xf numFmtId="0" fontId="8" fillId="0" borderId="5" xfId="0" applyFont="1" applyBorder="1" applyAlignment="1">
      <alignment horizontal="center" vertical="center" wrapText="1"/>
    </xf>
    <xf numFmtId="0" fontId="8" fillId="0" borderId="5" xfId="0" applyFont="1" applyBorder="1" applyAlignment="1">
      <alignment horizontal="center"/>
    </xf>
    <xf numFmtId="0" fontId="9"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1" fillId="0" borderId="5" xfId="0" applyFont="1" applyBorder="1" applyAlignment="1">
      <alignment horizontal="center" wrapText="1"/>
    </xf>
    <xf numFmtId="0" fontId="11" fillId="3" borderId="5" xfId="0" applyFont="1" applyFill="1" applyBorder="1" applyAlignment="1">
      <alignment horizontal="center"/>
    </xf>
    <xf numFmtId="0" fontId="11" fillId="0" borderId="5" xfId="0" applyFont="1" applyBorder="1" applyAlignment="1">
      <alignment horizontal="center"/>
    </xf>
    <xf numFmtId="0" fontId="12" fillId="0" borderId="0" xfId="0" applyFont="1" applyAlignment="1">
      <alignment horizontal="center" vertical="center"/>
    </xf>
    <xf numFmtId="0" fontId="11" fillId="0" borderId="5" xfId="0" applyFont="1" applyBorder="1" applyAlignment="1">
      <alignment horizontal="center" vertical="center" wrapText="1"/>
    </xf>
    <xf numFmtId="0" fontId="11" fillId="0" borderId="5" xfId="0" applyFont="1" applyBorder="1"/>
    <xf numFmtId="0" fontId="11" fillId="0" borderId="5" xfId="0" applyFont="1" applyBorder="1" applyAlignment="1">
      <alignment horizontal="center" vertical="center"/>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6" fillId="0" borderId="0" xfId="0" applyFont="1"/>
    <xf numFmtId="0" fontId="11" fillId="0" borderId="0" xfId="0" applyFont="1" applyAlignment="1">
      <alignment horizontal="center" vertical="center"/>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8" fillId="0" borderId="0" xfId="0" applyFont="1"/>
    <xf numFmtId="0" fontId="11" fillId="0" borderId="5" xfId="0" applyFont="1" applyBorder="1" applyAlignment="1">
      <alignment horizontal="left" vertical="center" wrapText="1"/>
    </xf>
    <xf numFmtId="0" fontId="19" fillId="0" borderId="5" xfId="0" applyFont="1" applyBorder="1" applyAlignment="1">
      <alignment horizontal="left" vertical="center" wrapText="1"/>
    </xf>
    <xf numFmtId="0" fontId="20" fillId="0" borderId="0" xfId="0" applyFont="1"/>
    <xf numFmtId="0" fontId="12" fillId="0" borderId="5" xfId="0" applyFont="1" applyBorder="1"/>
    <xf numFmtId="0" fontId="21" fillId="0" borderId="5" xfId="0" applyFont="1" applyBorder="1"/>
    <xf numFmtId="0" fontId="22" fillId="0" borderId="5" xfId="0" applyFont="1" applyBorder="1" applyAlignment="1">
      <alignment horizontal="center" vertical="center" wrapText="1"/>
    </xf>
    <xf numFmtId="0" fontId="22" fillId="0" borderId="5" xfId="0" applyFont="1" applyBorder="1" applyAlignment="1">
      <alignment horizontal="center"/>
    </xf>
    <xf numFmtId="0" fontId="23" fillId="0" borderId="5" xfId="0" applyFont="1" applyBorder="1" applyAlignment="1">
      <alignment horizontal="center" vertical="center" wrapText="1"/>
    </xf>
    <xf numFmtId="0" fontId="24" fillId="0" borderId="5" xfId="0" applyFont="1" applyBorder="1" applyAlignment="1">
      <alignment horizontal="center"/>
    </xf>
    <xf numFmtId="0" fontId="12" fillId="0" borderId="5" xfId="0" applyFont="1" applyBorder="1" applyAlignment="1">
      <alignment horizontal="center" vertical="center"/>
    </xf>
    <xf numFmtId="0" fontId="24" fillId="0" borderId="5" xfId="0" applyFont="1" applyBorder="1" applyAlignment="1">
      <alignment horizontal="left" vertical="center" wrapText="1"/>
    </xf>
    <xf numFmtId="0" fontId="24" fillId="0" borderId="5" xfId="0" applyFont="1" applyBorder="1" applyAlignment="1">
      <alignment horizontal="center" vertical="center" wrapText="1"/>
    </xf>
    <xf numFmtId="0" fontId="25" fillId="0" borderId="5" xfId="0" applyFont="1" applyBorder="1"/>
    <xf numFmtId="0" fontId="26" fillId="0" borderId="5" xfId="0" applyFont="1" applyBorder="1" applyAlignment="1">
      <alignment wrapText="1"/>
    </xf>
    <xf numFmtId="0" fontId="5" fillId="0" borderId="5" xfId="0" applyFont="1" applyBorder="1"/>
    <xf numFmtId="0" fontId="16" fillId="0" borderId="5" xfId="0" applyFont="1" applyBorder="1"/>
    <xf numFmtId="0" fontId="19" fillId="0" borderId="5" xfId="0" applyFont="1" applyBorder="1" applyAlignment="1">
      <alignment horizontal="center" vertical="center" wrapText="1"/>
    </xf>
    <xf numFmtId="0" fontId="27" fillId="0" borderId="5" xfId="0" applyFont="1" applyBorder="1" applyAlignment="1">
      <alignment horizontal="left" vertical="center" wrapText="1"/>
    </xf>
    <xf numFmtId="0" fontId="24" fillId="0" borderId="5" xfId="0" applyFont="1" applyBorder="1"/>
    <xf numFmtId="0" fontId="28" fillId="0" borderId="5" xfId="0" applyFont="1" applyBorder="1" applyAlignment="1">
      <alignment horizontal="left" vertical="center" wrapText="1"/>
    </xf>
    <xf numFmtId="0" fontId="6" fillId="0" borderId="5" xfId="0" applyFont="1" applyBorder="1" applyAlignment="1">
      <alignment horizontal="left" vertical="center" wrapText="1"/>
    </xf>
    <xf numFmtId="0" fontId="18" fillId="0" borderId="5" xfId="0" applyFont="1" applyBorder="1"/>
    <xf numFmtId="0" fontId="40" fillId="0" borderId="5" xfId="0" applyFont="1" applyBorder="1" applyAlignment="1">
      <alignment wrapText="1"/>
    </xf>
    <xf numFmtId="0" fontId="1" fillId="0" borderId="5" xfId="0" applyFont="1" applyBorder="1"/>
    <xf numFmtId="0" fontId="11" fillId="0" borderId="2" xfId="0" applyFont="1" applyBorder="1" applyAlignment="1">
      <alignment horizontal="center"/>
    </xf>
    <xf numFmtId="0" fontId="12" fillId="0" borderId="2" xfId="0" applyFont="1" applyBorder="1"/>
    <xf numFmtId="0" fontId="8" fillId="0" borderId="6" xfId="0" applyFont="1" applyBorder="1" applyAlignment="1">
      <alignment horizontal="center"/>
    </xf>
    <xf numFmtId="0" fontId="0" fillId="0" borderId="9" xfId="0" applyBorder="1"/>
    <xf numFmtId="0" fontId="41" fillId="0" borderId="9" xfId="0" applyFont="1" applyBorder="1" applyAlignment="1">
      <alignment wrapText="1"/>
    </xf>
    <xf numFmtId="0" fontId="1" fillId="0" borderId="5" xfId="0" applyFont="1" applyBorder="1" applyAlignment="1">
      <alignment wrapText="1"/>
    </xf>
    <xf numFmtId="0" fontId="1" fillId="0" borderId="5" xfId="0" applyFont="1" applyBorder="1" applyAlignment="1">
      <alignment horizontal="center" vertical="center"/>
    </xf>
    <xf numFmtId="0" fontId="5" fillId="0" borderId="2" xfId="0" applyFont="1" applyBorder="1"/>
    <xf numFmtId="0" fontId="21" fillId="0" borderId="6" xfId="0" applyFont="1" applyBorder="1"/>
    <xf numFmtId="0" fontId="41" fillId="0" borderId="9" xfId="0" applyFont="1" applyBorder="1" applyAlignment="1">
      <alignment vertical="center"/>
    </xf>
    <xf numFmtId="0" fontId="38" fillId="0" borderId="5" xfId="0" applyFont="1" applyBorder="1"/>
    <xf numFmtId="0" fontId="41" fillId="0" borderId="0" xfId="0" applyFont="1"/>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0" fillId="0" borderId="5" xfId="0" applyBorder="1"/>
    <xf numFmtId="0" fontId="44" fillId="0" borderId="5" xfId="0" applyFont="1" applyBorder="1"/>
    <xf numFmtId="0" fontId="1" fillId="0" borderId="0" xfId="0" applyFont="1"/>
    <xf numFmtId="0" fontId="6" fillId="0" borderId="2" xfId="0" applyFont="1" applyBorder="1" applyAlignment="1">
      <alignment horizontal="center"/>
    </xf>
    <xf numFmtId="0" fontId="7" fillId="0" borderId="3" xfId="0" applyFont="1" applyBorder="1"/>
    <xf numFmtId="0" fontId="7" fillId="0" borderId="4" xfId="0" applyFont="1" applyBorder="1"/>
    <xf numFmtId="0" fontId="8" fillId="0" borderId="2" xfId="0" applyFont="1" applyBorder="1" applyAlignment="1">
      <alignment horizontal="center" vertical="center" wrapText="1"/>
    </xf>
    <xf numFmtId="0" fontId="11" fillId="0" borderId="6" xfId="0" applyFont="1" applyBorder="1" applyAlignment="1">
      <alignment horizontal="center" vertical="center" wrapText="1"/>
    </xf>
    <xf numFmtId="0" fontId="7" fillId="0" borderId="7" xfId="0" applyFont="1" applyBorder="1"/>
    <xf numFmtId="0" fontId="7" fillId="0" borderId="8" xfId="0" applyFont="1" applyBorder="1"/>
    <xf numFmtId="0" fontId="12" fillId="0" borderId="0" xfId="0" applyFont="1" applyAlignment="1">
      <alignment horizontal="center" vertical="center"/>
    </xf>
    <xf numFmtId="0" fontId="0" fillId="0" borderId="0" xfId="0"/>
    <xf numFmtId="0" fontId="13" fillId="0" borderId="6" xfId="0" applyFont="1" applyBorder="1" applyAlignment="1">
      <alignment horizontal="center" vertical="center"/>
    </xf>
    <xf numFmtId="0" fontId="14" fillId="0" borderId="6" xfId="0" applyFont="1" applyBorder="1" applyAlignment="1">
      <alignment horizontal="center" vertical="center" wrapText="1"/>
    </xf>
    <xf numFmtId="0" fontId="19" fillId="0" borderId="6" xfId="0" applyFont="1" applyBorder="1" applyAlignment="1">
      <alignment horizontal="left" vertical="center" wrapText="1"/>
    </xf>
    <xf numFmtId="0" fontId="15" fillId="0" borderId="2" xfId="0" applyFont="1" applyBorder="1" applyAlignment="1">
      <alignment horizontal="center"/>
    </xf>
    <xf numFmtId="0" fontId="11" fillId="0" borderId="0" xfId="0" applyFont="1" applyAlignment="1">
      <alignment horizontal="center" vertical="center"/>
    </xf>
    <xf numFmtId="0" fontId="14" fillId="0" borderId="6" xfId="0" applyFont="1" applyBorder="1" applyAlignment="1">
      <alignment horizontal="left" vertical="center" wrapText="1"/>
    </xf>
    <xf numFmtId="0" fontId="17" fillId="0" borderId="2" xfId="0" applyFont="1" applyBorder="1" applyAlignment="1">
      <alignment horizontal="center" vertical="center"/>
    </xf>
    <xf numFmtId="0" fontId="11" fillId="0" borderId="6" xfId="0" applyFont="1" applyBorder="1" applyAlignment="1">
      <alignment horizontal="left" vertical="center" wrapText="1"/>
    </xf>
    <xf numFmtId="0" fontId="17" fillId="0" borderId="2" xfId="0" applyFont="1" applyBorder="1" applyAlignment="1">
      <alignment horizontal="center"/>
    </xf>
    <xf numFmtId="0" fontId="22" fillId="0" borderId="2" xfId="0" applyFont="1" applyBorder="1" applyAlignment="1">
      <alignment horizontal="center" vertical="center" wrapText="1"/>
    </xf>
    <xf numFmtId="0" fontId="12" fillId="0" borderId="6" xfId="0" applyFont="1" applyBorder="1" applyAlignment="1">
      <alignment horizontal="center" vertical="center"/>
    </xf>
    <xf numFmtId="0" fontId="15" fillId="0" borderId="2" xfId="0" applyFont="1" applyBorder="1" applyAlignment="1">
      <alignment horizontal="center" vertical="center"/>
    </xf>
    <xf numFmtId="0" fontId="24" fillId="0" borderId="6" xfId="0" applyFont="1" applyBorder="1" applyAlignment="1">
      <alignment horizontal="center" vertical="center" wrapText="1"/>
    </xf>
    <xf numFmtId="0" fontId="12" fillId="0" borderId="6" xfId="0" applyFont="1" applyFill="1" applyBorder="1" applyAlignment="1">
      <alignment horizontal="center" vertical="center"/>
    </xf>
    <xf numFmtId="0" fontId="11" fillId="0" borderId="5" xfId="0" applyFont="1" applyFill="1" applyBorder="1" applyAlignment="1">
      <alignment horizontal="left" vertical="center" wrapText="1"/>
    </xf>
    <xf numFmtId="0" fontId="11" fillId="0" borderId="6" xfId="0" applyFont="1" applyFill="1" applyBorder="1" applyAlignment="1">
      <alignment horizontal="center" vertical="center" wrapText="1"/>
    </xf>
    <xf numFmtId="0" fontId="25" fillId="0" borderId="5" xfId="0" applyFont="1" applyFill="1" applyBorder="1"/>
    <xf numFmtId="0" fontId="45" fillId="0" borderId="5" xfId="0" applyFont="1" applyFill="1" applyBorder="1"/>
    <xf numFmtId="0" fontId="46" fillId="0" borderId="5" xfId="0" applyFont="1" applyFill="1" applyBorder="1" applyAlignment="1">
      <alignment wrapText="1"/>
    </xf>
    <xf numFmtId="0" fontId="0" fillId="0" borderId="0" xfId="0" applyFill="1"/>
    <xf numFmtId="0" fontId="7" fillId="0" borderId="8" xfId="0" applyFont="1"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heetViews>
  <sheetFormatPr defaultColWidth="14.453125" defaultRowHeight="15" customHeight="1"/>
  <cols>
    <col min="1" max="1" width="20.26953125" customWidth="1"/>
    <col min="2" max="26" width="8.7265625" customWidth="1"/>
  </cols>
  <sheetData>
    <row r="1" spans="1:26" ht="127.5" customHeight="1"/>
    <row r="2" spans="1:26" ht="14.25" customHeight="1">
      <c r="A2" s="1" t="s">
        <v>0</v>
      </c>
    </row>
    <row r="3" spans="1:26" ht="14.25" customHeight="1">
      <c r="A3" s="1" t="s">
        <v>1</v>
      </c>
    </row>
    <row r="4" spans="1:26" ht="14.25" customHeight="1">
      <c r="A4" s="2"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3" t="s">
        <v>4</v>
      </c>
      <c r="B7" s="4"/>
      <c r="C7" s="4"/>
      <c r="D7" s="4"/>
      <c r="E7" s="4"/>
      <c r="F7" s="4"/>
      <c r="G7" s="4"/>
      <c r="H7" s="4"/>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5" t="s">
        <v>9</v>
      </c>
      <c r="B13" s="6"/>
      <c r="C13" s="6"/>
      <c r="D13" s="6"/>
      <c r="E13" s="6"/>
      <c r="F13" s="6"/>
      <c r="G13" s="6"/>
      <c r="H13" s="6"/>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honeticPr fontId="43"/>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opLeftCell="A6" workbookViewId="0">
      <selection activeCell="E10" sqref="E10:J11"/>
    </sheetView>
  </sheetViews>
  <sheetFormatPr defaultColWidth="14.453125" defaultRowHeight="15" customHeight="1"/>
  <cols>
    <col min="1" max="1" width="14.26953125" customWidth="1"/>
    <col min="2" max="2" width="8.7265625" customWidth="1"/>
    <col min="3" max="3" width="39.453125" customWidth="1"/>
    <col min="4" max="5" width="8.7265625" customWidth="1"/>
    <col min="6" max="6" width="9.81640625" customWidth="1"/>
    <col min="7" max="10" width="8.7265625" customWidth="1"/>
    <col min="11" max="11" width="46.1796875" customWidth="1"/>
    <col min="12" max="29" width="8.7265625" customWidth="1"/>
  </cols>
  <sheetData>
    <row r="1" spans="1:11" ht="14.25" customHeight="1">
      <c r="A1" s="70" t="s">
        <v>10</v>
      </c>
      <c r="B1" s="71"/>
      <c r="C1" s="71"/>
      <c r="D1" s="71"/>
      <c r="E1" s="71"/>
      <c r="F1" s="71"/>
      <c r="G1" s="71"/>
      <c r="H1" s="71"/>
      <c r="I1" s="71"/>
      <c r="J1" s="72"/>
    </row>
    <row r="2" spans="1:11" ht="14.25" customHeight="1">
      <c r="A2" s="7" t="s">
        <v>11</v>
      </c>
      <c r="B2" s="7" t="s">
        <v>12</v>
      </c>
      <c r="C2" s="7" t="s">
        <v>13</v>
      </c>
      <c r="D2" s="7" t="s">
        <v>14</v>
      </c>
      <c r="E2" s="73" t="s">
        <v>15</v>
      </c>
      <c r="F2" s="71"/>
      <c r="G2" s="72"/>
      <c r="H2" s="73" t="s">
        <v>16</v>
      </c>
      <c r="I2" s="71"/>
      <c r="J2" s="72"/>
      <c r="K2" s="8" t="s">
        <v>17</v>
      </c>
    </row>
    <row r="3" spans="1:11" ht="28.5" customHeight="1">
      <c r="A3" s="7"/>
      <c r="B3" s="9"/>
      <c r="C3" s="10" t="s">
        <v>18</v>
      </c>
      <c r="D3" s="7"/>
      <c r="E3" s="11" t="s">
        <v>19</v>
      </c>
      <c r="F3" s="11" t="s">
        <v>20</v>
      </c>
      <c r="G3" s="12" t="s">
        <v>21</v>
      </c>
      <c r="H3" s="13">
        <v>2021</v>
      </c>
      <c r="I3" s="13">
        <v>2022</v>
      </c>
      <c r="J3" s="13">
        <v>2023</v>
      </c>
    </row>
    <row r="4" spans="1:11" ht="39" customHeight="1">
      <c r="A4" s="74" t="s">
        <v>22</v>
      </c>
      <c r="B4" s="14" t="s">
        <v>23</v>
      </c>
      <c r="C4" s="15" t="s">
        <v>24</v>
      </c>
      <c r="D4" s="15" t="s">
        <v>25</v>
      </c>
      <c r="E4" s="16" t="s">
        <v>194</v>
      </c>
      <c r="F4" s="16" t="s">
        <v>194</v>
      </c>
      <c r="G4" s="16" t="s">
        <v>194</v>
      </c>
      <c r="H4" s="16" t="s">
        <v>195</v>
      </c>
      <c r="I4" s="16" t="s">
        <v>195</v>
      </c>
      <c r="J4" s="16" t="s">
        <v>195</v>
      </c>
    </row>
    <row r="5" spans="1:11" ht="58.5" customHeight="1">
      <c r="A5" s="75"/>
      <c r="B5" s="14" t="s">
        <v>26</v>
      </c>
      <c r="C5" s="15" t="s">
        <v>27</v>
      </c>
      <c r="D5" s="15" t="s">
        <v>25</v>
      </c>
      <c r="E5" s="16" t="s">
        <v>194</v>
      </c>
      <c r="F5" s="16" t="s">
        <v>194</v>
      </c>
      <c r="G5" s="16" t="s">
        <v>194</v>
      </c>
      <c r="H5" s="16" t="s">
        <v>195</v>
      </c>
      <c r="I5" s="16" t="s">
        <v>195</v>
      </c>
      <c r="J5" s="16" t="s">
        <v>195</v>
      </c>
    </row>
    <row r="6" spans="1:11" ht="58.5" customHeight="1">
      <c r="A6" s="75"/>
      <c r="B6" s="64" t="s">
        <v>28</v>
      </c>
      <c r="C6" s="65" t="s">
        <v>29</v>
      </c>
      <c r="D6" s="66" t="s">
        <v>25</v>
      </c>
      <c r="E6" s="16" t="s">
        <v>194</v>
      </c>
      <c r="F6" s="16" t="s">
        <v>194</v>
      </c>
      <c r="G6" s="16" t="s">
        <v>194</v>
      </c>
      <c r="H6" s="16" t="s">
        <v>195</v>
      </c>
      <c r="I6" s="16" t="s">
        <v>195</v>
      </c>
      <c r="J6" s="16" t="s">
        <v>195</v>
      </c>
    </row>
    <row r="7" spans="1:11" ht="58.5" customHeight="1">
      <c r="A7" s="76"/>
      <c r="B7" s="61">
        <v>4</v>
      </c>
      <c r="C7" s="62" t="s">
        <v>30</v>
      </c>
      <c r="D7" s="63" t="s">
        <v>25</v>
      </c>
      <c r="E7" s="16" t="s">
        <v>194</v>
      </c>
      <c r="F7" s="16" t="s">
        <v>194</v>
      </c>
      <c r="G7" s="16" t="s">
        <v>194</v>
      </c>
      <c r="H7" s="16" t="s">
        <v>195</v>
      </c>
      <c r="I7" s="16" t="s">
        <v>195</v>
      </c>
      <c r="J7" s="16" t="s">
        <v>195</v>
      </c>
    </row>
    <row r="8" spans="1:11" ht="39" customHeight="1">
      <c r="A8" s="74" t="s">
        <v>31</v>
      </c>
      <c r="B8" s="14">
        <v>5</v>
      </c>
      <c r="C8" s="15" t="s">
        <v>32</v>
      </c>
      <c r="D8" s="15" t="s">
        <v>33</v>
      </c>
      <c r="E8" s="16" t="s">
        <v>194</v>
      </c>
      <c r="F8" s="16" t="s">
        <v>194</v>
      </c>
      <c r="G8" s="16" t="s">
        <v>194</v>
      </c>
      <c r="H8" s="16" t="s">
        <v>195</v>
      </c>
      <c r="I8" s="16" t="s">
        <v>195</v>
      </c>
      <c r="J8" s="16" t="s">
        <v>195</v>
      </c>
    </row>
    <row r="9" spans="1:11" ht="39" customHeight="1">
      <c r="A9" s="75"/>
      <c r="B9" s="14">
        <v>6</v>
      </c>
      <c r="C9" s="15" t="s">
        <v>34</v>
      </c>
      <c r="D9" s="15" t="s">
        <v>35</v>
      </c>
      <c r="E9" s="16" t="s">
        <v>194</v>
      </c>
      <c r="F9" s="16" t="s">
        <v>194</v>
      </c>
      <c r="G9" s="16" t="s">
        <v>194</v>
      </c>
      <c r="H9" s="16" t="s">
        <v>195</v>
      </c>
      <c r="I9" s="16" t="s">
        <v>195</v>
      </c>
      <c r="J9" s="16" t="s">
        <v>195</v>
      </c>
    </row>
    <row r="10" spans="1:11" ht="32.25" customHeight="1">
      <c r="A10" s="75"/>
      <c r="B10" s="77">
        <v>7</v>
      </c>
      <c r="C10" s="74" t="s">
        <v>36</v>
      </c>
      <c r="D10" s="79" t="s">
        <v>33</v>
      </c>
      <c r="E10" s="16" t="s">
        <v>194</v>
      </c>
      <c r="F10" s="16" t="s">
        <v>194</v>
      </c>
      <c r="G10" s="16" t="s">
        <v>194</v>
      </c>
      <c r="H10" s="16" t="s">
        <v>195</v>
      </c>
      <c r="I10" s="16" t="s">
        <v>195</v>
      </c>
      <c r="J10" s="16" t="s">
        <v>195</v>
      </c>
    </row>
    <row r="11" spans="1:11" ht="33" customHeight="1">
      <c r="A11" s="75"/>
      <c r="B11" s="78"/>
      <c r="C11" s="76"/>
      <c r="D11" s="76"/>
      <c r="E11" s="16" t="s">
        <v>194</v>
      </c>
      <c r="F11" s="16" t="s">
        <v>194</v>
      </c>
      <c r="G11" s="16" t="s">
        <v>194</v>
      </c>
      <c r="H11" s="16" t="s">
        <v>195</v>
      </c>
      <c r="I11" s="16" t="s">
        <v>195</v>
      </c>
      <c r="J11" s="16" t="s">
        <v>195</v>
      </c>
    </row>
    <row r="12" spans="1:11" ht="54.5" customHeight="1">
      <c r="A12" s="75"/>
      <c r="B12" s="77">
        <v>8</v>
      </c>
      <c r="C12" s="80" t="s">
        <v>37</v>
      </c>
      <c r="D12" s="74" t="s">
        <v>38</v>
      </c>
      <c r="E12" s="16" t="s">
        <v>194</v>
      </c>
      <c r="F12" s="16" t="s">
        <v>194</v>
      </c>
      <c r="G12" s="16" t="s">
        <v>194</v>
      </c>
      <c r="H12" s="16" t="s">
        <v>195</v>
      </c>
      <c r="I12" s="16" t="s">
        <v>195</v>
      </c>
      <c r="J12" s="16" t="s">
        <v>195</v>
      </c>
    </row>
    <row r="13" spans="1:11" ht="17" customHeight="1">
      <c r="A13" s="75"/>
      <c r="B13" s="78"/>
      <c r="C13" s="75"/>
      <c r="D13" s="75"/>
      <c r="E13" s="16" t="s">
        <v>194</v>
      </c>
      <c r="F13" s="16" t="s">
        <v>194</v>
      </c>
      <c r="G13" s="16" t="s">
        <v>194</v>
      </c>
      <c r="H13" s="16" t="s">
        <v>195</v>
      </c>
      <c r="I13" s="16" t="s">
        <v>195</v>
      </c>
      <c r="J13" s="16" t="s">
        <v>195</v>
      </c>
    </row>
    <row r="14" spans="1:11" ht="11" hidden="1" customHeight="1">
      <c r="A14" s="75"/>
      <c r="B14" s="78"/>
      <c r="C14" s="76"/>
      <c r="D14" s="76"/>
      <c r="E14" s="17"/>
      <c r="F14" s="17"/>
      <c r="G14" s="17"/>
      <c r="H14" s="17"/>
      <c r="I14" s="17"/>
      <c r="J14" s="17"/>
    </row>
    <row r="15" spans="1:11" ht="25.5" customHeight="1">
      <c r="A15" s="75"/>
      <c r="B15" s="77">
        <v>9</v>
      </c>
      <c r="C15" s="80" t="s">
        <v>39</v>
      </c>
      <c r="D15" s="79" t="s">
        <v>40</v>
      </c>
      <c r="E15" s="16" t="s">
        <v>194</v>
      </c>
      <c r="F15" s="16" t="s">
        <v>194</v>
      </c>
      <c r="G15" s="16" t="s">
        <v>194</v>
      </c>
      <c r="H15" s="16" t="s">
        <v>195</v>
      </c>
      <c r="I15" s="16" t="s">
        <v>195</v>
      </c>
      <c r="J15" s="16" t="s">
        <v>195</v>
      </c>
    </row>
    <row r="16" spans="1:11" ht="18" customHeight="1">
      <c r="A16" s="75"/>
      <c r="B16" s="78"/>
      <c r="C16" s="76"/>
      <c r="D16" s="76"/>
      <c r="E16" s="16" t="s">
        <v>194</v>
      </c>
      <c r="F16" s="16" t="s">
        <v>194</v>
      </c>
      <c r="G16" s="16" t="s">
        <v>194</v>
      </c>
      <c r="H16" s="16" t="s">
        <v>195</v>
      </c>
      <c r="I16" s="16" t="s">
        <v>195</v>
      </c>
      <c r="J16" s="16" t="s">
        <v>195</v>
      </c>
    </row>
    <row r="17" spans="1:10" ht="37.5" customHeight="1">
      <c r="A17" s="76"/>
      <c r="B17" s="18">
        <v>10</v>
      </c>
      <c r="C17" s="19" t="s">
        <v>41</v>
      </c>
      <c r="D17" s="18" t="s">
        <v>40</v>
      </c>
      <c r="E17" s="16" t="s">
        <v>194</v>
      </c>
      <c r="F17" s="16" t="s">
        <v>194</v>
      </c>
      <c r="G17" s="16" t="s">
        <v>194</v>
      </c>
      <c r="H17" s="16" t="s">
        <v>195</v>
      </c>
      <c r="I17" s="16" t="s">
        <v>195</v>
      </c>
      <c r="J17" s="16" t="s">
        <v>195</v>
      </c>
    </row>
    <row r="18" spans="1:10" ht="14.25" customHeight="1"/>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J1"/>
    <mergeCell ref="E2:G2"/>
    <mergeCell ref="A4:A7"/>
    <mergeCell ref="A8:A17"/>
    <mergeCell ref="B10:B11"/>
    <mergeCell ref="C10:C11"/>
    <mergeCell ref="H2:J2"/>
    <mergeCell ref="D10:D11"/>
    <mergeCell ref="B12:B14"/>
    <mergeCell ref="C12:C14"/>
    <mergeCell ref="B15:B16"/>
    <mergeCell ref="C15:C16"/>
    <mergeCell ref="D15:D16"/>
    <mergeCell ref="D12:D14"/>
  </mergeCells>
  <phoneticPr fontId="43"/>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6"/>
  <sheetViews>
    <sheetView topLeftCell="A10" workbookViewId="0">
      <selection activeCell="B23" sqref="B23"/>
    </sheetView>
  </sheetViews>
  <sheetFormatPr defaultColWidth="14.453125" defaultRowHeight="15" customHeight="1"/>
  <cols>
    <col min="1" max="1" width="8.7265625" customWidth="1"/>
    <col min="2" max="2" width="54.26953125" customWidth="1"/>
    <col min="3" max="9" width="8.7265625" customWidth="1"/>
    <col min="10" max="10" width="36.453125" customWidth="1"/>
    <col min="11" max="29" width="8.7265625" customWidth="1"/>
  </cols>
  <sheetData>
    <row r="1" spans="1:29" ht="14.25" customHeight="1">
      <c r="A1" s="82" t="s">
        <v>42</v>
      </c>
      <c r="B1" s="71"/>
      <c r="C1" s="71"/>
      <c r="D1" s="71"/>
      <c r="E1" s="71"/>
      <c r="F1" s="71"/>
      <c r="G1" s="71"/>
      <c r="H1" s="71"/>
      <c r="I1" s="72"/>
      <c r="J1" s="20"/>
      <c r="K1" s="20"/>
      <c r="L1" s="20"/>
      <c r="M1" s="20"/>
      <c r="N1" s="20"/>
      <c r="O1" s="20"/>
      <c r="P1" s="20"/>
      <c r="Q1" s="20"/>
      <c r="R1" s="20"/>
      <c r="S1" s="20"/>
      <c r="T1" s="20"/>
      <c r="U1" s="20"/>
      <c r="V1" s="20"/>
      <c r="W1" s="20"/>
      <c r="X1" s="20"/>
      <c r="Y1" s="20"/>
      <c r="Z1" s="20"/>
      <c r="AA1" s="20"/>
      <c r="AB1" s="20"/>
      <c r="AC1" s="20"/>
    </row>
    <row r="2" spans="1:29" ht="14.25" customHeight="1">
      <c r="A2" s="7" t="s">
        <v>12</v>
      </c>
      <c r="B2" s="7" t="s">
        <v>13</v>
      </c>
      <c r="C2" s="7" t="s">
        <v>14</v>
      </c>
      <c r="D2" s="73" t="s">
        <v>15</v>
      </c>
      <c r="E2" s="71"/>
      <c r="F2" s="72"/>
      <c r="G2" s="73" t="s">
        <v>16</v>
      </c>
      <c r="H2" s="71"/>
      <c r="I2" s="72"/>
      <c r="J2" s="8" t="s">
        <v>17</v>
      </c>
    </row>
    <row r="3" spans="1:29" ht="20" customHeight="1">
      <c r="A3" s="9"/>
      <c r="B3" s="10" t="s">
        <v>18</v>
      </c>
      <c r="C3" s="7"/>
      <c r="D3" s="11" t="s">
        <v>19</v>
      </c>
      <c r="E3" s="11" t="s">
        <v>20</v>
      </c>
      <c r="F3" s="13" t="s">
        <v>21</v>
      </c>
      <c r="G3" s="13">
        <v>2021</v>
      </c>
      <c r="H3" s="13">
        <v>2022</v>
      </c>
      <c r="I3" s="13">
        <v>2023</v>
      </c>
      <c r="J3" s="67"/>
    </row>
    <row r="4" spans="1:29" ht="29.25" customHeight="1">
      <c r="A4" s="83" t="s">
        <v>43</v>
      </c>
      <c r="B4" s="84" t="s">
        <v>44</v>
      </c>
      <c r="C4" s="74" t="s">
        <v>40</v>
      </c>
      <c r="D4" s="16" t="s">
        <v>194</v>
      </c>
      <c r="E4" s="16" t="s">
        <v>194</v>
      </c>
      <c r="F4" s="16" t="s">
        <v>194</v>
      </c>
      <c r="G4" s="16" t="s">
        <v>195</v>
      </c>
      <c r="H4" s="16" t="s">
        <v>195</v>
      </c>
      <c r="I4" s="16" t="s">
        <v>195</v>
      </c>
      <c r="J4" s="67"/>
    </row>
    <row r="5" spans="1:29" ht="35.25" customHeight="1">
      <c r="A5" s="78"/>
      <c r="B5" s="76"/>
      <c r="C5" s="76"/>
      <c r="D5" s="16" t="s">
        <v>194</v>
      </c>
      <c r="E5" s="16" t="s">
        <v>194</v>
      </c>
      <c r="F5" s="16" t="s">
        <v>194</v>
      </c>
      <c r="G5" s="16" t="s">
        <v>195</v>
      </c>
      <c r="H5" s="16" t="s">
        <v>195</v>
      </c>
      <c r="I5" s="16" t="s">
        <v>195</v>
      </c>
      <c r="J5" s="67"/>
    </row>
    <row r="6" spans="1:29" ht="28.5" customHeight="1">
      <c r="A6" s="83" t="s">
        <v>45</v>
      </c>
      <c r="B6" s="84" t="s">
        <v>46</v>
      </c>
      <c r="C6" s="74" t="s">
        <v>40</v>
      </c>
      <c r="D6" s="16" t="s">
        <v>194</v>
      </c>
      <c r="E6" s="16" t="s">
        <v>194</v>
      </c>
      <c r="F6" s="16" t="s">
        <v>194</v>
      </c>
      <c r="G6" s="16" t="s">
        <v>195</v>
      </c>
      <c r="H6" s="16" t="s">
        <v>195</v>
      </c>
      <c r="I6" s="16" t="s">
        <v>195</v>
      </c>
      <c r="J6" s="67"/>
    </row>
    <row r="7" spans="1:29" ht="21.75" customHeight="1">
      <c r="A7" s="78"/>
      <c r="B7" s="76"/>
      <c r="C7" s="76"/>
      <c r="D7" s="16" t="s">
        <v>194</v>
      </c>
      <c r="E7" s="16" t="s">
        <v>194</v>
      </c>
      <c r="F7" s="16" t="s">
        <v>194</v>
      </c>
      <c r="G7" s="16" t="s">
        <v>195</v>
      </c>
      <c r="H7" s="16" t="s">
        <v>195</v>
      </c>
      <c r="I7" s="16" t="s">
        <v>195</v>
      </c>
      <c r="J7" s="67"/>
    </row>
    <row r="8" spans="1:29" ht="52.5" customHeight="1">
      <c r="A8" s="21" t="s">
        <v>47</v>
      </c>
      <c r="B8" s="22" t="s">
        <v>48</v>
      </c>
      <c r="C8" s="15" t="s">
        <v>40</v>
      </c>
      <c r="D8" s="16" t="s">
        <v>194</v>
      </c>
      <c r="E8" s="16" t="s">
        <v>194</v>
      </c>
      <c r="F8" s="16" t="s">
        <v>194</v>
      </c>
      <c r="G8" s="16" t="s">
        <v>195</v>
      </c>
      <c r="H8" s="16" t="s">
        <v>195</v>
      </c>
      <c r="I8" s="16" t="s">
        <v>195</v>
      </c>
      <c r="J8" s="67"/>
    </row>
    <row r="9" spans="1:29" ht="114.75" customHeight="1">
      <c r="A9" s="21" t="s">
        <v>49</v>
      </c>
      <c r="B9" s="23" t="s">
        <v>50</v>
      </c>
      <c r="C9" s="15" t="s">
        <v>40</v>
      </c>
      <c r="D9" s="16" t="s">
        <v>194</v>
      </c>
      <c r="E9" s="16" t="s">
        <v>194</v>
      </c>
      <c r="F9" s="16" t="s">
        <v>194</v>
      </c>
      <c r="G9" s="16" t="s">
        <v>195</v>
      </c>
      <c r="H9" s="16" t="s">
        <v>195</v>
      </c>
      <c r="I9" s="16" t="s">
        <v>195</v>
      </c>
      <c r="J9" s="67"/>
    </row>
    <row r="10" spans="1:29" ht="33" customHeight="1">
      <c r="A10" s="85" t="s">
        <v>51</v>
      </c>
      <c r="B10" s="71"/>
      <c r="C10" s="71"/>
      <c r="D10" s="71"/>
      <c r="E10" s="71"/>
      <c r="F10" s="71"/>
      <c r="G10" s="71"/>
      <c r="H10" s="71"/>
      <c r="I10" s="72"/>
      <c r="J10" s="46"/>
      <c r="K10" s="24"/>
      <c r="L10" s="24"/>
      <c r="M10" s="24"/>
      <c r="N10" s="24"/>
      <c r="O10" s="24"/>
      <c r="P10" s="24"/>
      <c r="Q10" s="24"/>
      <c r="R10" s="24"/>
      <c r="S10" s="24"/>
      <c r="T10" s="24"/>
      <c r="U10" s="24"/>
      <c r="V10" s="24"/>
      <c r="W10" s="24"/>
      <c r="X10" s="24"/>
      <c r="Y10" s="24"/>
      <c r="Z10" s="24"/>
      <c r="AA10" s="24"/>
      <c r="AB10" s="24"/>
      <c r="AC10" s="24"/>
    </row>
    <row r="11" spans="1:29" ht="14.25" customHeight="1">
      <c r="A11" s="74">
        <v>8</v>
      </c>
      <c r="B11" s="22" t="s">
        <v>52</v>
      </c>
      <c r="C11" s="86" t="s">
        <v>25</v>
      </c>
      <c r="D11" s="16" t="s">
        <v>194</v>
      </c>
      <c r="E11" s="16" t="s">
        <v>194</v>
      </c>
      <c r="F11" s="16" t="s">
        <v>194</v>
      </c>
      <c r="G11" s="16" t="s">
        <v>195</v>
      </c>
      <c r="H11" s="16" t="s">
        <v>195</v>
      </c>
      <c r="I11" s="16" t="s">
        <v>195</v>
      </c>
      <c r="J11" s="67"/>
    </row>
    <row r="12" spans="1:29" ht="42.75" customHeight="1">
      <c r="A12" s="76"/>
      <c r="B12" s="25" t="s">
        <v>53</v>
      </c>
      <c r="C12" s="76"/>
      <c r="D12" s="16" t="s">
        <v>194</v>
      </c>
      <c r="E12" s="16" t="s">
        <v>194</v>
      </c>
      <c r="F12" s="16" t="s">
        <v>194</v>
      </c>
      <c r="G12" s="16" t="s">
        <v>195</v>
      </c>
      <c r="H12" s="16" t="s">
        <v>195</v>
      </c>
      <c r="I12" s="16" t="s">
        <v>195</v>
      </c>
      <c r="J12" s="67"/>
    </row>
    <row r="13" spans="1:29" ht="23.5" customHeight="1">
      <c r="A13" s="74">
        <v>9</v>
      </c>
      <c r="B13" s="22" t="s">
        <v>54</v>
      </c>
      <c r="C13" s="86" t="s">
        <v>40</v>
      </c>
      <c r="D13" s="16" t="s">
        <v>194</v>
      </c>
      <c r="E13" s="16" t="s">
        <v>194</v>
      </c>
      <c r="F13" s="16" t="s">
        <v>194</v>
      </c>
      <c r="G13" s="16" t="s">
        <v>195</v>
      </c>
      <c r="H13" s="16" t="s">
        <v>195</v>
      </c>
      <c r="I13" s="16" t="s">
        <v>195</v>
      </c>
      <c r="J13" s="67"/>
    </row>
    <row r="14" spans="1:29" ht="25.5" customHeight="1">
      <c r="A14" s="76"/>
      <c r="B14" s="25" t="s">
        <v>55</v>
      </c>
      <c r="C14" s="76"/>
      <c r="D14" s="16" t="s">
        <v>194</v>
      </c>
      <c r="E14" s="16" t="s">
        <v>194</v>
      </c>
      <c r="F14" s="16" t="s">
        <v>194</v>
      </c>
      <c r="G14" s="16" t="s">
        <v>195</v>
      </c>
      <c r="H14" s="16" t="s">
        <v>195</v>
      </c>
      <c r="I14" s="16" t="s">
        <v>195</v>
      </c>
      <c r="J14" s="67"/>
    </row>
    <row r="15" spans="1:29" ht="50.5" customHeight="1">
      <c r="A15" s="74">
        <v>10</v>
      </c>
      <c r="B15" s="22" t="s">
        <v>56</v>
      </c>
      <c r="C15" s="81"/>
      <c r="D15" s="16" t="s">
        <v>194</v>
      </c>
      <c r="E15" s="16" t="s">
        <v>194</v>
      </c>
      <c r="F15" s="16" t="s">
        <v>194</v>
      </c>
      <c r="G15" s="16" t="s">
        <v>195</v>
      </c>
      <c r="H15" s="16" t="s">
        <v>195</v>
      </c>
      <c r="I15" s="16" t="s">
        <v>195</v>
      </c>
      <c r="J15" s="67"/>
    </row>
    <row r="16" spans="1:29" ht="14.25" customHeight="1">
      <c r="A16" s="75"/>
      <c r="B16" s="25" t="s">
        <v>57</v>
      </c>
      <c r="C16" s="75"/>
      <c r="D16" s="16" t="s">
        <v>194</v>
      </c>
      <c r="E16" s="16" t="s">
        <v>194</v>
      </c>
      <c r="F16" s="16" t="s">
        <v>194</v>
      </c>
      <c r="G16" s="16" t="s">
        <v>195</v>
      </c>
      <c r="H16" s="16" t="s">
        <v>195</v>
      </c>
      <c r="I16" s="16" t="s">
        <v>195</v>
      </c>
      <c r="J16" s="67"/>
    </row>
    <row r="17" spans="1:10" ht="14.25" customHeight="1">
      <c r="A17" s="75"/>
      <c r="B17" s="25" t="s">
        <v>58</v>
      </c>
      <c r="C17" s="75"/>
      <c r="D17" s="16" t="s">
        <v>194</v>
      </c>
      <c r="E17" s="16" t="s">
        <v>194</v>
      </c>
      <c r="F17" s="16" t="s">
        <v>194</v>
      </c>
      <c r="G17" s="16" t="s">
        <v>195</v>
      </c>
      <c r="H17" s="16" t="s">
        <v>195</v>
      </c>
      <c r="I17" s="16" t="s">
        <v>195</v>
      </c>
      <c r="J17" s="67"/>
    </row>
    <row r="18" spans="1:10" ht="14.25" customHeight="1">
      <c r="A18" s="75"/>
      <c r="B18" s="25" t="s">
        <v>59</v>
      </c>
      <c r="C18" s="75"/>
      <c r="D18" s="16" t="s">
        <v>194</v>
      </c>
      <c r="E18" s="16" t="s">
        <v>194</v>
      </c>
      <c r="F18" s="16" t="s">
        <v>194</v>
      </c>
      <c r="G18" s="16" t="s">
        <v>195</v>
      </c>
      <c r="H18" s="16" t="s">
        <v>195</v>
      </c>
      <c r="I18" s="16" t="s">
        <v>195</v>
      </c>
      <c r="J18" s="67"/>
    </row>
    <row r="19" spans="1:10" ht="14.25" customHeight="1">
      <c r="A19" s="76"/>
      <c r="B19" s="25" t="s">
        <v>60</v>
      </c>
      <c r="C19" s="76"/>
      <c r="D19" s="16" t="s">
        <v>194</v>
      </c>
      <c r="E19" s="16" t="s">
        <v>194</v>
      </c>
      <c r="F19" s="16" t="s">
        <v>194</v>
      </c>
      <c r="G19" s="16" t="s">
        <v>195</v>
      </c>
      <c r="H19" s="16" t="s">
        <v>195</v>
      </c>
      <c r="I19" s="16" t="s">
        <v>195</v>
      </c>
      <c r="J19" s="67"/>
    </row>
    <row r="20" spans="1:10" ht="23.5" customHeight="1">
      <c r="A20" s="15">
        <v>11</v>
      </c>
      <c r="B20" s="25" t="s">
        <v>61</v>
      </c>
      <c r="C20" s="26"/>
      <c r="D20" s="16" t="s">
        <v>194</v>
      </c>
      <c r="E20" s="16" t="s">
        <v>194</v>
      </c>
      <c r="F20" s="16" t="s">
        <v>194</v>
      </c>
      <c r="G20" s="16" t="s">
        <v>195</v>
      </c>
      <c r="H20" s="16" t="s">
        <v>195</v>
      </c>
      <c r="I20" s="16" t="s">
        <v>195</v>
      </c>
      <c r="J20" s="67"/>
    </row>
    <row r="21" spans="1:10" ht="14.25" customHeight="1">
      <c r="A21" s="27"/>
      <c r="B21" s="27"/>
      <c r="C21" s="27"/>
      <c r="D21" s="27"/>
      <c r="E21" s="27"/>
      <c r="F21" s="27"/>
      <c r="G21" s="27"/>
      <c r="H21" s="27"/>
      <c r="I21" s="27"/>
    </row>
    <row r="22" spans="1:10" ht="14.25" customHeight="1">
      <c r="A22" s="27"/>
      <c r="B22" s="27"/>
      <c r="C22" s="27"/>
      <c r="D22" s="27"/>
      <c r="E22" s="27"/>
      <c r="F22" s="27"/>
      <c r="G22" s="27"/>
      <c r="H22" s="27"/>
      <c r="I22" s="27"/>
    </row>
    <row r="23" spans="1:10" ht="14.25" customHeight="1">
      <c r="A23" s="27"/>
      <c r="B23" s="27"/>
      <c r="C23" s="27"/>
      <c r="D23" s="27"/>
      <c r="E23" s="27"/>
      <c r="F23" s="27"/>
      <c r="G23" s="27"/>
      <c r="H23" s="27"/>
      <c r="I23" s="27"/>
    </row>
    <row r="24" spans="1:10" ht="14.25" customHeight="1">
      <c r="A24" s="27"/>
      <c r="B24" s="27"/>
      <c r="C24" s="27"/>
      <c r="D24" s="27"/>
      <c r="E24" s="27"/>
      <c r="F24" s="27"/>
      <c r="G24" s="27"/>
      <c r="H24" s="27"/>
      <c r="I24" s="27"/>
    </row>
    <row r="25" spans="1:10" ht="14.25" customHeight="1">
      <c r="A25" s="27"/>
      <c r="B25" s="27"/>
      <c r="C25" s="27"/>
      <c r="D25" s="27"/>
      <c r="E25" s="27"/>
      <c r="F25" s="27"/>
      <c r="G25" s="27"/>
      <c r="H25" s="27"/>
      <c r="I25" s="27"/>
    </row>
    <row r="26" spans="1:10" ht="14.25" customHeight="1">
      <c r="A26" s="27"/>
      <c r="B26" s="27"/>
      <c r="C26" s="27"/>
      <c r="D26" s="27"/>
      <c r="E26" s="27"/>
      <c r="F26" s="27"/>
      <c r="G26" s="27"/>
      <c r="H26" s="27"/>
      <c r="I26" s="27"/>
    </row>
    <row r="27" spans="1:10" ht="14.25" customHeight="1">
      <c r="A27" s="27"/>
      <c r="B27" s="27"/>
      <c r="C27" s="27"/>
      <c r="D27" s="27"/>
      <c r="E27" s="27"/>
      <c r="F27" s="27"/>
      <c r="G27" s="27"/>
      <c r="H27" s="27"/>
      <c r="I27" s="27"/>
    </row>
    <row r="28" spans="1:10" ht="14.25" customHeight="1">
      <c r="A28" s="27"/>
      <c r="B28" s="27"/>
      <c r="C28" s="27"/>
      <c r="D28" s="27"/>
      <c r="E28" s="27"/>
      <c r="F28" s="27"/>
      <c r="G28" s="27"/>
      <c r="H28" s="27"/>
      <c r="I28" s="27"/>
    </row>
    <row r="29" spans="1:10" ht="14.25" customHeight="1">
      <c r="A29" s="27"/>
      <c r="B29" s="27"/>
      <c r="C29" s="27"/>
      <c r="D29" s="27"/>
      <c r="E29" s="27"/>
      <c r="F29" s="27"/>
      <c r="G29" s="27"/>
      <c r="H29" s="27"/>
      <c r="I29" s="27"/>
    </row>
    <row r="30" spans="1:10" ht="14.25" customHeight="1">
      <c r="A30" s="27"/>
      <c r="B30" s="27"/>
      <c r="C30" s="27"/>
      <c r="D30" s="27"/>
      <c r="E30" s="27"/>
      <c r="F30" s="27"/>
      <c r="G30" s="27"/>
      <c r="H30" s="27"/>
      <c r="I30" s="27"/>
    </row>
    <row r="31" spans="1:10" ht="14.25" customHeight="1">
      <c r="A31" s="27"/>
      <c r="B31" s="27"/>
      <c r="C31" s="27"/>
      <c r="D31" s="27"/>
      <c r="E31" s="27"/>
      <c r="F31" s="27"/>
      <c r="G31" s="27"/>
      <c r="H31" s="27"/>
      <c r="I31" s="27"/>
    </row>
    <row r="32" spans="1:10" ht="14.25" customHeight="1">
      <c r="A32" s="27"/>
      <c r="B32" s="27"/>
      <c r="C32" s="27"/>
      <c r="D32" s="27"/>
      <c r="E32" s="27"/>
      <c r="F32" s="27"/>
      <c r="G32" s="27"/>
      <c r="H32" s="27"/>
      <c r="I32" s="27"/>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5:A19"/>
    <mergeCell ref="C15:C19"/>
    <mergeCell ref="A1:I1"/>
    <mergeCell ref="D2:F2"/>
    <mergeCell ref="G2:I2"/>
    <mergeCell ref="A4:A5"/>
    <mergeCell ref="B4:B5"/>
    <mergeCell ref="C4:C5"/>
    <mergeCell ref="A6:A7"/>
    <mergeCell ref="A10:I10"/>
    <mergeCell ref="B6:B7"/>
    <mergeCell ref="C6:C7"/>
    <mergeCell ref="A11:A12"/>
    <mergeCell ref="C11:C12"/>
    <mergeCell ref="A13:A14"/>
    <mergeCell ref="C13:C14"/>
  </mergeCells>
  <phoneticPr fontId="4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99"/>
  <sheetViews>
    <sheetView workbookViewId="0">
      <selection activeCell="B16" sqref="B16"/>
    </sheetView>
  </sheetViews>
  <sheetFormatPr defaultColWidth="14.453125" defaultRowHeight="15" customHeight="1"/>
  <cols>
    <col min="1" max="1" width="8.7265625" customWidth="1"/>
    <col min="2" max="2" width="60.7265625" customWidth="1"/>
    <col min="3" max="9" width="8.7265625" customWidth="1"/>
    <col min="10" max="10" width="35.81640625" customWidth="1"/>
    <col min="11" max="29" width="8.7265625" customWidth="1"/>
  </cols>
  <sheetData>
    <row r="1" spans="1:10" ht="14.25" customHeight="1">
      <c r="A1" s="87" t="s">
        <v>62</v>
      </c>
      <c r="B1" s="71"/>
      <c r="C1" s="71"/>
      <c r="D1" s="71"/>
      <c r="E1" s="71"/>
      <c r="F1" s="71"/>
      <c r="G1" s="71"/>
      <c r="H1" s="71"/>
      <c r="I1" s="72"/>
    </row>
    <row r="2" spans="1:10" ht="14.25" customHeight="1">
      <c r="A2" s="7" t="s">
        <v>12</v>
      </c>
      <c r="B2" s="7" t="s">
        <v>13</v>
      </c>
      <c r="C2" s="7" t="s">
        <v>14</v>
      </c>
      <c r="D2" s="73" t="s">
        <v>15</v>
      </c>
      <c r="E2" s="71"/>
      <c r="F2" s="72"/>
      <c r="G2" s="73" t="s">
        <v>16</v>
      </c>
      <c r="H2" s="71"/>
      <c r="I2" s="72"/>
      <c r="J2" s="51" t="s">
        <v>17</v>
      </c>
    </row>
    <row r="3" spans="1:10" ht="24.75" customHeight="1">
      <c r="A3" s="9"/>
      <c r="B3" s="10" t="s">
        <v>18</v>
      </c>
      <c r="C3" s="7"/>
      <c r="D3" s="11" t="s">
        <v>19</v>
      </c>
      <c r="E3" s="11" t="s">
        <v>20</v>
      </c>
      <c r="F3" s="13" t="s">
        <v>21</v>
      </c>
      <c r="G3" s="13">
        <v>2021</v>
      </c>
      <c r="H3" s="13">
        <v>2022</v>
      </c>
      <c r="I3" s="49">
        <v>2023</v>
      </c>
      <c r="J3" s="52"/>
    </row>
    <row r="4" spans="1:10" ht="25.5" customHeight="1">
      <c r="A4" s="14" t="s">
        <v>63</v>
      </c>
      <c r="B4" s="25" t="s">
        <v>64</v>
      </c>
      <c r="C4" s="15" t="s">
        <v>65</v>
      </c>
      <c r="D4" s="28" t="s">
        <v>194</v>
      </c>
      <c r="E4" s="28" t="s">
        <v>194</v>
      </c>
      <c r="F4" s="28">
        <v>60</v>
      </c>
      <c r="G4" s="28">
        <v>167</v>
      </c>
      <c r="H4" s="28">
        <v>107</v>
      </c>
      <c r="I4" s="50">
        <v>80</v>
      </c>
      <c r="J4" s="53" t="s">
        <v>178</v>
      </c>
    </row>
    <row r="5" spans="1:10" ht="24" customHeight="1">
      <c r="A5" s="14" t="s">
        <v>66</v>
      </c>
      <c r="B5" s="25" t="s">
        <v>67</v>
      </c>
      <c r="C5" s="15" t="s">
        <v>40</v>
      </c>
      <c r="D5" s="28">
        <v>10</v>
      </c>
      <c r="E5" s="28">
        <v>10</v>
      </c>
      <c r="F5" s="28">
        <v>2</v>
      </c>
      <c r="G5" s="28">
        <v>4</v>
      </c>
      <c r="H5" s="28">
        <v>2</v>
      </c>
      <c r="I5" s="50">
        <v>1</v>
      </c>
      <c r="J5" s="52"/>
    </row>
    <row r="6" spans="1:10" ht="27.75" customHeight="1">
      <c r="A6" s="14" t="s">
        <v>68</v>
      </c>
      <c r="B6" s="25" t="s">
        <v>69</v>
      </c>
      <c r="C6" s="15" t="s">
        <v>40</v>
      </c>
      <c r="D6" s="28" t="s">
        <v>194</v>
      </c>
      <c r="E6" s="28" t="s">
        <v>194</v>
      </c>
      <c r="F6" s="28" t="s">
        <v>194</v>
      </c>
      <c r="G6" s="28">
        <v>1</v>
      </c>
      <c r="H6" s="28">
        <v>1</v>
      </c>
      <c r="I6" s="50">
        <v>1</v>
      </c>
      <c r="J6" s="52"/>
    </row>
    <row r="7" spans="1:10" ht="14.25" customHeight="1"/>
    <row r="8" spans="1:10" ht="14.25" customHeight="1"/>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A1:I1"/>
    <mergeCell ref="D2:F2"/>
    <mergeCell ref="G2:I2"/>
  </mergeCells>
  <phoneticPr fontId="43"/>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topLeftCell="A8" workbookViewId="0">
      <selection activeCell="D10" sqref="D10:I10"/>
    </sheetView>
  </sheetViews>
  <sheetFormatPr defaultColWidth="14.453125" defaultRowHeight="15" customHeight="1"/>
  <cols>
    <col min="1" max="1" width="8.7265625" customWidth="1"/>
    <col min="2" max="2" width="52.1796875" customWidth="1"/>
    <col min="3" max="9" width="8.7265625" customWidth="1"/>
    <col min="10" max="10" width="41.7265625" customWidth="1"/>
    <col min="11" max="29" width="8.7265625" customWidth="1"/>
  </cols>
  <sheetData>
    <row r="1" spans="1:12" ht="14.25" customHeight="1">
      <c r="A1" s="82" t="s">
        <v>70</v>
      </c>
      <c r="B1" s="71"/>
      <c r="C1" s="71"/>
      <c r="D1" s="71"/>
      <c r="E1" s="71"/>
      <c r="F1" s="71"/>
      <c r="G1" s="71"/>
      <c r="H1" s="71"/>
      <c r="I1" s="72"/>
      <c r="J1" s="29"/>
    </row>
    <row r="2" spans="1:12" ht="14.25" customHeight="1">
      <c r="A2" s="30" t="s">
        <v>12</v>
      </c>
      <c r="B2" s="30" t="s">
        <v>13</v>
      </c>
      <c r="C2" s="30" t="s">
        <v>14</v>
      </c>
      <c r="D2" s="73" t="s">
        <v>15</v>
      </c>
      <c r="E2" s="71"/>
      <c r="F2" s="72"/>
      <c r="G2" s="88" t="s">
        <v>16</v>
      </c>
      <c r="H2" s="71"/>
      <c r="I2" s="72"/>
      <c r="J2" s="31" t="s">
        <v>17</v>
      </c>
    </row>
    <row r="3" spans="1:12" ht="20" customHeight="1">
      <c r="A3" s="32"/>
      <c r="B3" s="10" t="s">
        <v>18</v>
      </c>
      <c r="C3" s="30"/>
      <c r="D3" s="11" t="s">
        <v>71</v>
      </c>
      <c r="E3" s="11" t="s">
        <v>20</v>
      </c>
      <c r="F3" s="13" t="s">
        <v>21</v>
      </c>
      <c r="G3" s="33">
        <v>2021</v>
      </c>
      <c r="H3" s="33">
        <v>2022</v>
      </c>
      <c r="I3" s="33">
        <v>2023</v>
      </c>
      <c r="J3" s="29"/>
    </row>
    <row r="4" spans="1:12" ht="69.75" customHeight="1">
      <c r="A4" s="34" t="s">
        <v>72</v>
      </c>
      <c r="B4" s="35" t="s">
        <v>73</v>
      </c>
      <c r="C4" s="36" t="s">
        <v>40</v>
      </c>
      <c r="D4" s="37">
        <v>250</v>
      </c>
      <c r="E4" s="37" t="s">
        <v>194</v>
      </c>
      <c r="F4" s="37">
        <v>142</v>
      </c>
      <c r="G4" s="37" t="s">
        <v>195</v>
      </c>
      <c r="H4" s="37">
        <v>62</v>
      </c>
      <c r="I4" s="37">
        <v>85</v>
      </c>
      <c r="J4" s="54" t="s">
        <v>179</v>
      </c>
      <c r="L4">
        <f>424243-135257</f>
        <v>288986</v>
      </c>
    </row>
    <row r="5" spans="1:12" ht="66" customHeight="1">
      <c r="A5" s="34" t="s">
        <v>74</v>
      </c>
      <c r="B5" s="35" t="s">
        <v>75</v>
      </c>
      <c r="C5" s="36" t="s">
        <v>25</v>
      </c>
      <c r="D5" s="37" t="s">
        <v>194</v>
      </c>
      <c r="E5" s="37" t="s">
        <v>194</v>
      </c>
      <c r="F5" s="37">
        <v>288986</v>
      </c>
      <c r="G5" s="37" t="s">
        <v>195</v>
      </c>
      <c r="H5" s="37">
        <v>135257</v>
      </c>
      <c r="I5" s="37">
        <v>270835</v>
      </c>
      <c r="J5" s="47" t="s">
        <v>180</v>
      </c>
    </row>
    <row r="6" spans="1:12" ht="54" customHeight="1">
      <c r="A6" s="34" t="s">
        <v>76</v>
      </c>
      <c r="B6" s="35" t="s">
        <v>77</v>
      </c>
      <c r="C6" s="36" t="s">
        <v>25</v>
      </c>
      <c r="D6" s="37" t="s">
        <v>194</v>
      </c>
      <c r="E6" s="37" t="s">
        <v>194</v>
      </c>
      <c r="F6" s="37" t="s">
        <v>194</v>
      </c>
      <c r="G6" s="37" t="s">
        <v>195</v>
      </c>
      <c r="H6" s="37" t="s">
        <v>195</v>
      </c>
      <c r="I6" s="37" t="s">
        <v>195</v>
      </c>
      <c r="J6" s="38" t="s">
        <v>78</v>
      </c>
    </row>
    <row r="7" spans="1:12" ht="56.25" customHeight="1">
      <c r="A7" s="34" t="s">
        <v>79</v>
      </c>
      <c r="B7" s="35" t="s">
        <v>80</v>
      </c>
      <c r="C7" s="36" t="s">
        <v>174</v>
      </c>
      <c r="D7" s="37" t="s">
        <v>194</v>
      </c>
      <c r="E7" s="37" t="s">
        <v>194</v>
      </c>
      <c r="F7" s="37" t="s">
        <v>194</v>
      </c>
      <c r="G7" s="37" t="s">
        <v>195</v>
      </c>
      <c r="H7" s="37" t="s">
        <v>195</v>
      </c>
      <c r="I7" s="37" t="s">
        <v>195</v>
      </c>
      <c r="J7" s="55" t="s">
        <v>174</v>
      </c>
    </row>
    <row r="8" spans="1:12" ht="29.25" customHeight="1">
      <c r="A8" s="34" t="s">
        <v>81</v>
      </c>
      <c r="B8" s="35" t="s">
        <v>82</v>
      </c>
      <c r="C8" s="36" t="s">
        <v>25</v>
      </c>
      <c r="D8" s="37" t="s">
        <v>194</v>
      </c>
      <c r="E8" s="37" t="s">
        <v>194</v>
      </c>
      <c r="F8" s="37" t="s">
        <v>194</v>
      </c>
      <c r="G8" s="37" t="s">
        <v>195</v>
      </c>
      <c r="H8" s="37" t="s">
        <v>195</v>
      </c>
      <c r="I8" s="37" t="s">
        <v>195</v>
      </c>
      <c r="J8" s="29"/>
    </row>
    <row r="9" spans="1:12" ht="43.5" customHeight="1">
      <c r="A9" s="34" t="s">
        <v>83</v>
      </c>
      <c r="B9" s="35" t="s">
        <v>84</v>
      </c>
      <c r="C9" s="36" t="s">
        <v>85</v>
      </c>
      <c r="D9" s="37" t="s">
        <v>194</v>
      </c>
      <c r="E9" s="37" t="s">
        <v>194</v>
      </c>
      <c r="F9" s="37" t="s">
        <v>194</v>
      </c>
      <c r="G9" s="37" t="s">
        <v>195</v>
      </c>
      <c r="H9" s="37" t="s">
        <v>195</v>
      </c>
      <c r="I9" s="37" t="s">
        <v>195</v>
      </c>
      <c r="J9" s="29"/>
    </row>
    <row r="10" spans="1:12" ht="49.5" customHeight="1">
      <c r="A10" s="89" t="s">
        <v>86</v>
      </c>
      <c r="B10" s="35" t="s">
        <v>87</v>
      </c>
      <c r="C10" s="36" t="s">
        <v>88</v>
      </c>
      <c r="D10" s="37" t="s">
        <v>194</v>
      </c>
      <c r="E10" s="37" t="s">
        <v>194</v>
      </c>
      <c r="F10" s="37" t="s">
        <v>194</v>
      </c>
      <c r="G10" s="37" t="s">
        <v>195</v>
      </c>
      <c r="H10" s="37" t="s">
        <v>195</v>
      </c>
      <c r="I10" s="37" t="s">
        <v>195</v>
      </c>
      <c r="J10" s="48" t="s">
        <v>181</v>
      </c>
    </row>
    <row r="11" spans="1:12" ht="42" customHeight="1">
      <c r="A11" s="76"/>
      <c r="B11" s="35" t="s">
        <v>89</v>
      </c>
      <c r="C11" s="36" t="s">
        <v>90</v>
      </c>
      <c r="D11" s="37" t="s">
        <v>194</v>
      </c>
      <c r="E11" s="37" t="s">
        <v>194</v>
      </c>
      <c r="F11" s="37" t="s">
        <v>194</v>
      </c>
      <c r="G11" s="37" t="s">
        <v>195</v>
      </c>
      <c r="H11" s="37" t="s">
        <v>195</v>
      </c>
      <c r="I11" s="37" t="s">
        <v>195</v>
      </c>
      <c r="J11" s="48" t="s">
        <v>181</v>
      </c>
    </row>
    <row r="12" spans="1:12" ht="41.25" customHeight="1">
      <c r="A12" s="34" t="s">
        <v>91</v>
      </c>
      <c r="B12" s="35" t="s">
        <v>92</v>
      </c>
      <c r="C12" s="36"/>
      <c r="D12" s="37" t="s">
        <v>194</v>
      </c>
      <c r="E12" s="37" t="s">
        <v>194</v>
      </c>
      <c r="F12" s="37" t="s">
        <v>194</v>
      </c>
      <c r="G12" s="37" t="s">
        <v>195</v>
      </c>
      <c r="H12" s="37" t="s">
        <v>195</v>
      </c>
      <c r="I12" s="37" t="s">
        <v>195</v>
      </c>
      <c r="J12" s="29"/>
    </row>
    <row r="13" spans="1:12" ht="36" customHeight="1">
      <c r="A13" s="34" t="s">
        <v>93</v>
      </c>
      <c r="B13" s="35" t="s">
        <v>94</v>
      </c>
      <c r="C13" s="36"/>
      <c r="D13" s="37" t="s">
        <v>194</v>
      </c>
      <c r="E13" s="37" t="s">
        <v>194</v>
      </c>
      <c r="F13" s="37" t="s">
        <v>194</v>
      </c>
      <c r="G13" s="37" t="s">
        <v>195</v>
      </c>
      <c r="H13" s="37" t="s">
        <v>195</v>
      </c>
      <c r="I13" s="37" t="s">
        <v>195</v>
      </c>
      <c r="J13" s="29"/>
    </row>
    <row r="14" spans="1:12" ht="14.25" customHeight="1">
      <c r="B14" s="27"/>
    </row>
    <row r="15" spans="1:12" ht="14.25" customHeight="1">
      <c r="B15" s="27"/>
    </row>
    <row r="16" spans="1:12" ht="14.25" customHeight="1">
      <c r="B16" s="27"/>
    </row>
    <row r="17" spans="2:2" ht="14.25" customHeight="1">
      <c r="B17" s="27"/>
    </row>
    <row r="18" spans="2:2" ht="14.25" customHeight="1">
      <c r="B18" s="27"/>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I1"/>
    <mergeCell ref="D2:F2"/>
    <mergeCell ref="G2:I2"/>
    <mergeCell ref="A10:A11"/>
  </mergeCells>
  <phoneticPr fontId="43"/>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election activeCell="B9" sqref="B9"/>
    </sheetView>
  </sheetViews>
  <sheetFormatPr defaultColWidth="14.453125" defaultRowHeight="15" customHeight="1"/>
  <cols>
    <col min="1" max="1" width="8.7265625" customWidth="1"/>
    <col min="2" max="2" width="62.453125" customWidth="1"/>
    <col min="3" max="9" width="8.7265625" customWidth="1"/>
    <col min="10" max="10" width="42.26953125" customWidth="1"/>
    <col min="11" max="29" width="8.7265625" customWidth="1"/>
  </cols>
  <sheetData>
    <row r="1" spans="1:11" ht="14.25" customHeight="1">
      <c r="A1" s="87" t="s">
        <v>95</v>
      </c>
      <c r="B1" s="71"/>
      <c r="C1" s="71"/>
      <c r="D1" s="71"/>
      <c r="E1" s="71"/>
      <c r="F1" s="71"/>
      <c r="G1" s="71"/>
      <c r="H1" s="71"/>
      <c r="I1" s="72"/>
      <c r="J1" s="29"/>
    </row>
    <row r="2" spans="1:11" ht="14.25" customHeight="1">
      <c r="A2" s="7" t="s">
        <v>12</v>
      </c>
      <c r="B2" s="7" t="s">
        <v>13</v>
      </c>
      <c r="C2" s="7" t="s">
        <v>14</v>
      </c>
      <c r="D2" s="73" t="s">
        <v>15</v>
      </c>
      <c r="E2" s="71"/>
      <c r="F2" s="72"/>
      <c r="G2" s="73" t="s">
        <v>16</v>
      </c>
      <c r="H2" s="71"/>
      <c r="I2" s="72"/>
      <c r="J2" s="7" t="s">
        <v>17</v>
      </c>
    </row>
    <row r="3" spans="1:11" ht="22.5" customHeight="1">
      <c r="A3" s="9"/>
      <c r="B3" s="10" t="s">
        <v>18</v>
      </c>
      <c r="C3" s="7"/>
      <c r="D3" s="11" t="s">
        <v>96</v>
      </c>
      <c r="E3" s="11" t="s">
        <v>20</v>
      </c>
      <c r="F3" s="13" t="s">
        <v>21</v>
      </c>
      <c r="G3" s="13">
        <v>2021</v>
      </c>
      <c r="H3" s="13">
        <v>2022</v>
      </c>
      <c r="I3" s="13">
        <v>2023</v>
      </c>
      <c r="J3" s="29"/>
    </row>
    <row r="4" spans="1:11" ht="43.5" customHeight="1">
      <c r="A4" s="34" t="s">
        <v>97</v>
      </c>
      <c r="B4" s="35" t="s">
        <v>98</v>
      </c>
      <c r="C4" s="35"/>
      <c r="D4" s="37" t="s">
        <v>194</v>
      </c>
      <c r="E4" s="37" t="s">
        <v>194</v>
      </c>
      <c r="F4" s="37" t="s">
        <v>194</v>
      </c>
      <c r="G4" s="37" t="s">
        <v>195</v>
      </c>
      <c r="H4" s="37" t="s">
        <v>195</v>
      </c>
      <c r="I4" s="37" t="s">
        <v>195</v>
      </c>
      <c r="J4" s="54" t="s">
        <v>182</v>
      </c>
    </row>
    <row r="5" spans="1:11" ht="34.5" customHeight="1">
      <c r="A5" s="34" t="s">
        <v>99</v>
      </c>
      <c r="B5" s="35" t="s">
        <v>100</v>
      </c>
      <c r="C5" s="35"/>
      <c r="D5" s="37" t="s">
        <v>194</v>
      </c>
      <c r="E5" s="37" t="s">
        <v>194</v>
      </c>
      <c r="F5" s="37" t="s">
        <v>194</v>
      </c>
      <c r="G5" s="37" t="s">
        <v>195</v>
      </c>
      <c r="H5" s="37" t="s">
        <v>195</v>
      </c>
      <c r="I5" s="37" t="s">
        <v>195</v>
      </c>
      <c r="J5" s="29"/>
      <c r="K5">
        <f>326-150</f>
        <v>176</v>
      </c>
    </row>
    <row r="6" spans="1:11" ht="57.75" customHeight="1">
      <c r="A6" s="34" t="s">
        <v>101</v>
      </c>
      <c r="B6" s="35" t="s">
        <v>102</v>
      </c>
      <c r="C6" s="35" t="s">
        <v>25</v>
      </c>
      <c r="D6" s="39">
        <v>2500</v>
      </c>
      <c r="E6" s="37" t="s">
        <v>194</v>
      </c>
      <c r="F6" s="39">
        <v>2000</v>
      </c>
      <c r="G6" s="39">
        <v>1035</v>
      </c>
      <c r="H6" s="39">
        <v>1037</v>
      </c>
      <c r="I6" s="39">
        <v>971</v>
      </c>
      <c r="J6" s="47" t="s">
        <v>183</v>
      </c>
    </row>
    <row r="7" spans="1:11" ht="35.25" customHeight="1">
      <c r="A7" s="34" t="s">
        <v>103</v>
      </c>
      <c r="B7" s="35" t="s">
        <v>104</v>
      </c>
      <c r="C7" s="35"/>
      <c r="D7" s="39">
        <v>250</v>
      </c>
      <c r="E7" s="37" t="s">
        <v>194</v>
      </c>
      <c r="F7" s="39">
        <v>50</v>
      </c>
      <c r="G7" s="39">
        <v>176</v>
      </c>
      <c r="H7" s="39">
        <v>100</v>
      </c>
      <c r="I7" s="39">
        <v>50</v>
      </c>
      <c r="J7" s="57"/>
    </row>
    <row r="8" spans="1:11" ht="39" customHeight="1">
      <c r="A8" s="34" t="s">
        <v>105</v>
      </c>
      <c r="B8" s="35" t="s">
        <v>106</v>
      </c>
      <c r="C8" s="35"/>
      <c r="D8" s="37" t="s">
        <v>194</v>
      </c>
      <c r="E8" s="37" t="s">
        <v>194</v>
      </c>
      <c r="F8" s="37" t="s">
        <v>194</v>
      </c>
      <c r="G8" s="39">
        <v>5617</v>
      </c>
      <c r="H8" s="39">
        <v>4812</v>
      </c>
      <c r="I8" s="56">
        <v>2092</v>
      </c>
      <c r="J8" s="58" t="s">
        <v>184</v>
      </c>
    </row>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I1"/>
    <mergeCell ref="D2:F2"/>
    <mergeCell ref="G2:I2"/>
  </mergeCells>
  <phoneticPr fontId="43"/>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abSelected="1" workbookViewId="0">
      <selection activeCell="B10" sqref="A10:XFD11"/>
    </sheetView>
  </sheetViews>
  <sheetFormatPr defaultColWidth="14.453125" defaultRowHeight="15" customHeight="1"/>
  <cols>
    <col min="1" max="1" width="8.7265625" customWidth="1"/>
    <col min="2" max="2" width="64.54296875" customWidth="1"/>
    <col min="3" max="9" width="8.7265625" customWidth="1"/>
    <col min="10" max="10" width="37.54296875" customWidth="1"/>
    <col min="11" max="27" width="8.7265625" customWidth="1"/>
  </cols>
  <sheetData>
    <row r="1" spans="1:27" ht="14.25" customHeight="1">
      <c r="A1" s="87" t="s">
        <v>42</v>
      </c>
      <c r="B1" s="71"/>
      <c r="C1" s="71"/>
      <c r="D1" s="71"/>
      <c r="E1" s="71"/>
      <c r="F1" s="71"/>
      <c r="G1" s="71"/>
      <c r="H1" s="71"/>
      <c r="I1" s="72"/>
      <c r="J1" s="29"/>
    </row>
    <row r="2" spans="1:27" ht="14.25" customHeight="1">
      <c r="A2" s="7" t="s">
        <v>12</v>
      </c>
      <c r="B2" s="7" t="s">
        <v>13</v>
      </c>
      <c r="C2" s="7" t="s">
        <v>14</v>
      </c>
      <c r="D2" s="73" t="s">
        <v>15</v>
      </c>
      <c r="E2" s="71"/>
      <c r="F2" s="72"/>
      <c r="G2" s="73" t="s">
        <v>16</v>
      </c>
      <c r="H2" s="71"/>
      <c r="I2" s="72"/>
      <c r="J2" s="7" t="s">
        <v>107</v>
      </c>
    </row>
    <row r="3" spans="1:27" ht="23.5" customHeight="1">
      <c r="A3" s="9"/>
      <c r="B3" s="10" t="s">
        <v>18</v>
      </c>
      <c r="C3" s="7"/>
      <c r="D3" s="11" t="s">
        <v>96</v>
      </c>
      <c r="E3" s="11" t="s">
        <v>20</v>
      </c>
      <c r="F3" s="13" t="s">
        <v>21</v>
      </c>
      <c r="G3" s="13">
        <v>2021</v>
      </c>
      <c r="H3" s="13">
        <v>2022</v>
      </c>
      <c r="I3" s="13">
        <v>2023</v>
      </c>
      <c r="J3" s="29"/>
    </row>
    <row r="4" spans="1:27" ht="46.5" customHeight="1">
      <c r="A4" s="89" t="s">
        <v>108</v>
      </c>
      <c r="B4" s="25" t="s">
        <v>109</v>
      </c>
      <c r="C4" s="74" t="s">
        <v>25</v>
      </c>
      <c r="D4" s="37" t="s">
        <v>194</v>
      </c>
      <c r="E4" s="37" t="s">
        <v>194</v>
      </c>
      <c r="F4" s="37" t="s">
        <v>194</v>
      </c>
      <c r="G4" s="37" t="s">
        <v>195</v>
      </c>
      <c r="H4" s="37" t="s">
        <v>195</v>
      </c>
      <c r="I4" s="37" t="s">
        <v>195</v>
      </c>
      <c r="J4" s="59" t="s">
        <v>186</v>
      </c>
    </row>
    <row r="5" spans="1:27" ht="32.25" customHeight="1">
      <c r="A5" s="76"/>
      <c r="B5" s="25" t="s">
        <v>110</v>
      </c>
      <c r="C5" s="76"/>
      <c r="D5" s="37" t="s">
        <v>194</v>
      </c>
      <c r="E5" s="37" t="s">
        <v>194</v>
      </c>
      <c r="F5" s="37" t="s">
        <v>194</v>
      </c>
      <c r="G5" s="37" t="s">
        <v>195</v>
      </c>
      <c r="H5" s="37" t="s">
        <v>195</v>
      </c>
      <c r="I5" s="37" t="s">
        <v>195</v>
      </c>
      <c r="J5" s="59" t="s">
        <v>186</v>
      </c>
    </row>
    <row r="6" spans="1:27" ht="60.5">
      <c r="A6" s="34" t="s">
        <v>111</v>
      </c>
      <c r="B6" s="25" t="s">
        <v>112</v>
      </c>
      <c r="C6" s="15" t="s">
        <v>25</v>
      </c>
      <c r="D6" s="28">
        <v>5000</v>
      </c>
      <c r="E6" s="28"/>
      <c r="F6" s="28">
        <v>2290</v>
      </c>
      <c r="G6" s="28">
        <v>1688</v>
      </c>
      <c r="H6" s="28">
        <v>1292</v>
      </c>
      <c r="I6" s="28">
        <v>1244</v>
      </c>
      <c r="J6" s="47" t="s">
        <v>185</v>
      </c>
    </row>
    <row r="7" spans="1:27" ht="36.75" customHeight="1">
      <c r="A7" s="89" t="s">
        <v>113</v>
      </c>
      <c r="B7" s="25" t="s">
        <v>114</v>
      </c>
      <c r="C7" s="74" t="s">
        <v>25</v>
      </c>
      <c r="D7" s="37" t="s">
        <v>194</v>
      </c>
      <c r="E7" s="37" t="s">
        <v>194</v>
      </c>
      <c r="F7" s="37" t="s">
        <v>194</v>
      </c>
      <c r="G7" s="37" t="s">
        <v>195</v>
      </c>
      <c r="H7" s="37" t="s">
        <v>195</v>
      </c>
      <c r="I7" s="37" t="s">
        <v>195</v>
      </c>
      <c r="J7" s="29"/>
    </row>
    <row r="8" spans="1:27" ht="57.75" customHeight="1">
      <c r="A8" s="75"/>
      <c r="B8" s="25" t="s">
        <v>115</v>
      </c>
      <c r="C8" s="75"/>
      <c r="D8" s="28">
        <v>2000</v>
      </c>
      <c r="E8" s="28">
        <v>1495</v>
      </c>
      <c r="F8" s="28"/>
      <c r="G8" s="28">
        <v>579</v>
      </c>
      <c r="H8" s="28">
        <v>747</v>
      </c>
      <c r="I8" s="28"/>
      <c r="J8" s="47" t="s">
        <v>187</v>
      </c>
    </row>
    <row r="9" spans="1:27" ht="48.75" customHeight="1">
      <c r="A9" s="76"/>
      <c r="B9" s="25" t="s">
        <v>116</v>
      </c>
      <c r="C9" s="76"/>
      <c r="D9" s="28">
        <v>3000</v>
      </c>
      <c r="E9" s="28">
        <v>2798</v>
      </c>
      <c r="F9" s="68">
        <v>2290</v>
      </c>
      <c r="G9" s="28">
        <v>1130</v>
      </c>
      <c r="H9" s="28">
        <v>447</v>
      </c>
      <c r="I9" s="28">
        <v>272</v>
      </c>
      <c r="J9" s="47" t="s">
        <v>188</v>
      </c>
    </row>
    <row r="10" spans="1:27" s="98" customFormat="1" ht="33" customHeight="1">
      <c r="A10" s="92" t="s">
        <v>117</v>
      </c>
      <c r="B10" s="93" t="s">
        <v>118</v>
      </c>
      <c r="C10" s="94" t="s">
        <v>25</v>
      </c>
      <c r="D10" s="95" t="s">
        <v>194</v>
      </c>
      <c r="E10" s="96">
        <v>18748</v>
      </c>
      <c r="F10" s="95" t="s">
        <v>194</v>
      </c>
      <c r="G10" s="96">
        <v>5680</v>
      </c>
      <c r="H10" s="96">
        <v>7532</v>
      </c>
      <c r="I10" s="96">
        <v>2092</v>
      </c>
      <c r="J10" s="97" t="s">
        <v>196</v>
      </c>
    </row>
    <row r="11" spans="1:27" s="98" customFormat="1" ht="32.25" customHeight="1">
      <c r="A11" s="99"/>
      <c r="B11" s="93" t="s">
        <v>119</v>
      </c>
      <c r="C11" s="99"/>
      <c r="D11" s="95" t="s">
        <v>194</v>
      </c>
      <c r="E11" s="96">
        <v>6249</v>
      </c>
      <c r="F11" s="95" t="s">
        <v>194</v>
      </c>
      <c r="G11" s="96">
        <v>1893</v>
      </c>
      <c r="H11" s="96">
        <v>2511</v>
      </c>
      <c r="I11" s="96">
        <v>702</v>
      </c>
      <c r="J11" s="97" t="s">
        <v>197</v>
      </c>
    </row>
    <row r="12" spans="1:27" ht="14.25" customHeight="1">
      <c r="A12" s="90" t="s">
        <v>120</v>
      </c>
      <c r="B12" s="71"/>
      <c r="C12" s="71"/>
      <c r="D12" s="71"/>
      <c r="E12" s="71"/>
      <c r="F12" s="71"/>
      <c r="G12" s="71"/>
      <c r="H12" s="71"/>
      <c r="I12" s="72"/>
      <c r="J12" s="40"/>
      <c r="K12" s="20"/>
      <c r="L12" s="20"/>
      <c r="M12" s="20"/>
      <c r="N12" s="20"/>
      <c r="O12" s="20"/>
      <c r="P12" s="20"/>
      <c r="Q12" s="20"/>
      <c r="R12" s="20"/>
      <c r="S12" s="20"/>
      <c r="T12" s="20"/>
      <c r="U12" s="20"/>
      <c r="V12" s="20"/>
      <c r="W12" s="20"/>
      <c r="X12" s="20"/>
      <c r="Y12" s="20"/>
      <c r="Z12" s="20"/>
      <c r="AA12" s="20"/>
    </row>
    <row r="13" spans="1:27" ht="33.75" customHeight="1">
      <c r="A13" s="34">
        <v>5</v>
      </c>
      <c r="B13" s="25" t="s">
        <v>121</v>
      </c>
      <c r="C13" s="15" t="s">
        <v>35</v>
      </c>
      <c r="D13" s="37" t="s">
        <v>194</v>
      </c>
      <c r="E13" s="37" t="s">
        <v>194</v>
      </c>
      <c r="F13" s="37" t="s">
        <v>194</v>
      </c>
      <c r="G13" s="37" t="s">
        <v>195</v>
      </c>
      <c r="H13" s="37" t="s">
        <v>195</v>
      </c>
      <c r="I13" s="37" t="s">
        <v>195</v>
      </c>
      <c r="J13" s="29"/>
    </row>
    <row r="14" spans="1:27" ht="35.25" customHeight="1">
      <c r="A14" s="34">
        <v>6</v>
      </c>
      <c r="B14" s="25" t="s">
        <v>122</v>
      </c>
      <c r="C14" s="41"/>
      <c r="D14" s="37" t="s">
        <v>194</v>
      </c>
      <c r="E14" s="37" t="s">
        <v>194</v>
      </c>
      <c r="F14" s="37" t="s">
        <v>194</v>
      </c>
      <c r="G14" s="37" t="s">
        <v>195</v>
      </c>
      <c r="H14" s="37" t="s">
        <v>195</v>
      </c>
      <c r="I14" s="37" t="s">
        <v>195</v>
      </c>
      <c r="J14" s="29"/>
    </row>
    <row r="15" spans="1:27" ht="39" customHeight="1">
      <c r="A15" s="34">
        <v>7</v>
      </c>
      <c r="B15" s="23" t="s">
        <v>123</v>
      </c>
      <c r="C15" s="15" t="s">
        <v>33</v>
      </c>
      <c r="D15" s="37" t="s">
        <v>194</v>
      </c>
      <c r="E15" s="37" t="s">
        <v>194</v>
      </c>
      <c r="F15" s="37" t="s">
        <v>194</v>
      </c>
      <c r="G15" s="37" t="s">
        <v>195</v>
      </c>
      <c r="H15" s="37" t="s">
        <v>195</v>
      </c>
      <c r="I15" s="37" t="s">
        <v>195</v>
      </c>
      <c r="J15" s="29"/>
    </row>
    <row r="16" spans="1:27" ht="54.75" customHeight="1">
      <c r="A16" s="34">
        <v>8</v>
      </c>
      <c r="B16" s="23" t="s">
        <v>124</v>
      </c>
      <c r="C16" s="15" t="s">
        <v>125</v>
      </c>
      <c r="D16" s="37" t="s">
        <v>194</v>
      </c>
      <c r="E16" s="37" t="s">
        <v>194</v>
      </c>
      <c r="F16" s="37" t="s">
        <v>194</v>
      </c>
      <c r="G16" s="37" t="s">
        <v>195</v>
      </c>
      <c r="H16" s="37" t="s">
        <v>195</v>
      </c>
      <c r="I16" s="37" t="s">
        <v>195</v>
      </c>
      <c r="J16" s="29"/>
    </row>
    <row r="17" spans="1:10" ht="32.25" customHeight="1">
      <c r="A17" s="34">
        <v>9</v>
      </c>
      <c r="B17" s="23" t="s">
        <v>126</v>
      </c>
      <c r="C17" s="15" t="s">
        <v>125</v>
      </c>
      <c r="D17" s="37" t="s">
        <v>194</v>
      </c>
      <c r="E17" s="37" t="s">
        <v>194</v>
      </c>
      <c r="F17" s="37" t="s">
        <v>194</v>
      </c>
      <c r="G17" s="37" t="s">
        <v>195</v>
      </c>
      <c r="H17" s="37" t="s">
        <v>195</v>
      </c>
      <c r="I17" s="37" t="s">
        <v>195</v>
      </c>
      <c r="J17" s="29"/>
    </row>
    <row r="18" spans="1:10" ht="14.25" customHeight="1"/>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2:I12"/>
    <mergeCell ref="C7:C9"/>
    <mergeCell ref="C10:C11"/>
    <mergeCell ref="A1:I1"/>
    <mergeCell ref="D2:F2"/>
    <mergeCell ref="G2:I2"/>
    <mergeCell ref="A4:A5"/>
    <mergeCell ref="C4:C5"/>
    <mergeCell ref="A7:A9"/>
    <mergeCell ref="A10:A11"/>
  </mergeCells>
  <phoneticPr fontId="43"/>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00"/>
  <sheetViews>
    <sheetView topLeftCell="A5" workbookViewId="0">
      <selection activeCell="D6" sqref="D6:I6"/>
    </sheetView>
  </sheetViews>
  <sheetFormatPr defaultColWidth="14.453125" defaultRowHeight="15" customHeight="1"/>
  <cols>
    <col min="1" max="1" width="8.7265625" customWidth="1"/>
    <col min="2" max="2" width="51.54296875" customWidth="1"/>
    <col min="3" max="9" width="8.7265625" customWidth="1"/>
    <col min="10" max="10" width="40.81640625" customWidth="1"/>
    <col min="11" max="29" width="8.7265625" customWidth="1"/>
  </cols>
  <sheetData>
    <row r="1" spans="1:29" ht="14.25" customHeight="1">
      <c r="A1" s="82" t="s">
        <v>62</v>
      </c>
      <c r="B1" s="71"/>
      <c r="C1" s="71"/>
      <c r="D1" s="71"/>
      <c r="E1" s="71"/>
      <c r="F1" s="71"/>
      <c r="G1" s="71"/>
      <c r="H1" s="71"/>
      <c r="I1" s="72"/>
      <c r="J1" s="40"/>
      <c r="K1" s="20"/>
      <c r="L1" s="20"/>
      <c r="M1" s="20"/>
      <c r="N1" s="20"/>
      <c r="O1" s="20"/>
      <c r="P1" s="20"/>
      <c r="Q1" s="20"/>
      <c r="R1" s="20"/>
      <c r="S1" s="20"/>
      <c r="T1" s="20"/>
      <c r="U1" s="20"/>
      <c r="V1" s="20"/>
      <c r="W1" s="20"/>
      <c r="X1" s="20"/>
      <c r="Y1" s="20"/>
      <c r="Z1" s="20"/>
      <c r="AA1" s="20"/>
      <c r="AB1" s="20"/>
      <c r="AC1" s="20"/>
    </row>
    <row r="2" spans="1:29" ht="14.25" customHeight="1">
      <c r="A2" s="30" t="s">
        <v>12</v>
      </c>
      <c r="B2" s="30" t="s">
        <v>13</v>
      </c>
      <c r="C2" s="30" t="s">
        <v>14</v>
      </c>
      <c r="D2" s="73" t="s">
        <v>15</v>
      </c>
      <c r="E2" s="71"/>
      <c r="F2" s="72"/>
      <c r="G2" s="88" t="s">
        <v>16</v>
      </c>
      <c r="H2" s="71"/>
      <c r="I2" s="72"/>
      <c r="J2" s="30" t="s">
        <v>17</v>
      </c>
    </row>
    <row r="3" spans="1:29" ht="35.5" customHeight="1">
      <c r="A3" s="32"/>
      <c r="B3" s="10" t="s">
        <v>18</v>
      </c>
      <c r="C3" s="30"/>
      <c r="D3" s="11" t="s">
        <v>71</v>
      </c>
      <c r="E3" s="11" t="s">
        <v>20</v>
      </c>
      <c r="F3" s="13" t="s">
        <v>21</v>
      </c>
      <c r="G3" s="33">
        <v>2021</v>
      </c>
      <c r="H3" s="33">
        <v>2022</v>
      </c>
      <c r="I3" s="33">
        <v>2023</v>
      </c>
      <c r="J3" s="29"/>
    </row>
    <row r="4" spans="1:29" ht="59.25" customHeight="1">
      <c r="A4" s="34" t="s">
        <v>127</v>
      </c>
      <c r="B4" s="35" t="s">
        <v>128</v>
      </c>
      <c r="C4" s="36" t="s">
        <v>25</v>
      </c>
      <c r="D4" s="37" t="s">
        <v>194</v>
      </c>
      <c r="E4" s="37">
        <v>5300</v>
      </c>
      <c r="F4" s="37" t="s">
        <v>194</v>
      </c>
      <c r="G4" s="37">
        <v>1053</v>
      </c>
      <c r="H4" s="37">
        <v>4247</v>
      </c>
      <c r="I4" s="37" t="s">
        <v>195</v>
      </c>
      <c r="J4" s="47" t="s">
        <v>190</v>
      </c>
    </row>
    <row r="5" spans="1:29" ht="64.5" customHeight="1">
      <c r="A5" s="34" t="s">
        <v>129</v>
      </c>
      <c r="B5" s="35" t="s">
        <v>130</v>
      </c>
      <c r="C5" s="36" t="s">
        <v>25</v>
      </c>
      <c r="D5" s="69" t="s">
        <v>194</v>
      </c>
      <c r="E5" s="37">
        <v>2798</v>
      </c>
      <c r="F5" s="37" t="s">
        <v>194</v>
      </c>
      <c r="G5" s="37">
        <v>1130</v>
      </c>
      <c r="H5" s="37">
        <v>447</v>
      </c>
      <c r="I5" s="37">
        <v>272</v>
      </c>
      <c r="J5" s="47" t="s">
        <v>189</v>
      </c>
    </row>
    <row r="6" spans="1:29" ht="42" customHeight="1">
      <c r="A6" s="89" t="s">
        <v>131</v>
      </c>
      <c r="B6" s="35" t="s">
        <v>132</v>
      </c>
      <c r="C6" s="91" t="s">
        <v>133</v>
      </c>
      <c r="D6" s="37" t="s">
        <v>194</v>
      </c>
      <c r="E6" s="37" t="s">
        <v>194</v>
      </c>
      <c r="F6" s="37" t="s">
        <v>194</v>
      </c>
      <c r="G6" s="37" t="s">
        <v>195</v>
      </c>
      <c r="H6" s="37" t="s">
        <v>195</v>
      </c>
      <c r="I6" s="37" t="s">
        <v>195</v>
      </c>
      <c r="J6" s="29"/>
    </row>
    <row r="7" spans="1:29" ht="44.25" customHeight="1">
      <c r="A7" s="75"/>
      <c r="B7" s="35" t="s">
        <v>134</v>
      </c>
      <c r="C7" s="75"/>
      <c r="D7" s="37" t="s">
        <v>194</v>
      </c>
      <c r="E7" s="37" t="s">
        <v>194</v>
      </c>
      <c r="F7" s="37" t="s">
        <v>194</v>
      </c>
      <c r="G7" s="37" t="s">
        <v>195</v>
      </c>
      <c r="H7" s="37" t="s">
        <v>195</v>
      </c>
      <c r="I7" s="37" t="s">
        <v>195</v>
      </c>
      <c r="J7" s="29"/>
    </row>
    <row r="8" spans="1:29" ht="45" customHeight="1">
      <c r="A8" s="76"/>
      <c r="B8" s="35" t="s">
        <v>135</v>
      </c>
      <c r="C8" s="76"/>
      <c r="D8" s="37" t="s">
        <v>194</v>
      </c>
      <c r="E8" s="37" t="s">
        <v>194</v>
      </c>
      <c r="F8" s="37" t="s">
        <v>194</v>
      </c>
      <c r="G8" s="37" t="s">
        <v>195</v>
      </c>
      <c r="H8" s="37" t="s">
        <v>195</v>
      </c>
      <c r="I8" s="37" t="s">
        <v>195</v>
      </c>
      <c r="J8" s="29"/>
    </row>
    <row r="9" spans="1:29" ht="14.25" customHeight="1">
      <c r="A9" s="90" t="s">
        <v>136</v>
      </c>
      <c r="B9" s="71"/>
      <c r="C9" s="71"/>
      <c r="D9" s="71"/>
      <c r="E9" s="71"/>
      <c r="F9" s="71"/>
      <c r="G9" s="71"/>
      <c r="H9" s="71"/>
      <c r="I9" s="72"/>
      <c r="J9" s="40"/>
      <c r="K9" s="20"/>
      <c r="L9" s="20"/>
      <c r="M9" s="20"/>
      <c r="N9" s="20"/>
      <c r="O9" s="20"/>
      <c r="P9" s="20"/>
      <c r="Q9" s="20"/>
      <c r="R9" s="20"/>
      <c r="S9" s="20"/>
      <c r="T9" s="20"/>
      <c r="U9" s="20"/>
      <c r="V9" s="20"/>
      <c r="W9" s="20"/>
      <c r="X9" s="20"/>
      <c r="Y9" s="20"/>
      <c r="Z9" s="20"/>
      <c r="AA9" s="20"/>
      <c r="AB9" s="20"/>
      <c r="AC9" s="20"/>
    </row>
    <row r="10" spans="1:29" ht="32.25" customHeight="1">
      <c r="A10" s="89">
        <v>4</v>
      </c>
      <c r="B10" s="42" t="s">
        <v>137</v>
      </c>
      <c r="C10" s="91" t="s">
        <v>25</v>
      </c>
      <c r="D10" s="37" t="s">
        <v>194</v>
      </c>
      <c r="E10" s="37" t="s">
        <v>194</v>
      </c>
      <c r="F10" s="37" t="s">
        <v>194</v>
      </c>
      <c r="G10" s="37" t="s">
        <v>195</v>
      </c>
      <c r="H10" s="37" t="s">
        <v>195</v>
      </c>
      <c r="I10" s="37" t="s">
        <v>195</v>
      </c>
      <c r="J10" s="38"/>
    </row>
    <row r="11" spans="1:29" ht="14.25" customHeight="1">
      <c r="A11" s="75"/>
      <c r="B11" s="35" t="s">
        <v>138</v>
      </c>
      <c r="C11" s="75"/>
      <c r="D11" s="37" t="s">
        <v>194</v>
      </c>
      <c r="E11" s="37" t="s">
        <v>194</v>
      </c>
      <c r="F11" s="37" t="s">
        <v>194</v>
      </c>
      <c r="G11" s="37" t="s">
        <v>195</v>
      </c>
      <c r="H11" s="37" t="s">
        <v>195</v>
      </c>
      <c r="I11" s="37" t="s">
        <v>195</v>
      </c>
      <c r="J11" s="29"/>
    </row>
    <row r="12" spans="1:29" ht="14.25" customHeight="1">
      <c r="A12" s="76"/>
      <c r="B12" s="35" t="s">
        <v>139</v>
      </c>
      <c r="C12" s="76"/>
      <c r="D12" s="37" t="s">
        <v>194</v>
      </c>
      <c r="E12" s="37" t="s">
        <v>194</v>
      </c>
      <c r="F12" s="37" t="s">
        <v>194</v>
      </c>
      <c r="G12" s="37" t="s">
        <v>195</v>
      </c>
      <c r="H12" s="37" t="s">
        <v>195</v>
      </c>
      <c r="I12" s="37" t="s">
        <v>195</v>
      </c>
      <c r="J12" s="29"/>
    </row>
    <row r="13" spans="1:29" ht="14.25" customHeight="1"/>
    <row r="14" spans="1:29" ht="14.25" customHeight="1"/>
    <row r="15" spans="1:29" ht="14.25" customHeight="1"/>
    <row r="16" spans="1:2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9:I9"/>
    <mergeCell ref="A10:A12"/>
    <mergeCell ref="C10:C12"/>
    <mergeCell ref="A1:I1"/>
    <mergeCell ref="D2:F2"/>
    <mergeCell ref="G2:I2"/>
    <mergeCell ref="A6:A8"/>
    <mergeCell ref="C6:C8"/>
  </mergeCells>
  <phoneticPr fontId="43"/>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opLeftCell="A16" workbookViewId="0">
      <selection activeCell="D25" sqref="D25"/>
    </sheetView>
  </sheetViews>
  <sheetFormatPr defaultColWidth="14.453125" defaultRowHeight="15" customHeight="1"/>
  <cols>
    <col min="1" max="1" width="8.7265625" customWidth="1"/>
    <col min="2" max="2" width="66.26953125" customWidth="1"/>
    <col min="3" max="9" width="8.7265625" customWidth="1"/>
    <col min="10" max="10" width="44.26953125" customWidth="1"/>
    <col min="11" max="29" width="8.7265625" customWidth="1"/>
  </cols>
  <sheetData>
    <row r="1" spans="1:29" ht="14.25" customHeight="1">
      <c r="A1" s="82" t="s">
        <v>140</v>
      </c>
      <c r="B1" s="71"/>
      <c r="C1" s="71"/>
      <c r="D1" s="71"/>
      <c r="E1" s="71"/>
      <c r="F1" s="71"/>
      <c r="G1" s="71"/>
      <c r="H1" s="71"/>
      <c r="I1" s="72"/>
      <c r="J1" s="40"/>
      <c r="K1" s="20"/>
      <c r="L1" s="20"/>
      <c r="M1" s="20"/>
      <c r="N1" s="20"/>
      <c r="O1" s="20"/>
      <c r="P1" s="20"/>
      <c r="Q1" s="20"/>
      <c r="R1" s="20"/>
      <c r="S1" s="20"/>
      <c r="T1" s="20"/>
      <c r="U1" s="20"/>
      <c r="V1" s="20"/>
      <c r="W1" s="20"/>
      <c r="X1" s="20"/>
      <c r="Y1" s="20"/>
      <c r="Z1" s="20"/>
      <c r="AA1" s="20"/>
      <c r="AB1" s="20"/>
      <c r="AC1" s="20"/>
    </row>
    <row r="2" spans="1:29" ht="14.25" customHeight="1">
      <c r="A2" s="30" t="s">
        <v>12</v>
      </c>
      <c r="B2" s="30" t="s">
        <v>13</v>
      </c>
      <c r="C2" s="30" t="s">
        <v>14</v>
      </c>
      <c r="D2" s="73" t="s">
        <v>15</v>
      </c>
      <c r="E2" s="71"/>
      <c r="F2" s="72"/>
      <c r="G2" s="88" t="s">
        <v>16</v>
      </c>
      <c r="H2" s="71"/>
      <c r="I2" s="72"/>
      <c r="J2" s="30" t="s">
        <v>107</v>
      </c>
    </row>
    <row r="3" spans="1:29" ht="37.5" customHeight="1">
      <c r="A3" s="32"/>
      <c r="B3" s="10" t="s">
        <v>18</v>
      </c>
      <c r="C3" s="30"/>
      <c r="D3" s="11" t="s">
        <v>96</v>
      </c>
      <c r="E3" s="11" t="s">
        <v>20</v>
      </c>
      <c r="F3" s="13" t="s">
        <v>21</v>
      </c>
      <c r="G3" s="33">
        <v>2021</v>
      </c>
      <c r="H3" s="33">
        <v>2022</v>
      </c>
      <c r="I3" s="33">
        <v>2023</v>
      </c>
      <c r="J3" s="29"/>
    </row>
    <row r="4" spans="1:29" ht="72.5">
      <c r="A4" s="34" t="s">
        <v>141</v>
      </c>
      <c r="B4" s="35" t="s">
        <v>142</v>
      </c>
      <c r="C4" s="36" t="s">
        <v>25</v>
      </c>
      <c r="D4" s="43"/>
      <c r="E4" s="43"/>
      <c r="F4" s="43"/>
      <c r="H4" s="43"/>
      <c r="I4" s="43">
        <v>27716.1</v>
      </c>
      <c r="J4" s="47" t="s">
        <v>175</v>
      </c>
    </row>
    <row r="5" spans="1:29" ht="46.5" customHeight="1">
      <c r="A5" s="34" t="s">
        <v>143</v>
      </c>
      <c r="B5" s="35" t="s">
        <v>144</v>
      </c>
      <c r="C5" s="36" t="s">
        <v>133</v>
      </c>
      <c r="D5" s="37" t="s">
        <v>194</v>
      </c>
      <c r="E5" s="37" t="s">
        <v>194</v>
      </c>
      <c r="F5" s="37" t="s">
        <v>194</v>
      </c>
      <c r="G5" s="37" t="s">
        <v>195</v>
      </c>
      <c r="H5" s="37" t="s">
        <v>195</v>
      </c>
      <c r="I5" s="37" t="s">
        <v>195</v>
      </c>
      <c r="J5" s="48" t="s">
        <v>176</v>
      </c>
    </row>
    <row r="6" spans="1:29" ht="14.25" customHeight="1">
      <c r="A6" s="34" t="s">
        <v>145</v>
      </c>
      <c r="B6" s="35" t="s">
        <v>146</v>
      </c>
      <c r="C6" s="36" t="s">
        <v>25</v>
      </c>
      <c r="D6" s="37" t="s">
        <v>194</v>
      </c>
      <c r="E6" s="37" t="s">
        <v>194</v>
      </c>
      <c r="F6" s="37" t="s">
        <v>194</v>
      </c>
      <c r="G6" s="37" t="s">
        <v>195</v>
      </c>
      <c r="H6" s="37" t="s">
        <v>195</v>
      </c>
      <c r="I6" s="37" t="s">
        <v>195</v>
      </c>
      <c r="J6" s="47" t="s">
        <v>177</v>
      </c>
    </row>
    <row r="7" spans="1:29" ht="15.75" customHeight="1">
      <c r="A7" s="89" t="s">
        <v>147</v>
      </c>
      <c r="B7" s="44" t="s">
        <v>148</v>
      </c>
      <c r="C7" s="36"/>
      <c r="D7" s="43"/>
      <c r="E7" s="43"/>
      <c r="F7" s="43"/>
      <c r="G7" s="43"/>
      <c r="H7" s="43"/>
      <c r="I7" s="43"/>
      <c r="J7" s="29"/>
    </row>
    <row r="8" spans="1:29" ht="60.5">
      <c r="A8" s="75"/>
      <c r="B8" s="35" t="s">
        <v>149</v>
      </c>
      <c r="C8" s="36" t="s">
        <v>25</v>
      </c>
      <c r="D8" s="37" t="s">
        <v>194</v>
      </c>
      <c r="E8" s="37" t="s">
        <v>194</v>
      </c>
      <c r="F8" s="37" t="s">
        <v>194</v>
      </c>
      <c r="G8" s="37" t="s">
        <v>195</v>
      </c>
      <c r="H8" s="37" t="s">
        <v>195</v>
      </c>
      <c r="I8" s="37" t="s">
        <v>195</v>
      </c>
      <c r="J8" s="38" t="s">
        <v>150</v>
      </c>
    </row>
    <row r="9" spans="1:29" ht="33.75" customHeight="1">
      <c r="A9" s="75"/>
      <c r="B9" s="35" t="s">
        <v>151</v>
      </c>
      <c r="C9" s="36" t="s">
        <v>25</v>
      </c>
      <c r="D9" s="37" t="s">
        <v>194</v>
      </c>
      <c r="E9" s="37" t="s">
        <v>194</v>
      </c>
      <c r="F9" s="37" t="s">
        <v>194</v>
      </c>
      <c r="G9" s="37" t="s">
        <v>195</v>
      </c>
      <c r="H9" s="37" t="s">
        <v>195</v>
      </c>
      <c r="I9" s="37" t="s">
        <v>195</v>
      </c>
      <c r="J9" s="38" t="s">
        <v>152</v>
      </c>
    </row>
    <row r="10" spans="1:29" ht="30" customHeight="1">
      <c r="A10" s="75"/>
      <c r="B10" s="35" t="s">
        <v>153</v>
      </c>
      <c r="C10" s="36" t="s">
        <v>133</v>
      </c>
      <c r="D10" s="37" t="s">
        <v>194</v>
      </c>
      <c r="E10" s="37" t="s">
        <v>194</v>
      </c>
      <c r="F10" s="37" t="s">
        <v>194</v>
      </c>
      <c r="G10" s="37" t="s">
        <v>195</v>
      </c>
      <c r="H10" s="37" t="s">
        <v>195</v>
      </c>
      <c r="I10" s="37" t="s">
        <v>195</v>
      </c>
      <c r="J10" s="29"/>
    </row>
    <row r="11" spans="1:29" ht="30.75" customHeight="1">
      <c r="A11" s="75"/>
      <c r="B11" s="35" t="s">
        <v>154</v>
      </c>
      <c r="C11" s="36" t="s">
        <v>25</v>
      </c>
      <c r="D11" s="37" t="s">
        <v>194</v>
      </c>
      <c r="E11" s="37" t="s">
        <v>194</v>
      </c>
      <c r="F11" s="37" t="s">
        <v>194</v>
      </c>
      <c r="G11" s="37" t="s">
        <v>195</v>
      </c>
      <c r="H11" s="37" t="s">
        <v>195</v>
      </c>
      <c r="I11" s="37" t="s">
        <v>195</v>
      </c>
      <c r="J11" s="38" t="s">
        <v>155</v>
      </c>
    </row>
    <row r="12" spans="1:29" ht="30" customHeight="1">
      <c r="A12" s="75"/>
      <c r="B12" s="35" t="s">
        <v>156</v>
      </c>
      <c r="C12" s="36" t="s">
        <v>133</v>
      </c>
      <c r="D12" s="37" t="s">
        <v>194</v>
      </c>
      <c r="E12" s="37" t="s">
        <v>194</v>
      </c>
      <c r="F12" s="37" t="s">
        <v>194</v>
      </c>
      <c r="G12" s="37" t="s">
        <v>195</v>
      </c>
      <c r="H12" s="37" t="s">
        <v>195</v>
      </c>
      <c r="I12" s="37" t="s">
        <v>195</v>
      </c>
      <c r="J12" s="29"/>
    </row>
    <row r="13" spans="1:29" ht="28.5" customHeight="1">
      <c r="A13" s="76"/>
      <c r="B13" s="35" t="s">
        <v>157</v>
      </c>
      <c r="C13" s="36" t="s">
        <v>133</v>
      </c>
      <c r="D13" s="37" t="s">
        <v>194</v>
      </c>
      <c r="E13" s="37" t="s">
        <v>194</v>
      </c>
      <c r="F13" s="37" t="s">
        <v>194</v>
      </c>
      <c r="G13" s="37" t="s">
        <v>195</v>
      </c>
      <c r="H13" s="37" t="s">
        <v>195</v>
      </c>
      <c r="I13" s="37" t="s">
        <v>195</v>
      </c>
      <c r="J13" s="29"/>
    </row>
    <row r="14" spans="1:29" ht="36.5">
      <c r="A14" s="89" t="s">
        <v>158</v>
      </c>
      <c r="B14" s="45" t="s">
        <v>159</v>
      </c>
      <c r="C14" s="91" t="s">
        <v>25</v>
      </c>
      <c r="D14" s="37" t="s">
        <v>194</v>
      </c>
      <c r="E14" s="37" t="s">
        <v>194</v>
      </c>
      <c r="F14" s="37" t="s">
        <v>194</v>
      </c>
      <c r="G14" s="37" t="s">
        <v>195</v>
      </c>
      <c r="H14" s="37" t="s">
        <v>195</v>
      </c>
      <c r="I14" s="37" t="s">
        <v>195</v>
      </c>
      <c r="J14" s="38" t="s">
        <v>160</v>
      </c>
    </row>
    <row r="15" spans="1:29" ht="27" customHeight="1">
      <c r="A15" s="75"/>
      <c r="B15" s="35" t="s">
        <v>161</v>
      </c>
      <c r="C15" s="75"/>
      <c r="D15" s="37" t="s">
        <v>194</v>
      </c>
      <c r="E15" s="37" t="s">
        <v>194</v>
      </c>
      <c r="F15" s="37" t="s">
        <v>194</v>
      </c>
      <c r="G15" s="37" t="s">
        <v>195</v>
      </c>
      <c r="H15" s="37" t="s">
        <v>195</v>
      </c>
      <c r="I15" s="37" t="s">
        <v>195</v>
      </c>
      <c r="J15" s="29"/>
    </row>
    <row r="16" spans="1:29" ht="36.75" customHeight="1">
      <c r="A16" s="76"/>
      <c r="B16" s="35" t="s">
        <v>162</v>
      </c>
      <c r="C16" s="76"/>
      <c r="D16" s="37" t="s">
        <v>194</v>
      </c>
      <c r="E16" s="37" t="s">
        <v>194</v>
      </c>
      <c r="F16" s="37" t="s">
        <v>194</v>
      </c>
      <c r="G16" s="37" t="s">
        <v>195</v>
      </c>
      <c r="H16" s="37" t="s">
        <v>195</v>
      </c>
      <c r="I16" s="37" t="s">
        <v>195</v>
      </c>
      <c r="J16" s="29"/>
    </row>
    <row r="17" spans="1:29" ht="14.25" customHeight="1">
      <c r="A17" s="89" t="s">
        <v>163</v>
      </c>
      <c r="B17" s="44" t="s">
        <v>164</v>
      </c>
      <c r="C17" s="91"/>
      <c r="D17" s="43"/>
      <c r="E17" s="43"/>
      <c r="F17" s="43"/>
      <c r="G17" s="43"/>
      <c r="H17" s="43"/>
      <c r="I17" s="43"/>
      <c r="J17" s="29"/>
    </row>
    <row r="18" spans="1:29" ht="33.75" customHeight="1">
      <c r="A18" s="75"/>
      <c r="B18" s="35" t="s">
        <v>165</v>
      </c>
      <c r="C18" s="75"/>
      <c r="D18" s="37" t="s">
        <v>194</v>
      </c>
      <c r="E18" s="37" t="s">
        <v>194</v>
      </c>
      <c r="F18" s="37" t="s">
        <v>194</v>
      </c>
      <c r="G18" s="43">
        <v>30</v>
      </c>
      <c r="H18" s="37" t="s">
        <v>195</v>
      </c>
      <c r="I18" s="37" t="s">
        <v>195</v>
      </c>
      <c r="J18" s="48" t="s">
        <v>192</v>
      </c>
    </row>
    <row r="19" spans="1:29" ht="30" customHeight="1">
      <c r="A19" s="76"/>
      <c r="B19" s="35" t="s">
        <v>166</v>
      </c>
      <c r="C19" s="76"/>
      <c r="D19" s="37" t="s">
        <v>194</v>
      </c>
      <c r="E19" s="37" t="s">
        <v>194</v>
      </c>
      <c r="F19" s="37" t="s">
        <v>194</v>
      </c>
      <c r="G19" s="43"/>
      <c r="H19" s="37" t="s">
        <v>195</v>
      </c>
      <c r="I19" s="37" t="s">
        <v>195</v>
      </c>
      <c r="J19" s="48" t="s">
        <v>191</v>
      </c>
    </row>
    <row r="20" spans="1:29" ht="31.5" customHeight="1">
      <c r="A20" s="34" t="s">
        <v>167</v>
      </c>
      <c r="B20" s="35" t="s">
        <v>168</v>
      </c>
      <c r="C20" s="36" t="s">
        <v>133</v>
      </c>
      <c r="D20" s="37" t="s">
        <v>194</v>
      </c>
      <c r="E20" s="37" t="s">
        <v>194</v>
      </c>
      <c r="F20" s="37" t="s">
        <v>194</v>
      </c>
      <c r="G20" s="60">
        <v>291200</v>
      </c>
      <c r="H20" s="37" t="s">
        <v>195</v>
      </c>
      <c r="I20" s="37" t="s">
        <v>195</v>
      </c>
      <c r="J20" s="48" t="s">
        <v>193</v>
      </c>
    </row>
    <row r="21" spans="1:29" ht="41.25" customHeight="1">
      <c r="A21" s="15" t="s">
        <v>169</v>
      </c>
      <c r="B21" s="35" t="s">
        <v>170</v>
      </c>
      <c r="C21" s="36" t="s">
        <v>25</v>
      </c>
      <c r="D21" s="37" t="s">
        <v>194</v>
      </c>
      <c r="E21" s="37" t="s">
        <v>194</v>
      </c>
      <c r="F21" s="37" t="s">
        <v>194</v>
      </c>
      <c r="G21" s="43"/>
      <c r="H21" s="37" t="s">
        <v>195</v>
      </c>
      <c r="I21" s="37" t="s">
        <v>195</v>
      </c>
      <c r="J21" s="38" t="s">
        <v>171</v>
      </c>
    </row>
    <row r="22" spans="1:29" ht="14.25" customHeight="1">
      <c r="A22" s="85" t="s">
        <v>136</v>
      </c>
      <c r="B22" s="71"/>
      <c r="C22" s="71"/>
      <c r="D22" s="71"/>
      <c r="E22" s="71"/>
      <c r="F22" s="71"/>
      <c r="G22" s="71"/>
      <c r="H22" s="71"/>
      <c r="I22" s="72"/>
      <c r="J22" s="46"/>
      <c r="K22" s="24"/>
      <c r="L22" s="24"/>
      <c r="M22" s="24"/>
      <c r="N22" s="24"/>
      <c r="O22" s="24"/>
      <c r="P22" s="24"/>
      <c r="Q22" s="24"/>
      <c r="R22" s="24"/>
      <c r="S22" s="24"/>
      <c r="T22" s="24"/>
      <c r="U22" s="24"/>
      <c r="V22" s="24"/>
      <c r="W22" s="24"/>
      <c r="X22" s="24"/>
      <c r="Y22" s="24"/>
      <c r="Z22" s="24"/>
      <c r="AA22" s="24"/>
      <c r="AB22" s="24"/>
      <c r="AC22" s="24"/>
    </row>
    <row r="23" spans="1:29" ht="24" customHeight="1">
      <c r="A23" s="34">
        <v>9</v>
      </c>
      <c r="B23" s="35" t="s">
        <v>172</v>
      </c>
      <c r="C23" s="15" t="s">
        <v>173</v>
      </c>
      <c r="D23" s="37" t="s">
        <v>194</v>
      </c>
      <c r="E23" s="37" t="s">
        <v>194</v>
      </c>
      <c r="F23" s="37" t="s">
        <v>194</v>
      </c>
      <c r="G23" s="43"/>
      <c r="H23" s="37" t="s">
        <v>195</v>
      </c>
      <c r="I23" s="37" t="s">
        <v>195</v>
      </c>
      <c r="J23" s="29"/>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7:C19"/>
    <mergeCell ref="A22:I22"/>
    <mergeCell ref="A1:I1"/>
    <mergeCell ref="D2:F2"/>
    <mergeCell ref="G2:I2"/>
    <mergeCell ref="A7:A13"/>
    <mergeCell ref="A14:A16"/>
    <mergeCell ref="C14:C16"/>
    <mergeCell ref="A17:A19"/>
  </mergeCells>
  <phoneticPr fontId="4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Miyanaka, Yasue[宮中 康江]</cp:lastModifiedBy>
  <dcterms:created xsi:type="dcterms:W3CDTF">2023-12-11T14:38:28Z</dcterms:created>
  <dcterms:modified xsi:type="dcterms:W3CDTF">2024-03-28T06:48:24Z</dcterms:modified>
</cp:coreProperties>
</file>