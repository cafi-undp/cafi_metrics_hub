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/>
  <mc:AlternateContent xmlns:mc="http://schemas.openxmlformats.org/markup-compatibility/2006">
    <mc:Choice Requires="x15">
      <x15ac:absPath xmlns:x15ac="http://schemas.microsoft.com/office/spreadsheetml/2010/11/ac" url="C:\Users\onishis\OneDrive - IUCN International Union for Conservation of Nature\Desktop\GEF CAFI\Reporting\2024 Format\"/>
    </mc:Choice>
  </mc:AlternateContent>
  <xr:revisionPtr revIDLastSave="2" documentId="8_{5A9CF151-F93D-4727-80A7-7E7919F4CD5E}" xr6:coauthVersionLast="36" xr6:coauthVersionMax="47" xr10:uidLastSave="{B3F1F2E2-3A55-4E51-92D3-ADBEBBFB6017}"/>
  <bookViews>
    <workbookView xWindow="-108" yWindow="-108" windowWidth="23256" windowHeight="13896" firstSheet="2" activeTab="3" xr2:uid="{00000000-000D-0000-FFFF-FFFF00000000}"/>
  </bookViews>
  <sheets>
    <sheet name="Sheet1" sheetId="1" r:id="rId1"/>
    <sheet name="Indicateurs d'Impact (4)" sheetId="2" r:id="rId2"/>
    <sheet name="Indicateurs d'Effet (7)" sheetId="3" r:id="rId3"/>
    <sheet name="Indicateurs de Produits transve" sheetId="4" r:id="rId4"/>
  </sheets>
  <calcPr calcId="191029"/>
  <extLst>
    <ext uri="GoogleSheetsCustomDataVersion2">
      <go:sheetsCustomData xmlns:go="http://customooxmlschemas.google.com/" r:id="rId5" roundtripDataChecksum="BqTqi4AQtk3rRb12XyQ24P30RaiI3N4piDzk1+gNgJY="/>
    </ext>
  </extLst>
</workbook>
</file>

<file path=xl/calcChain.xml><?xml version="1.0" encoding="utf-8"?>
<calcChain xmlns="http://schemas.openxmlformats.org/spreadsheetml/2006/main">
  <c r="J8" i="4" l="1"/>
  <c r="I8" i="4"/>
  <c r="F8" i="4"/>
  <c r="E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ONISHI Shizuka</author>
  </authors>
  <commentList>
    <comment ref="K7" authorId="0" shapeId="0" xr:uid="{4A898954-440B-492E-8815-F004193492CF}">
      <text>
        <r>
          <rPr>
            <b/>
            <sz val="9"/>
            <color indexed="81"/>
            <rFont val="Tahoma"/>
            <charset val="1"/>
          </rPr>
          <t>ONISHI Shizuka:</t>
        </r>
        <r>
          <rPr>
            <sz val="9"/>
            <color indexed="81"/>
            <rFont val="Tahoma"/>
            <charset val="1"/>
          </rPr>
          <t xml:space="preserve">
Given the lack of possibility to provide meaningful inputs now and in the future, It may be better to leave this tab entirely blank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ONISHI Shizuka</author>
  </authors>
  <commentList>
    <comment ref="G3" authorId="0" shapeId="0" xr:uid="{F4521BEC-88BD-4032-A1AA-D60F81DEB27D}">
      <text>
        <r>
          <rPr>
            <b/>
            <sz val="9"/>
            <color indexed="81"/>
            <rFont val="Tahoma"/>
            <family val="2"/>
          </rPr>
          <t>ONISHI Shizuka:</t>
        </r>
        <r>
          <rPr>
            <sz val="9"/>
            <color indexed="81"/>
            <rFont val="Tahoma"/>
            <family val="2"/>
          </rPr>
          <t xml:space="preserve">
Plan de Travail Budgétisé Annuelm to be approved by COPIL by 1Q (see Ligne directrice MEL)</t>
        </r>
      </text>
    </comment>
    <comment ref="K6" authorId="0" shapeId="0" xr:uid="{D9A2DDC5-7A28-408D-9D83-2B7FF25D3610}">
      <text>
        <r>
          <rPr>
            <b/>
            <sz val="9"/>
            <color indexed="81"/>
            <rFont val="Tahoma"/>
            <family val="2"/>
          </rPr>
          <t>ONISHI Shizuka:</t>
        </r>
        <r>
          <rPr>
            <sz val="9"/>
            <color indexed="81"/>
            <rFont val="Tahoma"/>
            <family val="2"/>
          </rPr>
          <t xml:space="preserve">
Target: sum of below
2023: 1 time held
2024: 2 times
2025: 2 times
2026: 2 times</t>
        </r>
      </text>
    </comment>
    <comment ref="C7" authorId="0" shapeId="0" xr:uid="{4928CD06-83DD-41BD-9ACB-4695D188BF94}">
      <text>
        <r>
          <rPr>
            <b/>
            <sz val="9"/>
            <color indexed="81"/>
            <rFont val="Tahoma"/>
            <family val="2"/>
          </rPr>
          <t>ONISHI Shizuka:</t>
        </r>
        <r>
          <rPr>
            <sz val="9"/>
            <color indexed="81"/>
            <rFont val="Tahoma"/>
            <family val="2"/>
          </rPr>
          <t xml:space="preserve">
There is no definition of Management Committee in the CAFI Manual of Operations</t>
        </r>
      </text>
    </comment>
    <comment ref="K8" authorId="0" shapeId="0" xr:uid="{35F938CD-7CC3-4AFF-A25A-9A38BD1E1279}">
      <text>
        <r>
          <rPr>
            <b/>
            <sz val="9"/>
            <color indexed="81"/>
            <rFont val="Tahoma"/>
            <family val="2"/>
          </rPr>
          <t>ONISHI Shizuka:</t>
        </r>
        <r>
          <rPr>
            <sz val="9"/>
            <color indexed="81"/>
            <rFont val="Tahoma"/>
            <family val="2"/>
          </rPr>
          <t xml:space="preserve">
Target amount is
 based on 1st pages of 2023 semestrial report (also see separate Excel on co-financing) https://iucnhq.sharepoint.com/:x:/s/NatureAcceleratorFund/EYSweHl3d2lFkz8wK85W5pEB95DCy2IFM84zRKMzYziCaA?e=HAMcbo </t>
        </r>
      </text>
    </comment>
  </commentList>
</comments>
</file>

<file path=xl/sharedStrings.xml><?xml version="1.0" encoding="utf-8"?>
<sst xmlns="http://schemas.openxmlformats.org/spreadsheetml/2006/main" count="132" uniqueCount="89">
  <si>
    <t>Les descriptifs des indicateurs, définitions, moyens de vérification etc sont disponibles en Annexe 2 des Lignes directrices sur le Suivi evaluation</t>
  </si>
  <si>
    <t>Pour les consulter, veuillez consulter ce lien</t>
  </si>
  <si>
    <t>https://docs.google.com/document/d/1QXgorU1FeYjtMqqILpspvCOW3aONwgpg/edit?usp=drive_link&amp;ouid=108442690432788652504&amp;rtpof=true&amp;sd=true</t>
  </si>
  <si>
    <r>
      <rPr>
        <sz val="11"/>
        <color rgb="FF000000"/>
        <rFont val="Arial"/>
      </rPr>
      <t>Si vous ne pouvez pas fournir des données sous un indicateur,</t>
    </r>
    <r>
      <rPr>
        <b/>
        <sz val="11"/>
        <color rgb="FF000000"/>
        <rFont val="Arial"/>
      </rPr>
      <t xml:space="preserve"> ne l'effacez pas</t>
    </r>
    <r>
      <rPr>
        <sz val="11"/>
        <color rgb="FF000000"/>
        <rFont val="Arial"/>
      </rPr>
      <t xml:space="preserve"> mais expliquez la raison sous la colonne "commentaire"</t>
    </r>
  </si>
  <si>
    <t>Pour toute question, consulter le Secrétariat du FONAREDD et de CAFI, de préférence avant le 30 janvier 2024</t>
  </si>
  <si>
    <t>Thématique </t>
  </si>
  <si>
    <t># </t>
  </si>
  <si>
    <t>Indicateurs </t>
  </si>
  <si>
    <t>Unité </t>
  </si>
  <si>
    <t>Cible</t>
  </si>
  <si>
    <t>Valeur</t>
  </si>
  <si>
    <t>Commentaire</t>
  </si>
  <si>
    <t>finale (prodoc)</t>
  </si>
  <si>
    <t>mi-parcours (prodoc)</t>
  </si>
  <si>
    <t>2023
(PTBA)</t>
  </si>
  <si>
    <t>Indicateurs d’Impact (4) </t>
  </si>
  <si>
    <t>I1. Couvert forestier et émissions </t>
  </si>
  <si>
    <t>Estimation de la réduction des émissions et des augmentations d’absorptions grâce à l’appui du projet </t>
  </si>
  <si>
    <t>tCO2</t>
  </si>
  <si>
    <t>I2. Amélioration des conditions de vie</t>
  </si>
  <si>
    <t>Nombre de bénéficiaires directs, désagrégé par le genre, les minorités et la zone d’intervention </t>
  </si>
  <si>
    <t>Nombre</t>
  </si>
  <si>
    <t>Nombre de bénéficiaires indirects, désagrégé par zone d’intervention</t>
  </si>
  <si>
    <t>Nombre d’emplois créés le long de la chaîne de valeur, désagrégé par </t>
  </si>
  <si>
    <t>Nombre de cuissons propres proposées</t>
  </si>
  <si>
    <t>Projets portant sur l’Energie</t>
  </si>
  <si>
    <t>Montant des ventes de solution de cuisson propres</t>
  </si>
  <si>
    <t>Projets portant sur la foresterie</t>
  </si>
  <si>
    <t>Superficies de forêts sous plan de gestion forestière</t>
  </si>
  <si>
    <t>Existence et opérationnalisation d’un système sécurisé pour assurer le suivi robuste de la légalité du bois </t>
  </si>
  <si>
    <t>Projets portant sur les mines et hydrocarbures</t>
  </si>
  <si>
    <t>Volume de financements mobilisés (CAFI / autres) en faveur des industries extractives forest-friendly </t>
  </si>
  <si>
    <t>Projets portant sur la démographie</t>
  </si>
  <si>
    <t>Années couple de protection, ventilées par la géographie</t>
  </si>
  <si>
    <t>Taux d’adoption des solutions de cuisson propre (GPL ou foyers améliorés) (Désagrégé par zone d’intervention)</t>
  </si>
  <si>
    <t>Nb</t>
  </si>
  <si>
    <t>Ha</t>
  </si>
  <si>
    <t>$</t>
  </si>
  <si>
    <t>Indicateurs Effet / Outcome (7)</t>
  </si>
  <si>
    <t>G1</t>
  </si>
  <si>
    <r>
      <t xml:space="preserve">Nb de personnes participant activement aux structures de gouvernance, </t>
    </r>
    <r>
      <rPr>
        <i/>
        <sz val="9"/>
        <color rgb="FF000000"/>
        <rFont val="Arial"/>
        <family val="2"/>
      </rPr>
      <t>ventilé par type de structure, par le genre, par le type d’institutions (eg ONG) et par groupe vulnérable (Peuples Autochtones)</t>
    </r>
  </si>
  <si>
    <t>G2</t>
  </si>
  <si>
    <r>
      <t xml:space="preserve">Nombre de visites de suivi réalisées par les agents du projet, </t>
    </r>
    <r>
      <rPr>
        <i/>
        <sz val="9"/>
        <color rgb="FF000000"/>
        <rFont val="Arial"/>
        <family val="2"/>
      </rPr>
      <t>ventilé par type </t>
    </r>
  </si>
  <si>
    <t>G3</t>
  </si>
  <si>
    <t>Nombre de réunions du COPIL de projet organisées et préparées en adéquation avec le Règlement d’ordre intérieur et les TOR/MOP de CAFI et du FONAREDD</t>
  </si>
  <si>
    <t>G4</t>
  </si>
  <si>
    <t>Nombre de réunions du Comité de gestion de projet (FONAREDD, CAFI, Agence) organisés et préparés de manière adéquate</t>
  </si>
  <si>
    <t>Mobilisation des investissements</t>
  </si>
  <si>
    <t>M1</t>
  </si>
  <si>
    <t>Co-financements mobilisés par le projet, dont financements</t>
  </si>
  <si>
    <t>M2</t>
  </si>
  <si>
    <t>Nombre de document de politique élaborés avec l’appui du projet, dont approuvés</t>
  </si>
  <si>
    <t>Nombre de projets de loi appuyés et leur statut (eg adoption par le Conseil des Ministres, adoption par l’Assemblée ou le Sénat etc)</t>
  </si>
  <si>
    <t>Nombre de réunions interministérielles appuyées par le projet chaque année</t>
  </si>
  <si>
    <t>Transparence, communications, coordination</t>
  </si>
  <si>
    <t>T1</t>
  </si>
  <si>
    <t>T2</t>
  </si>
  <si>
    <t>T3</t>
  </si>
  <si>
    <t>Pourcentage de campagnes utilisant des outils pour viser spécifiquement les minorités et groupes vulnérables</t>
  </si>
  <si>
    <t>Développement de capacités </t>
  </si>
  <si>
    <t>D1</t>
  </si>
  <si>
    <t>D2</t>
  </si>
  <si>
    <t>D3</t>
  </si>
  <si>
    <t>D4</t>
  </si>
  <si>
    <t>D5</t>
  </si>
  <si>
    <t>Nombre de personnes déclarant utiliser (ou utilisant) les outils et informations  auxquels ils ont été formés un an après la formation </t>
  </si>
  <si>
    <t>a. En amont du projet
b. Pendant la mise en œuvre du projet</t>
  </si>
  <si>
    <t>R1</t>
  </si>
  <si>
    <t>R2</t>
  </si>
  <si>
    <t>R3</t>
  </si>
  <si>
    <t>R4</t>
  </si>
  <si>
    <t>R5</t>
  </si>
  <si>
    <r>
      <t xml:space="preserve">Réformes et appropriation nationale
</t>
    </r>
    <r>
      <rPr>
        <sz val="8"/>
        <color theme="4"/>
        <rFont val="Avenir"/>
      </rPr>
      <t>Le Cadre réglementaire et normatif est  enrichi et actualisé intégrant les évolutions des enjeux internationaux sur le climat et en cohérence avec les nouvelles politiques sectorielles</t>
    </r>
  </si>
  <si>
    <r>
      <t xml:space="preserve">Gouvernance du projet 
</t>
    </r>
    <r>
      <rPr>
        <sz val="8"/>
        <color theme="4"/>
        <rFont val="Avenir"/>
      </rPr>
      <t>Les structures de gouvernance du projet fonctionnent</t>
    </r>
  </si>
  <si>
    <t>Nombre de textes réglementaires prioritaires rédigés avec l’appui du projet, dont approuvés</t>
  </si>
  <si>
    <t xml:space="preserve">Nombre d’unités (unité de passation de marché, cellule technique, etc) appuyées activement, ventilé par type et statut </t>
  </si>
  <si>
    <r>
      <t xml:space="preserve">Nombre (calculé) de personnes touchées par les campagnes de communication </t>
    </r>
    <r>
      <rPr>
        <sz val="8"/>
        <color rgb="FF000000"/>
        <rFont val="Arial"/>
        <family val="2"/>
      </rPr>
      <t>visant principalement à informer sur le projet </t>
    </r>
  </si>
  <si>
    <r>
      <t xml:space="preserve">Nombre (calculé) de personnes touchées par les campagnes de communication </t>
    </r>
    <r>
      <rPr>
        <sz val="8"/>
        <color rgb="FF000000"/>
        <rFont val="Arial"/>
        <family val="2"/>
      </rPr>
      <t>visant principalement à modifier les attitudes et pratiques </t>
    </r>
  </si>
  <si>
    <r>
      <t>Nb de contrats de performance signés avec les services techniques locaux pour leur implication opérationnelle et évalués annuellement</t>
    </r>
    <r>
      <rPr>
        <i/>
        <sz val="8"/>
        <color rgb="FF000000"/>
        <rFont val="Arial"/>
        <family val="2"/>
      </rPr>
      <t>, ventilé par niveau de performance/satisfaction</t>
    </r>
  </si>
  <si>
    <r>
      <t>Nombre d’individus équipés et opérationnels</t>
    </r>
    <r>
      <rPr>
        <sz val="8"/>
        <color rgb="FF000000"/>
        <rFont val="Arial"/>
        <family val="2"/>
      </rPr>
      <t>, ventilé par a) services techniques gouvernementaux b) organisations non gouvernementales ou de la société civile </t>
    </r>
  </si>
  <si>
    <t>Nombre de personnes formées, ventilées par:
type de formation au sein de la Société civile, du secteur privé ou du Gouvernement
Lieu  
Genre
Vulnérabilité (peuples autochtones)</t>
  </si>
  <si>
    <r>
      <t xml:space="preserve">dont nombre de personnes dont la formation permet de recevoir une accréditation ou un diplôme </t>
    </r>
    <r>
      <rPr>
        <u/>
        <sz val="8"/>
        <color rgb="FF000000"/>
        <rFont val="Arial"/>
        <family val="2"/>
      </rPr>
      <t>formels</t>
    </r>
  </si>
  <si>
    <t>Indicateurs de Produits transversaux (19)</t>
  </si>
  <si>
    <t>Target for Outcome 1 is defined 10 years after the project (see Results Matrix in the Prodoc (pp.46-). Given the Initiative’s increased focus on supporting early-stage feasibility studies, social and environmental impacts will be generated once the investee/grantee projects attract follow-on investments at a later stage.</t>
  </si>
  <si>
    <t>GEF $8,992,500
TNC $99,888.46
Orange $37M</t>
  </si>
  <si>
    <t>N/A</t>
  </si>
  <si>
    <t xml:space="preserve">8 projects </t>
  </si>
  <si>
    <t>30 projects</t>
  </si>
  <si>
    <t>Number of projects (investees) to be supported by the TA small grants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</si>
</sst>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23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venir"/>
    </font>
    <font>
      <u/>
      <sz val="11"/>
      <color theme="10"/>
      <name val="Calibri"/>
    </font>
    <font>
      <sz val="11"/>
      <color rgb="FF000000"/>
      <name val="Arial"/>
    </font>
    <font>
      <sz val="11"/>
      <color theme="1"/>
      <name val="Calibri"/>
      <scheme val="minor"/>
    </font>
    <font>
      <b/>
      <sz val="11"/>
      <color rgb="FF000000"/>
      <name val="Arial"/>
    </font>
    <font>
      <b/>
      <sz val="8"/>
      <color theme="1"/>
      <name val="Avenir"/>
    </font>
    <font>
      <sz val="8"/>
      <color theme="1"/>
      <name val="Avenir"/>
    </font>
    <font>
      <sz val="8"/>
      <color theme="1"/>
      <name val="Calibri"/>
      <family val="2"/>
      <scheme val="minor"/>
    </font>
    <font>
      <sz val="8"/>
      <color rgb="FF4472C4"/>
      <name val="Avenir"/>
    </font>
    <font>
      <sz val="8"/>
      <color rgb="FF000000"/>
      <name val="Arial"/>
      <family val="2"/>
    </font>
    <font>
      <i/>
      <sz val="9"/>
      <color rgb="FF000000"/>
      <name val="Arial"/>
      <family val="2"/>
    </font>
    <font>
      <sz val="8"/>
      <color theme="4"/>
      <name val="Avenir"/>
    </font>
    <font>
      <i/>
      <sz val="8"/>
      <color rgb="FF000000"/>
      <name val="Arial"/>
      <family val="2"/>
    </font>
    <font>
      <sz val="8"/>
      <color rgb="FF000000"/>
      <name val="Avenir"/>
    </font>
    <font>
      <u/>
      <sz val="8"/>
      <color rgb="FF000000"/>
      <name val="Arial"/>
      <family val="2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/>
    <xf numFmtId="0" fontId="9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9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2" xfId="0" applyFont="1" applyBorder="1" applyAlignment="1"/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8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wrapText="1"/>
    </xf>
    <xf numFmtId="0" fontId="17" fillId="2" borderId="2" xfId="0" applyFont="1" applyFill="1" applyBorder="1" applyAlignment="1">
      <alignment horizontal="left" vertical="top" wrapText="1"/>
    </xf>
    <xf numFmtId="0" fontId="0" fillId="0" borderId="0" xfId="0" applyFont="1" applyAlignment="1">
      <alignment wrapText="1"/>
    </xf>
    <xf numFmtId="0" fontId="17" fillId="0" borderId="2" xfId="0" applyFont="1" applyBorder="1" applyAlignment="1">
      <alignment vertical="top" wrapText="1"/>
    </xf>
    <xf numFmtId="164" fontId="17" fillId="0" borderId="2" xfId="0" applyNumberFormat="1" applyFont="1" applyBorder="1" applyAlignment="1"/>
    <xf numFmtId="0" fontId="8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0" fillId="3" borderId="2" xfId="0" applyFont="1" applyFill="1" applyBorder="1" applyAlignment="1"/>
    <xf numFmtId="164" fontId="17" fillId="3" borderId="2" xfId="0" applyNumberFormat="1" applyFont="1" applyFill="1" applyBorder="1" applyAlignment="1"/>
    <xf numFmtId="15" fontId="22" fillId="0" borderId="2" xfId="0" applyNumberFormat="1" applyFont="1" applyBorder="1" applyAlignment="1">
      <alignment wrapText="1"/>
    </xf>
    <xf numFmtId="0" fontId="17" fillId="0" borderId="4" xfId="0" applyFont="1" applyBorder="1" applyAlignment="1">
      <alignment horizontal="center" vertical="top"/>
    </xf>
    <xf numFmtId="0" fontId="17" fillId="3" borderId="4" xfId="0" applyFont="1" applyFill="1" applyBorder="1" applyAlignment="1">
      <alignment horizontal="center" vertical="top"/>
    </xf>
    <xf numFmtId="0" fontId="17" fillId="0" borderId="5" xfId="0" applyFont="1" applyBorder="1" applyAlignment="1">
      <alignment horizontal="center" vertical="top"/>
    </xf>
    <xf numFmtId="0" fontId="17" fillId="3" borderId="5" xfId="0" applyFont="1" applyFill="1" applyBorder="1" applyAlignment="1">
      <alignment horizontal="center" vertical="top"/>
    </xf>
    <xf numFmtId="0" fontId="17" fillId="0" borderId="3" xfId="0" applyFont="1" applyBorder="1" applyAlignment="1">
      <alignment horizontal="center" vertical="top"/>
    </xf>
    <xf numFmtId="0" fontId="17" fillId="3" borderId="3" xfId="0" applyFont="1" applyFill="1" applyBorder="1" applyAlignment="1">
      <alignment horizontal="center" vertical="top"/>
    </xf>
    <xf numFmtId="0" fontId="0" fillId="0" borderId="2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95325" cy="1524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533400</xdr:colOff>
      <xdr:row>0</xdr:row>
      <xdr:rowOff>200025</xdr:rowOff>
    </xdr:from>
    <xdr:ext cx="857250" cy="11811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document/d/1QXgorU1FeYjtMqqILpspvCOW3aONwgpg/edit?usp=drive_link&amp;ouid=108442690432788652504&amp;rtpof=true&amp;sd=tru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workbookViewId="0"/>
  </sheetViews>
  <sheetFormatPr defaultColWidth="14.44140625" defaultRowHeight="15" customHeight="1"/>
  <cols>
    <col min="1" max="26" width="8.6640625" customWidth="1"/>
  </cols>
  <sheetData>
    <row r="1" spans="1:16" ht="126" customHeight="1">
      <c r="A1" s="1"/>
      <c r="B1" s="1"/>
      <c r="C1" s="1"/>
      <c r="D1" s="1"/>
      <c r="E1" s="1"/>
      <c r="G1" s="1"/>
      <c r="I1" s="1"/>
      <c r="J1" s="1"/>
      <c r="K1" s="1"/>
      <c r="L1" s="1"/>
      <c r="M1" s="1"/>
      <c r="N1" s="1"/>
      <c r="O1" s="1"/>
      <c r="P1" s="1"/>
    </row>
    <row r="2" spans="1:16" ht="14.2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25" customHeight="1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>
      <c r="A6" s="4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>
      <c r="A7" s="2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4.25" customHeight="1"/>
    <row r="9" spans="1:16" ht="14.25" customHeight="1">
      <c r="A9" s="5"/>
    </row>
    <row r="10" spans="1:16" ht="14.25" customHeight="1"/>
    <row r="11" spans="1:16" ht="14.25" customHeight="1"/>
    <row r="12" spans="1:16" ht="14.25" customHeight="1"/>
    <row r="13" spans="1:16" ht="14.25" customHeight="1"/>
    <row r="14" spans="1:16" ht="14.25" customHeight="1"/>
    <row r="15" spans="1:16" ht="14.25" customHeight="1"/>
    <row r="16" spans="1: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A4" r:id="rId1" xr:uid="{00000000-0004-0000-0000-000000000000}"/>
  </hyperlinks>
  <pageMargins left="0.7" right="0.7" top="0.75" bottom="0.75" header="0" footer="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7FD97-4038-4106-88AC-F6A2EFA62D20}">
  <dimension ref="A1:K8"/>
  <sheetViews>
    <sheetView workbookViewId="0">
      <selection activeCell="A2" sqref="A2:K3"/>
    </sheetView>
  </sheetViews>
  <sheetFormatPr defaultRowHeight="14.4"/>
  <cols>
    <col min="1" max="1" width="16.88671875" customWidth="1"/>
    <col min="3" max="3" width="43.5546875" customWidth="1"/>
    <col min="11" max="11" width="43.44140625" customWidth="1"/>
  </cols>
  <sheetData>
    <row r="1" spans="1:11">
      <c r="A1" s="22" t="s">
        <v>15</v>
      </c>
      <c r="B1" s="22"/>
      <c r="C1" s="22"/>
      <c r="D1" s="22"/>
      <c r="E1" s="22"/>
      <c r="F1" s="22"/>
      <c r="G1" s="22"/>
      <c r="H1" s="22"/>
      <c r="I1" s="22"/>
      <c r="J1" s="22"/>
      <c r="K1" s="6"/>
    </row>
    <row r="2" spans="1:11">
      <c r="A2" s="7" t="s">
        <v>5</v>
      </c>
      <c r="B2" s="7" t="s">
        <v>6</v>
      </c>
      <c r="C2" s="7" t="s">
        <v>7</v>
      </c>
      <c r="D2" s="7" t="s">
        <v>8</v>
      </c>
      <c r="E2" s="23" t="s">
        <v>9</v>
      </c>
      <c r="F2" s="23"/>
      <c r="G2" s="23"/>
      <c r="H2" s="23" t="s">
        <v>10</v>
      </c>
      <c r="I2" s="23"/>
      <c r="J2" s="23"/>
      <c r="K2" s="8" t="s">
        <v>11</v>
      </c>
    </row>
    <row r="3" spans="1:11" ht="20.399999999999999">
      <c r="A3" s="9"/>
      <c r="B3" s="9"/>
      <c r="C3" s="10"/>
      <c r="D3" s="9"/>
      <c r="E3" s="7" t="s">
        <v>12</v>
      </c>
      <c r="F3" s="7" t="s">
        <v>13</v>
      </c>
      <c r="G3" s="7" t="s">
        <v>14</v>
      </c>
      <c r="H3" s="7">
        <v>2021</v>
      </c>
      <c r="I3" s="7">
        <v>2022</v>
      </c>
      <c r="J3" s="7">
        <v>2023</v>
      </c>
      <c r="K3" s="6"/>
    </row>
    <row r="4" spans="1:11" ht="45.6" customHeight="1">
      <c r="A4" s="7" t="s">
        <v>16</v>
      </c>
      <c r="B4" s="7">
        <v>1</v>
      </c>
      <c r="C4" s="7" t="s">
        <v>17</v>
      </c>
      <c r="D4" s="7" t="s">
        <v>18</v>
      </c>
      <c r="E4" s="11"/>
      <c r="F4" s="11"/>
      <c r="G4" s="11"/>
      <c r="H4" s="11"/>
      <c r="I4" s="11"/>
      <c r="J4" s="11"/>
      <c r="K4" s="11"/>
    </row>
    <row r="5" spans="1:11" ht="41.4" customHeight="1">
      <c r="A5" s="24" t="s">
        <v>19</v>
      </c>
      <c r="B5" s="7">
        <v>1</v>
      </c>
      <c r="C5" s="7" t="s">
        <v>20</v>
      </c>
      <c r="D5" s="7" t="s">
        <v>21</v>
      </c>
      <c r="E5" s="11"/>
      <c r="F5" s="11"/>
      <c r="G5" s="11"/>
      <c r="H5" s="11"/>
      <c r="I5" s="11"/>
      <c r="J5" s="11"/>
      <c r="K5" s="11"/>
    </row>
    <row r="6" spans="1:11" ht="20.399999999999999">
      <c r="A6" s="25"/>
      <c r="B6" s="7">
        <v>2</v>
      </c>
      <c r="C6" s="7" t="s">
        <v>22</v>
      </c>
      <c r="D6" s="7"/>
      <c r="E6" s="11"/>
      <c r="F6" s="11"/>
      <c r="G6" s="11"/>
      <c r="H6" s="11"/>
      <c r="I6" s="11"/>
      <c r="J6" s="11"/>
      <c r="K6" s="11"/>
    </row>
    <row r="7" spans="1:11" ht="20.399999999999999">
      <c r="A7" s="26"/>
      <c r="B7" s="7">
        <v>3</v>
      </c>
      <c r="C7" s="7" t="s">
        <v>23</v>
      </c>
      <c r="D7" s="7" t="s">
        <v>21</v>
      </c>
      <c r="E7" s="11"/>
      <c r="F7" s="11"/>
      <c r="G7" s="11"/>
      <c r="H7" s="11"/>
      <c r="I7" s="11"/>
      <c r="J7" s="11"/>
      <c r="K7" s="11"/>
    </row>
    <row r="8" spans="1:11">
      <c r="A8" s="13"/>
    </row>
  </sheetData>
  <mergeCells count="4">
    <mergeCell ref="A1:J1"/>
    <mergeCell ref="E2:G2"/>
    <mergeCell ref="H2:J2"/>
    <mergeCell ref="A5:A7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027D-F5FD-4814-96D8-1DCC1AEF34A5}">
  <dimension ref="A1:K11"/>
  <sheetViews>
    <sheetView workbookViewId="0">
      <selection activeCell="K7" sqref="K7"/>
    </sheetView>
  </sheetViews>
  <sheetFormatPr defaultRowHeight="14.4"/>
  <cols>
    <col min="1" max="1" width="27.88671875" customWidth="1"/>
    <col min="3" max="3" width="55.6640625" customWidth="1"/>
    <col min="11" max="11" width="22.77734375" style="19" customWidth="1"/>
  </cols>
  <sheetData>
    <row r="1" spans="1:11" ht="14.4" customHeight="1">
      <c r="A1" s="27" t="s">
        <v>38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14.4" customHeight="1">
      <c r="A2" s="7" t="s">
        <v>5</v>
      </c>
      <c r="B2" s="7" t="s">
        <v>6</v>
      </c>
      <c r="C2" s="7" t="s">
        <v>7</v>
      </c>
      <c r="D2" s="7" t="s">
        <v>8</v>
      </c>
      <c r="E2" s="23" t="s">
        <v>9</v>
      </c>
      <c r="F2" s="23"/>
      <c r="G2" s="23"/>
      <c r="H2" s="23" t="s">
        <v>10</v>
      </c>
      <c r="I2" s="23"/>
      <c r="J2" s="23"/>
      <c r="K2" s="8" t="s">
        <v>11</v>
      </c>
    </row>
    <row r="3" spans="1:11" ht="45.6" customHeight="1">
      <c r="A3" s="9"/>
      <c r="B3" s="9"/>
      <c r="C3" s="10"/>
      <c r="D3" s="9"/>
      <c r="E3" s="7" t="s">
        <v>12</v>
      </c>
      <c r="F3" s="7" t="s">
        <v>13</v>
      </c>
      <c r="G3" s="7" t="s">
        <v>14</v>
      </c>
      <c r="H3" s="7">
        <v>2021</v>
      </c>
      <c r="I3" s="7">
        <v>2022</v>
      </c>
      <c r="J3" s="7">
        <v>2023</v>
      </c>
      <c r="K3" s="6"/>
    </row>
    <row r="4" spans="1:11" ht="20.399999999999999" customHeight="1">
      <c r="A4" s="29" t="s">
        <v>25</v>
      </c>
      <c r="B4" s="7"/>
      <c r="C4" s="7" t="s">
        <v>24</v>
      </c>
      <c r="D4" s="7" t="s">
        <v>35</v>
      </c>
      <c r="E4" s="7"/>
      <c r="F4" s="11"/>
      <c r="G4" s="11"/>
      <c r="H4" s="11"/>
      <c r="I4" s="11"/>
      <c r="J4" s="11"/>
      <c r="K4" s="17"/>
    </row>
    <row r="5" spans="1:11" ht="37.200000000000003" customHeight="1">
      <c r="A5" s="29"/>
      <c r="B5" s="7"/>
      <c r="C5" s="7" t="s">
        <v>34</v>
      </c>
      <c r="D5" s="7"/>
      <c r="E5" s="7"/>
      <c r="F5" s="11"/>
      <c r="G5" s="11"/>
      <c r="H5" s="11"/>
      <c r="I5" s="11"/>
      <c r="J5" s="11"/>
      <c r="K5" s="17"/>
    </row>
    <row r="6" spans="1:11" ht="53.4" customHeight="1">
      <c r="A6" s="29"/>
      <c r="B6" s="7"/>
      <c r="C6" s="7" t="s">
        <v>26</v>
      </c>
      <c r="D6" s="7" t="s">
        <v>37</v>
      </c>
      <c r="E6" s="7"/>
      <c r="F6" s="11"/>
      <c r="G6" s="11"/>
      <c r="H6" s="11"/>
      <c r="I6" s="11"/>
      <c r="J6" s="11"/>
      <c r="K6" s="17"/>
    </row>
    <row r="7" spans="1:11" ht="132">
      <c r="A7" s="30" t="s">
        <v>27</v>
      </c>
      <c r="B7" s="16"/>
      <c r="C7" s="16" t="s">
        <v>28</v>
      </c>
      <c r="D7" s="16" t="s">
        <v>36</v>
      </c>
      <c r="E7" s="16" t="s">
        <v>85</v>
      </c>
      <c r="F7" s="16" t="s">
        <v>85</v>
      </c>
      <c r="G7" s="16" t="s">
        <v>85</v>
      </c>
      <c r="H7" s="16" t="s">
        <v>85</v>
      </c>
      <c r="I7" s="16" t="s">
        <v>85</v>
      </c>
      <c r="J7" s="16" t="s">
        <v>85</v>
      </c>
      <c r="K7" s="18" t="s">
        <v>83</v>
      </c>
    </row>
    <row r="8" spans="1:11" ht="39.6" customHeight="1">
      <c r="A8" s="30"/>
      <c r="B8" s="7"/>
      <c r="C8" s="7" t="s">
        <v>29</v>
      </c>
      <c r="D8" s="7" t="s">
        <v>35</v>
      </c>
      <c r="E8" s="7"/>
      <c r="F8" s="11"/>
      <c r="G8" s="11"/>
      <c r="H8" s="11"/>
      <c r="I8" s="11"/>
      <c r="J8" s="11"/>
      <c r="K8" s="17"/>
    </row>
    <row r="9" spans="1:11" ht="32.4" customHeight="1">
      <c r="A9" s="14" t="s">
        <v>30</v>
      </c>
      <c r="B9" s="7"/>
      <c r="C9" s="7" t="s">
        <v>31</v>
      </c>
      <c r="D9" s="7" t="s">
        <v>37</v>
      </c>
      <c r="E9" s="7"/>
      <c r="F9" s="11"/>
      <c r="G9" s="11"/>
      <c r="H9" s="11"/>
      <c r="I9" s="11"/>
      <c r="J9" s="11"/>
      <c r="K9" s="17"/>
    </row>
    <row r="10" spans="1:11" ht="35.4" customHeight="1">
      <c r="A10" s="14" t="s">
        <v>32</v>
      </c>
      <c r="B10" s="7"/>
      <c r="C10" s="7" t="s">
        <v>33</v>
      </c>
      <c r="D10" s="7"/>
      <c r="E10" s="7"/>
      <c r="F10" s="11"/>
      <c r="G10" s="11"/>
      <c r="H10" s="11"/>
      <c r="I10" s="11"/>
      <c r="J10" s="11"/>
      <c r="K10" s="17"/>
    </row>
    <row r="11" spans="1:11">
      <c r="A11" s="13"/>
      <c r="B11" s="13"/>
      <c r="C11" s="13"/>
      <c r="D11" s="13"/>
      <c r="E11" s="13"/>
    </row>
  </sheetData>
  <mergeCells count="5">
    <mergeCell ref="H2:J2"/>
    <mergeCell ref="A1:K1"/>
    <mergeCell ref="A4:A6"/>
    <mergeCell ref="A7:A8"/>
    <mergeCell ref="E2:G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59433-82AC-4476-8BE4-0A9BE20E6888}">
  <dimension ref="A1:K26"/>
  <sheetViews>
    <sheetView tabSelected="1" zoomScaleNormal="100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G3" sqref="G3"/>
    </sheetView>
  </sheetViews>
  <sheetFormatPr defaultRowHeight="14.4"/>
  <cols>
    <col min="1" max="1" width="45" customWidth="1"/>
    <col min="3" max="3" width="95.6640625" customWidth="1"/>
    <col min="5" max="6" width="12" bestFit="1" customWidth="1"/>
    <col min="9" max="10" width="12" bestFit="1" customWidth="1"/>
    <col min="11" max="11" width="16.109375" style="19" customWidth="1"/>
  </cols>
  <sheetData>
    <row r="1" spans="1:11">
      <c r="A1" s="27" t="s">
        <v>82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>
      <c r="A2" s="7" t="s">
        <v>5</v>
      </c>
      <c r="B2" s="7" t="s">
        <v>6</v>
      </c>
      <c r="C2" s="7" t="s">
        <v>7</v>
      </c>
      <c r="D2" s="7" t="s">
        <v>8</v>
      </c>
      <c r="E2" s="23" t="s">
        <v>9</v>
      </c>
      <c r="F2" s="23"/>
      <c r="G2" s="23"/>
      <c r="H2" s="23" t="s">
        <v>10</v>
      </c>
      <c r="I2" s="23"/>
      <c r="J2" s="23"/>
      <c r="K2" s="15" t="s">
        <v>11</v>
      </c>
    </row>
    <row r="3" spans="1:11" ht="20.399999999999999">
      <c r="A3" s="9"/>
      <c r="B3" s="9"/>
      <c r="C3" s="10"/>
      <c r="D3" s="9"/>
      <c r="E3" s="7" t="s">
        <v>12</v>
      </c>
      <c r="F3" s="7" t="s">
        <v>13</v>
      </c>
      <c r="G3" s="7" t="s">
        <v>14</v>
      </c>
      <c r="H3" s="7">
        <v>2021</v>
      </c>
      <c r="I3" s="7">
        <v>2022</v>
      </c>
      <c r="J3" s="7">
        <v>2023</v>
      </c>
      <c r="K3" s="6"/>
    </row>
    <row r="4" spans="1:11" ht="22.8">
      <c r="A4" s="23" t="s">
        <v>73</v>
      </c>
      <c r="B4" s="7" t="s">
        <v>39</v>
      </c>
      <c r="C4" s="7" t="s">
        <v>40</v>
      </c>
      <c r="D4" s="7" t="s">
        <v>35</v>
      </c>
      <c r="E4" s="11"/>
      <c r="F4" s="11"/>
      <c r="G4" s="11"/>
      <c r="H4" s="34"/>
      <c r="I4" s="11"/>
      <c r="J4" s="11"/>
      <c r="K4" s="17"/>
    </row>
    <row r="5" spans="1:11">
      <c r="A5" s="23"/>
      <c r="B5" s="7" t="s">
        <v>41</v>
      </c>
      <c r="C5" s="7" t="s">
        <v>42</v>
      </c>
      <c r="D5" s="7" t="s">
        <v>35</v>
      </c>
      <c r="E5" s="11"/>
      <c r="F5" s="11"/>
      <c r="G5" s="11"/>
      <c r="H5" s="34"/>
      <c r="I5" s="11"/>
      <c r="J5" s="11"/>
      <c r="K5" s="17"/>
    </row>
    <row r="6" spans="1:11" ht="20.399999999999999">
      <c r="A6" s="23"/>
      <c r="B6" s="7" t="s">
        <v>43</v>
      </c>
      <c r="C6" s="7" t="s">
        <v>44</v>
      </c>
      <c r="D6" s="7" t="s">
        <v>35</v>
      </c>
      <c r="E6" s="11">
        <v>7</v>
      </c>
      <c r="F6" s="11">
        <v>2</v>
      </c>
      <c r="G6" s="11">
        <v>1</v>
      </c>
      <c r="H6" s="34"/>
      <c r="I6" s="11">
        <v>0</v>
      </c>
      <c r="J6" s="11">
        <v>1</v>
      </c>
      <c r="K6" s="36">
        <v>45182</v>
      </c>
    </row>
    <row r="7" spans="1:11">
      <c r="A7" s="23"/>
      <c r="B7" s="7" t="s">
        <v>45</v>
      </c>
      <c r="C7" s="7" t="s">
        <v>46</v>
      </c>
      <c r="D7" s="7" t="s">
        <v>35</v>
      </c>
      <c r="E7" s="11"/>
      <c r="F7" s="11"/>
      <c r="G7" s="11"/>
      <c r="H7" s="34"/>
      <c r="I7" s="11"/>
      <c r="J7" s="11"/>
      <c r="K7" s="17"/>
    </row>
    <row r="8" spans="1:11" ht="36">
      <c r="A8" s="23" t="s">
        <v>47</v>
      </c>
      <c r="B8" s="7" t="s">
        <v>48</v>
      </c>
      <c r="C8" s="7" t="s">
        <v>49</v>
      </c>
      <c r="D8" s="7" t="s">
        <v>37</v>
      </c>
      <c r="E8" s="21">
        <f>57292500-7500000</f>
        <v>49792500</v>
      </c>
      <c r="F8" s="21">
        <f>57292500-7500000</f>
        <v>49792500</v>
      </c>
      <c r="G8" s="21">
        <v>0</v>
      </c>
      <c r="H8" s="35"/>
      <c r="I8" s="21">
        <f>8992500+99888.46+37000000</f>
        <v>46092388.460000001</v>
      </c>
      <c r="J8" s="21">
        <f>8992500+99888.46+37000000</f>
        <v>46092388.460000001</v>
      </c>
      <c r="K8" s="20" t="s">
        <v>84</v>
      </c>
    </row>
    <row r="9" spans="1:11" ht="20.399999999999999">
      <c r="A9" s="23"/>
      <c r="B9" s="7" t="s">
        <v>50</v>
      </c>
      <c r="C9" s="7" t="s">
        <v>66</v>
      </c>
      <c r="D9" s="7"/>
      <c r="E9" s="11"/>
      <c r="F9" s="11"/>
      <c r="G9" s="11"/>
      <c r="H9" s="34"/>
      <c r="I9" s="11"/>
      <c r="J9" s="11"/>
      <c r="K9" s="17"/>
    </row>
    <row r="10" spans="1:11">
      <c r="A10" s="23" t="s">
        <v>72</v>
      </c>
      <c r="B10" s="7" t="s">
        <v>67</v>
      </c>
      <c r="C10" s="7" t="s">
        <v>51</v>
      </c>
      <c r="D10" s="7"/>
      <c r="E10" s="11"/>
      <c r="F10" s="11"/>
      <c r="G10" s="11"/>
      <c r="H10" s="34"/>
      <c r="I10" s="11"/>
      <c r="J10" s="11"/>
      <c r="K10" s="17"/>
    </row>
    <row r="11" spans="1:11">
      <c r="A11" s="23"/>
      <c r="B11" s="7" t="s">
        <v>68</v>
      </c>
      <c r="C11" s="7" t="s">
        <v>52</v>
      </c>
      <c r="D11" s="7"/>
      <c r="E11" s="11"/>
      <c r="F11" s="11"/>
      <c r="G11" s="11"/>
      <c r="H11" s="34"/>
      <c r="I11" s="11"/>
      <c r="J11" s="11"/>
      <c r="K11" s="17"/>
    </row>
    <row r="12" spans="1:11">
      <c r="A12" s="23"/>
      <c r="B12" s="7" t="s">
        <v>69</v>
      </c>
      <c r="C12" s="7" t="s">
        <v>74</v>
      </c>
      <c r="D12" s="7"/>
      <c r="E12" s="11"/>
      <c r="F12" s="11"/>
      <c r="G12" s="11"/>
      <c r="H12" s="34"/>
      <c r="I12" s="11"/>
      <c r="J12" s="11"/>
      <c r="K12" s="17"/>
    </row>
    <row r="13" spans="1:11">
      <c r="A13" s="23"/>
      <c r="B13" s="7" t="s">
        <v>70</v>
      </c>
      <c r="C13" s="7" t="s">
        <v>53</v>
      </c>
      <c r="D13" s="7"/>
      <c r="E13" s="11"/>
      <c r="F13" s="11"/>
      <c r="G13" s="11"/>
      <c r="H13" s="34"/>
      <c r="I13" s="11"/>
      <c r="J13" s="11"/>
      <c r="K13" s="17"/>
    </row>
    <row r="14" spans="1:11">
      <c r="A14" s="23"/>
      <c r="B14" s="7" t="s">
        <v>71</v>
      </c>
      <c r="C14" s="7" t="s">
        <v>75</v>
      </c>
      <c r="D14" s="7"/>
      <c r="E14" s="11"/>
      <c r="F14" s="11"/>
      <c r="G14" s="11"/>
      <c r="H14" s="34"/>
      <c r="I14" s="11"/>
      <c r="J14" s="11"/>
      <c r="K14" s="17"/>
    </row>
    <row r="15" spans="1:11">
      <c r="A15" s="24" t="s">
        <v>54</v>
      </c>
      <c r="B15" s="7" t="s">
        <v>55</v>
      </c>
      <c r="C15" s="7" t="s">
        <v>76</v>
      </c>
      <c r="D15" s="7" t="s">
        <v>35</v>
      </c>
      <c r="E15" s="11"/>
      <c r="F15" s="11"/>
      <c r="G15" s="11"/>
      <c r="H15" s="34"/>
      <c r="I15" s="11"/>
      <c r="J15" s="11"/>
      <c r="K15" s="17"/>
    </row>
    <row r="16" spans="1:11">
      <c r="A16" s="25"/>
      <c r="B16" s="7" t="s">
        <v>56</v>
      </c>
      <c r="C16" s="7" t="s">
        <v>77</v>
      </c>
      <c r="D16" s="7" t="s">
        <v>35</v>
      </c>
      <c r="E16" s="11"/>
      <c r="F16" s="11"/>
      <c r="G16" s="11"/>
      <c r="H16" s="34"/>
      <c r="I16" s="11"/>
      <c r="J16" s="11"/>
      <c r="K16" s="17"/>
    </row>
    <row r="17" spans="1:11">
      <c r="A17" s="26"/>
      <c r="B17" s="7" t="s">
        <v>57</v>
      </c>
      <c r="C17" s="7" t="s">
        <v>58</v>
      </c>
      <c r="D17" s="7"/>
      <c r="E17" s="11"/>
      <c r="F17" s="11"/>
      <c r="G17" s="11"/>
      <c r="H17" s="34"/>
      <c r="I17" s="11"/>
      <c r="J17" s="11"/>
      <c r="K17" s="17"/>
    </row>
    <row r="18" spans="1:11" ht="20.399999999999999">
      <c r="A18" s="31" t="s">
        <v>59</v>
      </c>
      <c r="B18" s="7" t="s">
        <v>60</v>
      </c>
      <c r="C18" s="7" t="s">
        <v>78</v>
      </c>
      <c r="D18" s="7" t="s">
        <v>35</v>
      </c>
      <c r="E18" s="11"/>
      <c r="F18" s="11"/>
      <c r="G18" s="11"/>
      <c r="H18" s="34"/>
      <c r="I18" s="11"/>
      <c r="J18" s="11"/>
      <c r="K18" s="17"/>
    </row>
    <row r="19" spans="1:11" ht="20.399999999999999">
      <c r="A19" s="32"/>
      <c r="B19" s="7" t="s">
        <v>61</v>
      </c>
      <c r="C19" s="7" t="s">
        <v>79</v>
      </c>
      <c r="D19" s="7" t="s">
        <v>35</v>
      </c>
      <c r="E19" s="11"/>
      <c r="F19" s="11"/>
      <c r="G19" s="11"/>
      <c r="H19" s="34"/>
      <c r="I19" s="11"/>
      <c r="J19" s="11"/>
      <c r="K19" s="43"/>
    </row>
    <row r="20" spans="1:11" ht="51">
      <c r="A20" s="32"/>
      <c r="B20" s="7" t="s">
        <v>62</v>
      </c>
      <c r="C20" s="12" t="s">
        <v>80</v>
      </c>
      <c r="D20" s="7" t="s">
        <v>35</v>
      </c>
      <c r="E20" s="37" t="s">
        <v>87</v>
      </c>
      <c r="F20" s="37" t="s">
        <v>86</v>
      </c>
      <c r="G20" s="37" t="s">
        <v>85</v>
      </c>
      <c r="H20" s="38"/>
      <c r="I20" s="37" t="s">
        <v>85</v>
      </c>
      <c r="J20" s="37" t="s">
        <v>85</v>
      </c>
      <c r="K20" s="44" t="s">
        <v>88</v>
      </c>
    </row>
    <row r="21" spans="1:11" hidden="1">
      <c r="A21" s="32"/>
      <c r="B21" s="7"/>
      <c r="C21" s="7"/>
      <c r="D21" s="7"/>
      <c r="E21" s="39"/>
      <c r="F21" s="39"/>
      <c r="G21" s="39"/>
      <c r="H21" s="40"/>
      <c r="I21" s="39"/>
      <c r="J21" s="39"/>
      <c r="K21" s="45"/>
    </row>
    <row r="22" spans="1:11" hidden="1">
      <c r="A22" s="32"/>
      <c r="B22" s="7"/>
      <c r="C22" s="7"/>
      <c r="D22" s="7"/>
      <c r="E22" s="39"/>
      <c r="F22" s="39"/>
      <c r="G22" s="39"/>
      <c r="H22" s="40"/>
      <c r="I22" s="39"/>
      <c r="J22" s="39"/>
      <c r="K22" s="45"/>
    </row>
    <row r="23" spans="1:11" hidden="1">
      <c r="A23" s="32"/>
      <c r="B23" s="7"/>
      <c r="C23" s="7"/>
      <c r="D23" s="7"/>
      <c r="E23" s="39"/>
      <c r="F23" s="39"/>
      <c r="G23" s="39"/>
      <c r="H23" s="40"/>
      <c r="I23" s="39"/>
      <c r="J23" s="39"/>
      <c r="K23" s="45"/>
    </row>
    <row r="24" spans="1:11" hidden="1">
      <c r="A24" s="32"/>
      <c r="B24" s="7"/>
      <c r="C24" s="7"/>
      <c r="D24" s="7"/>
      <c r="E24" s="41"/>
      <c r="F24" s="41"/>
      <c r="G24" s="41"/>
      <c r="H24" s="42"/>
      <c r="I24" s="41"/>
      <c r="J24" s="41"/>
      <c r="K24" s="46"/>
    </row>
    <row r="25" spans="1:11">
      <c r="A25" s="32"/>
      <c r="B25" s="7" t="s">
        <v>63</v>
      </c>
      <c r="C25" s="7" t="s">
        <v>81</v>
      </c>
      <c r="D25" s="7" t="s">
        <v>35</v>
      </c>
      <c r="E25" s="11"/>
      <c r="F25" s="11"/>
      <c r="G25" s="11"/>
      <c r="H25" s="34"/>
      <c r="I25" s="11"/>
      <c r="J25" s="11"/>
      <c r="K25" s="17"/>
    </row>
    <row r="26" spans="1:11">
      <c r="A26" s="33"/>
      <c r="B26" s="7" t="s">
        <v>64</v>
      </c>
      <c r="C26" s="7" t="s">
        <v>65</v>
      </c>
      <c r="D26" s="7" t="s">
        <v>35</v>
      </c>
      <c r="E26" s="11"/>
      <c r="F26" s="11"/>
      <c r="G26" s="11"/>
      <c r="H26" s="34"/>
      <c r="I26" s="11"/>
      <c r="J26" s="11"/>
      <c r="K26" s="17"/>
    </row>
  </sheetData>
  <mergeCells count="15">
    <mergeCell ref="A10:A14"/>
    <mergeCell ref="A15:A17"/>
    <mergeCell ref="A18:A26"/>
    <mergeCell ref="A4:A7"/>
    <mergeCell ref="A1:K1"/>
    <mergeCell ref="E2:G2"/>
    <mergeCell ref="H2:J2"/>
    <mergeCell ref="A8:A9"/>
    <mergeCell ref="K20:K24"/>
    <mergeCell ref="E20:E24"/>
    <mergeCell ref="F20:F24"/>
    <mergeCell ref="G20:G24"/>
    <mergeCell ref="H20:H24"/>
    <mergeCell ref="I20:I24"/>
    <mergeCell ref="J20:J24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4CDE32673EB4F95BD27FBE1B38C2A" ma:contentTypeVersion="11" ma:contentTypeDescription="Create a new document." ma:contentTypeScope="" ma:versionID="d659feb59d4af6c132bb09060d219017">
  <xsd:schema xmlns:xsd="http://www.w3.org/2001/XMLSchema" xmlns:xs="http://www.w3.org/2001/XMLSchema" xmlns:p="http://schemas.microsoft.com/office/2006/metadata/properties" xmlns:ns2="8bf7e8e3-7d6a-4e20-8499-a70a0330ac6c" xmlns:ns3="1f9848b1-91c6-45d2-9bd7-f7b6b24e56b7" targetNamespace="http://schemas.microsoft.com/office/2006/metadata/properties" ma:root="true" ma:fieldsID="13fe4819048daeab962820f1eb7c8265" ns2:_="" ns3:_="">
    <xsd:import namespace="8bf7e8e3-7d6a-4e20-8499-a70a0330ac6c"/>
    <xsd:import namespace="1f9848b1-91c6-45d2-9bd7-f7b6b24e56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7e8e3-7d6a-4e20-8499-a70a0330ac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3e8566c-cd23-4427-80f6-db2d3da7b4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848b1-91c6-45d2-9bd7-f7b6b24e56b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d2ec0f2-c41f-480d-95dd-0d8f3c494c9a}" ma:internalName="TaxCatchAll" ma:showField="CatchAllData" ma:web="1f9848b1-91c6-45d2-9bd7-f7b6b24e56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9848b1-91c6-45d2-9bd7-f7b6b24e56b7" xsi:nil="true"/>
    <lcf76f155ced4ddcb4097134ff3c332f xmlns="8bf7e8e3-7d6a-4e20-8499-a70a0330ac6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1F98CF-10C7-46A0-BE91-5EFC50194CBC}"/>
</file>

<file path=customXml/itemProps2.xml><?xml version="1.0" encoding="utf-8"?>
<ds:datastoreItem xmlns:ds="http://schemas.openxmlformats.org/officeDocument/2006/customXml" ds:itemID="{02B47DBC-8A95-408B-ABA3-F61E85C23545}"/>
</file>

<file path=customXml/itemProps3.xml><?xml version="1.0" encoding="utf-8"?>
<ds:datastoreItem xmlns:ds="http://schemas.openxmlformats.org/officeDocument/2006/customXml" ds:itemID="{3C195860-D6FB-43C8-B014-45379038CC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Indicateurs d'Impact (4)</vt:lpstr>
      <vt:lpstr>Indicateurs d'Effet (7)</vt:lpstr>
      <vt:lpstr>Indicateurs de Produits transve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Hamon</dc:creator>
  <cp:lastModifiedBy>ONISHI Shizuka</cp:lastModifiedBy>
  <dcterms:created xsi:type="dcterms:W3CDTF">2023-12-13T14:09:16Z</dcterms:created>
  <dcterms:modified xsi:type="dcterms:W3CDTF">2024-02-06T15:26:53Z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0x0101001624CDE32673EB4F95BD27FBE1B38C2A</vt:lpwstr>
  </property>
</Properties>
</file>